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Questa_cartella_di_lavoro" defaultThemeVersion="202300"/>
  <mc:AlternateContent xmlns:mc="http://schemas.openxmlformats.org/markup-compatibility/2006">
    <mc:Choice Requires="x15">
      <x15ac:absPath xmlns:x15ac="http://schemas.microsoft.com/office/spreadsheetml/2010/11/ac" url="C:\Users\dipao\OneDrive\Desktop\Segnali Discorsivi\Progetto Salerno\"/>
    </mc:Choice>
  </mc:AlternateContent>
  <xr:revisionPtr revIDLastSave="0" documentId="13_ncr:1_{506F936F-78DE-4638-B5CE-15B5F5B48D90}" xr6:coauthVersionLast="47" xr6:coauthVersionMax="47" xr10:uidLastSave="{00000000-0000-0000-0000-000000000000}"/>
  <bookViews>
    <workbookView xWindow="-120" yWindow="-120" windowWidth="20730" windowHeight="11160" xr2:uid="{29CEB88F-AC1C-6B4B-96CA-FDA1103A0668}"/>
  </bookViews>
  <sheets>
    <sheet name="Foglio1" sheetId="1" r:id="rId1"/>
  </sheets>
  <definedNames>
    <definedName name="_xlnm._FilterDatabase" localSheetId="0" hidden="1">Foglio1!$A$1:$AZ$347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47" i="1" l="1"/>
  <c r="AC347" i="1"/>
  <c r="AD347" i="1"/>
  <c r="AE347" i="1"/>
  <c r="AA347" i="1"/>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288" i="1"/>
  <c r="AX289" i="1"/>
  <c r="AX290" i="1"/>
  <c r="AX291" i="1"/>
  <c r="AX292" i="1"/>
  <c r="AX293" i="1"/>
  <c r="AX294" i="1"/>
  <c r="AX295" i="1"/>
  <c r="AX296" i="1"/>
  <c r="AX297" i="1"/>
  <c r="AX298" i="1"/>
  <c r="AX299" i="1"/>
  <c r="AX300" i="1"/>
  <c r="AX301" i="1"/>
  <c r="AX302" i="1"/>
  <c r="AX303" i="1"/>
  <c r="AX304" i="1"/>
  <c r="AX305" i="1"/>
  <c r="AX306" i="1"/>
  <c r="AX307" i="1"/>
  <c r="AX308" i="1"/>
  <c r="AX309" i="1"/>
  <c r="AX310" i="1"/>
  <c r="AX311" i="1"/>
  <c r="AX312" i="1"/>
  <c r="AX313" i="1"/>
  <c r="AX314" i="1"/>
  <c r="AX315" i="1"/>
  <c r="AX316" i="1"/>
  <c r="AX317" i="1"/>
  <c r="AX318" i="1"/>
  <c r="AX319" i="1"/>
  <c r="AX320" i="1"/>
  <c r="AX321" i="1"/>
  <c r="AX322" i="1"/>
  <c r="AX323" i="1"/>
  <c r="AX324" i="1"/>
  <c r="AX325" i="1"/>
  <c r="AX326" i="1"/>
  <c r="AX327" i="1"/>
  <c r="AX328" i="1"/>
  <c r="AX329" i="1"/>
  <c r="AX330" i="1"/>
  <c r="AX331" i="1"/>
  <c r="AX332" i="1"/>
  <c r="AX333" i="1"/>
  <c r="AX334" i="1"/>
  <c r="AX335" i="1"/>
  <c r="AX336" i="1"/>
  <c r="AX337" i="1"/>
  <c r="AX338" i="1"/>
  <c r="AX339" i="1"/>
  <c r="AX173" i="1"/>
</calcChain>
</file>

<file path=xl/sharedStrings.xml><?xml version="1.0" encoding="utf-8"?>
<sst xmlns="http://schemas.openxmlformats.org/spreadsheetml/2006/main" count="7385" uniqueCount="2310">
  <si>
    <t>Commenti</t>
  </si>
  <si>
    <t>Richiesta di accordo/conferma</t>
  </si>
  <si>
    <t>Conferma dell'attenzione</t>
  </si>
  <si>
    <t>Interruzione</t>
  </si>
  <si>
    <t>Cessione del turno</t>
  </si>
  <si>
    <t>Marcatura della conoscenza condivisa</t>
  </si>
  <si>
    <t>Richiesta di attenzione</t>
  </si>
  <si>
    <t>Strategie di cortesia</t>
  </si>
  <si>
    <t>Introduzione di topic/passaggio a un nuovo topic/ripresa di un topic allora, quindi, dopo di che ecc.</t>
  </si>
  <si>
    <t>Chiusura di un topic</t>
  </si>
  <si>
    <t>Riformulazione</t>
  </si>
  <si>
    <t>Digressione</t>
  </si>
  <si>
    <t>Marcatura di citazione/discorso riportato</t>
  </si>
  <si>
    <t>Esemplificazione</t>
  </si>
  <si>
    <t>Marcatura dell'inferenza</t>
  </si>
  <si>
    <t>Modulazione del grado di confidenza del parlante</t>
  </si>
  <si>
    <t>Intensificazione</t>
  </si>
  <si>
    <t>Cumulo</t>
  </si>
  <si>
    <t>Macrofunzione interazionale</t>
  </si>
  <si>
    <t>Macrofunzione metatestuale</t>
  </si>
  <si>
    <t>Macrofunzione cognitiva</t>
  </si>
  <si>
    <t>Polifunzionalità</t>
  </si>
  <si>
    <t>Reference</t>
  </si>
  <si>
    <t>Tipo di interazione</t>
  </si>
  <si>
    <t>Left</t>
  </si>
  <si>
    <t>KWIC</t>
  </si>
  <si>
    <t>Right</t>
  </si>
  <si>
    <t>Non SD</t>
  </si>
  <si>
    <t>SD</t>
  </si>
  <si>
    <t>Test 1</t>
  </si>
  <si>
    <t>Test 2</t>
  </si>
  <si>
    <t>Test 3</t>
  </si>
  <si>
    <t>Dubbî</t>
  </si>
  <si>
    <t>Token number</t>
  </si>
  <si>
    <t>Document number</t>
  </si>
  <si>
    <t>Anno di raccolta</t>
  </si>
  <si>
    <t>annotation.audio_file</t>
  </si>
  <si>
    <t>annotation.begin</t>
  </si>
  <si>
    <t>annotation.end</t>
  </si>
  <si>
    <t>annotation.participant_code</t>
  </si>
  <si>
    <t>conversation.code</t>
  </si>
  <si>
    <t>conversation.duration</t>
  </si>
  <si>
    <t>conversation.topic</t>
  </si>
  <si>
    <t>doc.full_conversation</t>
  </si>
  <si>
    <t>doc.full_jefferson</t>
  </si>
  <si>
    <t>Età</t>
  </si>
  <si>
    <t>Genere</t>
  </si>
  <si>
    <t>Luogo di raccolta</t>
  </si>
  <si>
    <t>Occupazione</t>
  </si>
  <si>
    <t>Presenza di moderatore</t>
  </si>
  <si>
    <t>Rapporto tra i partecipanti</t>
  </si>
  <si>
    <t>Regione di provenienza</t>
  </si>
  <si>
    <t>Titolo di studio</t>
  </si>
  <si>
    <t>Numero di partecipanti</t>
  </si>
  <si>
    <t>KPN005</t>
  </si>
  <si>
    <t>#22732</t>
  </si>
  <si>
    <t>doc#4</t>
  </si>
  <si>
    <t>https://search.corpuskiparla.it/corpus/player/player.cgi?code=KPN005&amp;begin=263446&amp;end=264700</t>
  </si>
  <si>
    <t>PKP018</t>
  </si>
  <si>
    <t>libero</t>
  </si>
  <si>
    <t>https://search.corpuskiparla.it/corpus/conversations/KPN005.html</t>
  </si>
  <si>
    <t>https://search.corpuskiparla.it/corpus/conversations/KPN005_jefferson.html</t>
  </si>
  <si>
    <t>51-55</t>
  </si>
  <si>
    <t>F</t>
  </si>
  <si>
    <t>BO</t>
  </si>
  <si>
    <t>tec</t>
  </si>
  <si>
    <t>no</t>
  </si>
  <si>
    <t>simmetrico</t>
  </si>
  <si>
    <t>emilia-romagna</t>
  </si>
  <si>
    <t>pasto</t>
  </si>
  <si>
    <t>dip_tec_prof</t>
  </si>
  <si>
    <t>così non ci scordiamo // è quello cortesie d~ per gli ospiti // sì // secondo me è sufficiente non è freddissimo stasera //</t>
  </si>
  <si>
    <t>direi</t>
  </si>
  <si>
    <t>che come fuoco // sì va bene va bene // mhmh // sì col fatto che la tavernetta è più bassa è tutto molto caldino giù eh // mhmh</t>
  </si>
  <si>
    <t>PBC010</t>
  </si>
  <si>
    <t>#35277</t>
  </si>
  <si>
    <t>doc#5</t>
  </si>
  <si>
    <t>https://search.corpuskiparla.it/corpus/player/player.cgi?code=PBC010&amp;begin=1567780&amp;end=1575940</t>
  </si>
  <si>
    <t>BOI029</t>
  </si>
  <si>
    <t>fisso</t>
  </si>
  <si>
    <t>https://search.corpuskiparla.it/corpus/conversations/PBC010.html</t>
  </si>
  <si>
    <t>https://search.corpuskiparla.it/corpus/conversations/PBC010_jefferson.html</t>
  </si>
  <si>
    <t>61-65</t>
  </si>
  <si>
    <t>intell</t>
  </si>
  <si>
    <t>sì</t>
  </si>
  <si>
    <t>asimmetrico</t>
  </si>
  <si>
    <t>intervista semistrutturata</t>
  </si>
  <si>
    <t>laurea</t>
  </si>
  <si>
    <t>parecchio fuori bologna però sì // scuole // ah okay okay // e mh ha notato differenze in questo caso // mah sul gio~</t>
  </si>
  <si>
    <t>sul discorso della memoria si è sempre lavorato in qualsiasi scuola io mh sono andata insomma nel senso che // x // mh // io</t>
  </si>
  <si>
    <t>PBB026</t>
  </si>
  <si>
    <t>#48250</t>
  </si>
  <si>
    <t>doc#6</t>
  </si>
  <si>
    <t>https://search.corpuskiparla.it/corpus/player/player.cgi?code=PBB026&amp;begin=2928900&amp;end=2930501</t>
  </si>
  <si>
    <t>BOR031</t>
  </si>
  <si>
    <t>https://search.corpuskiparla.it/corpus/conversations/PBB026.html</t>
  </si>
  <si>
    <t>https://search.corpuskiparla.it/corpus/conversations/PBB026_jefferson.html</t>
  </si>
  <si>
    <t>21-25</t>
  </si>
  <si>
    <t>M</t>
  </si>
  <si>
    <t>stud</t>
  </si>
  <si>
    <t>laurea in corso</t>
  </si>
  <si>
    <t>scoperte // sì esatto // eh // quindi sì immagina che loro fossero o paesi un po'' più nordici dei nostri // // mhmh // eh sì</t>
  </si>
  <si>
    <t>di sì // quindi un po'' così // i bar ormai ci son quasi tutti cinesi per cui te fai bene a studiare il cinese // è vero sì // sì no</t>
  </si>
  <si>
    <t>#48740</t>
  </si>
  <si>
    <t>https://search.corpuskiparla.it/corpus/player/player.cgi?code=PBB026&amp;begin=3071558&amp;end=3075970</t>
  </si>
  <si>
    <t>BOI093</t>
  </si>
  <si>
    <t>che i tortellini sono il top // // eh per cui niente da dire // vero buoni // ci sono differenze tra il cioè ci sono piatti che</t>
  </si>
  <si>
    <t>#50807</t>
  </si>
  <si>
    <t>https://search.corpuskiparla.it/corpus/player/player.cgi?code=PBB026&amp;begin=3671590&amp;end=3674490</t>
  </si>
  <si>
    <t>alla fine un po'' il sapore cambia // lo senti // mhmh mh sì in base alla forma cambia sì // mh // ho capito // va bene okay io</t>
  </si>
  <si>
    <t>che abbiamo finito // eh // e t''è venuto appetito? // eh sì andiamo a mangiare va bene // // allora buonasera // buuonasera</t>
  </si>
  <si>
    <t>TOC1003</t>
  </si>
  <si>
    <t>#51602</t>
  </si>
  <si>
    <t>doc#7</t>
  </si>
  <si>
    <t>2017/18</t>
  </si>
  <si>
    <t>https://search.corpuskiparla.it/corpus/player/player.cgi?code=TOC1003&amp;begin=253025&amp;end=266057</t>
  </si>
  <si>
    <t>TO006</t>
  </si>
  <si>
    <t>https://search.corpuskiparla.it/corpus/conversations/TOC1003.html</t>
  </si>
  <si>
    <t>https://search.corpuskiparla.it/corpus/conversations/TOC1003_jefferson.html</t>
  </si>
  <si>
    <t>56-60</t>
  </si>
  <si>
    <t>TO</t>
  </si>
  <si>
    <t>piemonte</t>
  </si>
  <si>
    <t>esame</t>
  </si>
  <si>
    <t>phd</t>
  </si>
  <si>
    <t>quindi può essere messo a capo di una di una singola sede // di un ramo di un ramo deleh di un ramo d'' impresa // di un ramo //</t>
  </si>
  <si>
    <t>che abbiamo detto tutto l'' unica cosa che dovremmo aggiungere se se la ricorda è quello che alcuni si ricordano e alcuni</t>
  </si>
  <si>
    <t>#53831</t>
  </si>
  <si>
    <t>https://search.corpuskiparla.it/corpus/player/player.cgi?code=TOC1003&amp;begin=1004512&amp;end=1009261</t>
  </si>
  <si>
    <t>si tratta // esatto è gioco chi~ è parte chiamata in causa // sì // sì // comunque va bene i tipi li abbiamo individuati //</t>
  </si>
  <si>
    <t>#53835</t>
  </si>
  <si>
    <t>chi~ è parte chiamata in causa // sì // sì // comunque va bene i tipi li abbiamo individuati // direi che è sufficienteehmh</t>
  </si>
  <si>
    <t>che la sua è una buona preparazione mhmh // diciamo che semmai eh eh è il problema della sua esposizione che risulta un po''</t>
  </si>
  <si>
    <t>#53863</t>
  </si>
  <si>
    <t>https://search.corpuskiparla.it/corpus/player/player.cgi?code=TOC1003&amp;begin=1010104&amp;end=1021275</t>
  </si>
  <si>
    <t>buona preparazione mhmh // diciamo che semmai eh eh è il problema della sua esposizione che risulta un po'' ehmh neh non</t>
  </si>
  <si>
    <t>confusa perché la confusione è un'' altra cosa // èmh è è èeh mh è un'' esposizione singolare cioè un modo mh un modo di</t>
  </si>
  <si>
    <t>TOA3003</t>
  </si>
  <si>
    <t>#62458</t>
  </si>
  <si>
    <t>doc#9</t>
  </si>
  <si>
    <t>https://search.corpuskiparla.it/corpus/player/player.cgi?code=TOA3003&amp;begin=691671&amp;end=692497</t>
  </si>
  <si>
    <t>TO037</t>
  </si>
  <si>
    <t>https://search.corpuskiparla.it/corpus/conversations/TOA3003.html</t>
  </si>
  <si>
    <t>https://search.corpuskiparla.it/corpus/conversations/TOA3003_jefferson.html</t>
  </si>
  <si>
    <t>conversazione libera</t>
  </si>
  <si>
    <t>vivere // costruzione collegiale del progetto // eh in più // tu vuoi mettere un disabile? o no? // nella copertina? // io</t>
  </si>
  <si>
    <t>di no // no // ma non avete un simbolo voi? // no // abbiamo ancora il e l'' omino // no ma è bello xxx // mi immagino xx // l'' omino</t>
  </si>
  <si>
    <t>PTB020</t>
  </si>
  <si>
    <t>#65308</t>
  </si>
  <si>
    <t>doc#10</t>
  </si>
  <si>
    <t>https://search.corpuskiparla.it/corpus/player/player.cgi?code=PTB020&amp;begin=19811&amp;end=20897</t>
  </si>
  <si>
    <t>TOR009</t>
  </si>
  <si>
    <t>https://search.corpuskiparla.it/corpus/conversations/PTB020.html</t>
  </si>
  <si>
    <t>https://search.corpuskiparla.it/corpus/conversations/PTB020_jefferson.html</t>
  </si>
  <si>
    <t>sicilia</t>
  </si>
  <si>
    <t>settentuno // ha sempre vissuto a torino? é di torino lei? // sì sono di torino sono nato in corso spezia venti quindi //</t>
  </si>
  <si>
    <t>é proprio di qui // é una maternità // é di torino anche i suoi genitori sono di torino? // sì i miei genitori sì // ho capito e</t>
  </si>
  <si>
    <t>#72154</t>
  </si>
  <si>
    <t>https://search.corpuskiparla.it/corpus/player/player.cgi?code=PTB020&amp;begin=2772700&amp;end=2780598</t>
  </si>
  <si>
    <t>TOI069</t>
  </si>
  <si>
    <t>66-70</t>
  </si>
  <si>
    <t>pens</t>
  </si>
  <si>
    <t>elem</t>
  </si>
  <si>
    <t>mh // in generale di torino mh co~ come l''ha vissuta? le piace le é piaciuta subito // si é ambientata facilmente // sì</t>
  </si>
  <si>
    <t>di sì che mh mi sono ambientata facilmente all''inizio megari c''é stato un periodo che abbiamo pensato con mio marito di</t>
  </si>
  <si>
    <t>#72643</t>
  </si>
  <si>
    <t>https://search.corpuskiparla.it/corpus/player/player.cgi?code=PTB020&amp;begin=2953307&amp;end=2957417</t>
  </si>
  <si>
    <t>é naturale // sì // c''erano dei pezzi anche mh eh dei prati nella zona ehm // non ci sono più // non ci sono più da tanto // ed é e</t>
  </si>
  <si>
    <t>che é diventata sempre anche più bella come zona // nonna guarda guarda nonna // mh // dove u~ un tempo // nonna guarda</t>
  </si>
  <si>
    <t>#73558</t>
  </si>
  <si>
    <t>https://search.corpuskiparla.it/corpus/player/player.cgi?code=PTB020&amp;begin=3300598&amp;end=3303417</t>
  </si>
  <si>
    <t>tra astigiano e il torinese? // sì c''é sempre sì sì qualcosa di diverso c''é sì sì // mh // ho capito // eh // ehm va bene io</t>
  </si>
  <si>
    <t>che // che va bene così // la ringrazio // s''immagini // é stata molto gentile signora // s''immagini eh non c''é di che // è</t>
  </si>
  <si>
    <t>PTD021</t>
  </si>
  <si>
    <t>#91062</t>
  </si>
  <si>
    <t>doc#13</t>
  </si>
  <si>
    <t>https://search.corpuskiparla.it/corpus/player/player.cgi?code=PTD021&amp;begin=51796&amp;end=56121</t>
  </si>
  <si>
    <t>TOI013</t>
  </si>
  <si>
    <t>https://search.corpuskiparla.it/corpus/conversations/PTD021.html</t>
  </si>
  <si>
    <t>https://search.corpuskiparla.it/corpus/conversations/PTD021_jefferson.html</t>
  </si>
  <si>
    <t>oper</t>
  </si>
  <si>
    <t>puglia</t>
  </si>
  <si>
    <t>parole // è unameh è una figura professionale che // si occupa di creare la linea dalle centrale telecom // o fastweb</t>
  </si>
  <si>
    <t>qualsiasi altro operatore fino alla cantina // okay // okay // dei civici // okay // di abitazioni // io guido i pullman</t>
  </si>
  <si>
    <t>#91284</t>
  </si>
  <si>
    <t>https://search.corpuskiparla.it/corpus/player/player.cgi?code=PTD021&amp;begin=119930&amp;end=121305</t>
  </si>
  <si>
    <t>TOR001</t>
  </si>
  <si>
    <t>26-30</t>
  </si>
  <si>
    <t>lombardia</t>
  </si>
  <si>
    <t>andare a prendere l''altro pullman // quindi ancora un paio d''ore // poi torni a casa mangi fai una doccia e vai a dormire //</t>
  </si>
  <si>
    <t>morto // e son finite le ore sono morto e quindi // okay // ma come funziona scusa? cioè mh guidi sempre lo stesso mezzo // no</t>
  </si>
  <si>
    <t>#107326</t>
  </si>
  <si>
    <t>// se dovessi scegliere allo stadio // se potessi scegliere allo stadio // okay d''accordo // ehmeh okay di calcio</t>
  </si>
  <si>
    <t>basta altri sport avete detto? // meh no // no // poi andavo ne ho praticati tanti quindi li seguo volentieri // skate //</t>
  </si>
  <si>
    <t>PBC014</t>
  </si>
  <si>
    <t>#115686</t>
  </si>
  <si>
    <t>doc#15</t>
  </si>
  <si>
    <t>https://search.corpuskiparla.it/corpus/player/player.cgi?code=PBC014&amp;begin=464510&amp;end=473850</t>
  </si>
  <si>
    <t>BOR010</t>
  </si>
  <si>
    <t>https://search.corpuskiparla.it/corpus/conversations/PBC014.html</t>
  </si>
  <si>
    <t>https://search.corpuskiparla.it/corpus/conversations/PBC014_jefferson.html</t>
  </si>
  <si>
    <t>no? // e credo che una cosa diciamo imp~ molto caratteristica di bologna siano siano i portici no? perché proprio</t>
  </si>
  <si>
    <t>che sia la prima osa che si nota // eh quando si e quando si equando si arriva qui no? ehm // eallora volevo volevo capire un</t>
  </si>
  <si>
    <t>#121580</t>
  </si>
  <si>
    <t>https://search.corpuskiparla.it/corpus/player/player.cgi?code=PBC014&amp;begin=2702630&amp;end=2707510</t>
  </si>
  <si>
    <t>che più o meno ho fatto più o meno comunque ho fatto più o meno ( molte domande // sì sì no perché sa io dovrei andar via // ah ok</t>
  </si>
  <si>
    <t>#121613</t>
  </si>
  <si>
    <t>https://search.corpuskiparla.it/corpus/player/player.cgi?code=PBC014&amp;begin=2709090&amp;end=2711450</t>
  </si>
  <si>
    <t>che se deve // cioè se deve andare dire che possiamo // no eh di fatti non ero nemmeno stabilito che dovessi star qua però</t>
  </si>
  <si>
    <t>#121649</t>
  </si>
  <si>
    <t>https://search.corpuskiparla.it/corpus/player/player.cgi?code=PBC014&amp;begin=2716640&amp;end=2721526</t>
  </si>
  <si>
    <t>possiamo // no eh di fatti non ero nemmeno stabilito che dovessi star qua però xxxxxxxxx // ah eh non non non lo sapevo ma</t>
  </si>
  <si>
    <t>che più o meno allora cioè co~ // credo di aver fatto la maggior parte delle domande // delle domande che volevo farle // va</t>
  </si>
  <si>
    <t>#121683</t>
  </si>
  <si>
    <t>https://search.corpuskiparla.it/corpus/player/player.cgi?code=PBC014&amp;begin=2727960&amp;end=2730960</t>
  </si>
  <si>
    <t>di x giusto se vuole firmare solo // cioè noi e spengo e noi // quindi // mhmh // n~ niente // mi faceva gli scherzi queste</t>
  </si>
  <si>
    <t>TOD2002</t>
  </si>
  <si>
    <t>#124303</t>
  </si>
  <si>
    <t>doc#16</t>
  </si>
  <si>
    <t>https://search.corpuskiparla.it/corpus/player/player.cgi?code=TOD2002&amp;begin=744481&amp;end=748095</t>
  </si>
  <si>
    <t>TO081</t>
  </si>
  <si>
    <t>https://search.corpuskiparla.it/corpus/conversations/TOD2002.html</t>
  </si>
  <si>
    <t>https://search.corpuskiparla.it/corpus/conversations/TOD2002_jefferson.html</t>
  </si>
  <si>
    <t>che puoi aver visto // ma non lo so // beh dipende anche cosa dovrei fare // se dovessi venire sempre all'' università</t>
  </si>
  <si>
    <t>non troppo lontano dall'' università // perché la cosa positiva di vivere qui sarebbe eliminare // le due ore di tragitto</t>
  </si>
  <si>
    <t>PBC018</t>
  </si>
  <si>
    <t>#139051</t>
  </si>
  <si>
    <t>doc#18</t>
  </si>
  <si>
    <t>https://search.corpuskiparla.it/corpus/player/player.cgi?code=PBC018&amp;begin=1569687&amp;end=1570807</t>
  </si>
  <si>
    <t>https://search.corpuskiparla.it/corpus/conversations/PBC018.html</t>
  </si>
  <si>
    <t>https://search.corpuskiparla.it/corpus/conversations/PBC018_jefferson.html</t>
  </si>
  <si>
    <t>che gli interessi ce ne siano meno // e allora // beh beh e se~ // e allora // x x // suonano il piave // che è ancora peggio</t>
  </si>
  <si>
    <t>// ah qua ve~ credo di averlo stampato senza volere due due volte però se vuole // in che zona di bologna vive eh eh // vivevo</t>
  </si>
  <si>
    <t>PTA013</t>
  </si>
  <si>
    <t>#159617</t>
  </si>
  <si>
    <t>doc#22</t>
  </si>
  <si>
    <t>https://search.corpuskiparla.it/corpus/player/player.cgi?code=PTA013&amp;begin=202072&amp;end=204430</t>
  </si>
  <si>
    <t>TOI015</t>
  </si>
  <si>
    <t>https://search.corpuskiparla.it/corpus/conversations/PTA013.html</t>
  </si>
  <si>
    <t>https://search.corpuskiparla.it/corpus/conversations/PTA013_jefferson.html</t>
  </si>
  <si>
    <t>// dove sarebbe meglio lavorare secondo te? // cioè in alternativa a torino? // // un''alternativa a torino // ehm // ti</t>
  </si>
  <si>
    <t>o in francia o // o in spagna // okay // ma per motivi economici o perché ti ispirerebbe come paese? // no perché mi</t>
  </si>
  <si>
    <t>PTB018</t>
  </si>
  <si>
    <t>#169298</t>
  </si>
  <si>
    <t>doc#23</t>
  </si>
  <si>
    <t>https://search.corpuskiparla.it/corpus/player/player.cgi?code=PTB018&amp;begin=43229&amp;end=45308</t>
  </si>
  <si>
    <t>TOI056</t>
  </si>
  <si>
    <t>https://search.corpuskiparla.it/corpus/conversations/PTB018.html</t>
  </si>
  <si>
    <t>https://search.corpuskiparla.it/corpus/conversations/PTB018_jefferson.html</t>
  </si>
  <si>
    <t>over 85</t>
  </si>
  <si>
    <t>di italiani // okay // c''è il gatto qua // // si può distinguere // tra torinese e piemontese quale le piace di più? // io</t>
  </si>
  <si>
    <t>torinese // se sì se è sempre stata qui direi anch''io torinese // ne ho studiate diverse ma non ne parlo nessuna // ah okay</t>
  </si>
  <si>
    <t>#169308</t>
  </si>
  <si>
    <t>https://search.corpuskiparla.it/corpus/player/player.cgi?code=PTB018&amp;begin=44762&amp;end=47751</t>
  </si>
  <si>
    <t>// si può distinguere // tra torinese e piemontese quale le piace di più? // io direi torinese // se sì se è sempre stata qui</t>
  </si>
  <si>
    <t>anch''io torinese // ne ho studiate diverse ma non ne parlo nessuna // ah okay // xx // perfetto // c''è tutto // okay //</t>
  </si>
  <si>
    <t>KPN020</t>
  </si>
  <si>
    <t>#218355</t>
  </si>
  <si>
    <t>doc#29</t>
  </si>
  <si>
    <t>https://search.corpuskiparla.it/corpus/player/player.cgi?code=KPN020&amp;begin=951570&amp;end=953310</t>
  </si>
  <si>
    <t>PKP030</t>
  </si>
  <si>
    <t>https://search.corpuskiparla.it/corpus/conversations/KPN020.html</t>
  </si>
  <si>
    <t>https://search.corpuskiparla.it/corpus/conversations/KPN020_jefferson.html</t>
  </si>
  <si>
    <t>VE</t>
  </si>
  <si>
    <t>veneto</t>
  </si>
  <si>
    <t>a casa mia? sì sì sì ho capito qual è // sì è quello de // xxxx xxx // è quello? // eh // non so perchè avev~ un ricordo un po'' vago</t>
  </si>
  <si>
    <t>// non mi ricordo il nome // #si ma mi ricordo ghe zera anca i chi c''erano? aspetta i // tutti // tutti di tuo fratello tutti</t>
  </si>
  <si>
    <t>TOD1005bis</t>
  </si>
  <si>
    <t>#224155</t>
  </si>
  <si>
    <t>doc#30</t>
  </si>
  <si>
    <t>https://search.corpuskiparla.it/corpus/player/player.cgi?code=TOD1005bis&amp;begin=1090141&amp;end=1094222</t>
  </si>
  <si>
    <t>TO017</t>
  </si>
  <si>
    <t>https://search.corpuskiparla.it/corpus/conversations/TOD1005bis.html</t>
  </si>
  <si>
    <t>https://search.corpuskiparla.it/corpus/conversations/TOD1005bis_jefferson.html</t>
  </si>
  <si>
    <t>31-35</t>
  </si>
  <si>
    <t>lezione</t>
  </si>
  <si>
    <t>abbiamo? // come documenti della lingua araba del passato // xxx // la~ la~ la poesia okay la poesia // e l'' altro // testo</t>
  </si>
  <si>
    <t>piuttosto importante del passato della lingua araba // corano okay abbiamo la poesia // corano testo coranico // tu</t>
  </si>
  <si>
    <t>KPN016</t>
  </si>
  <si>
    <t>#233725</t>
  </si>
  <si>
    <t>doc#32</t>
  </si>
  <si>
    <t>https://search.corpuskiparla.it/corpus/player/player.cgi?code=KPN016&amp;begin=21193&amp;end=26632</t>
  </si>
  <si>
    <t>PKP057</t>
  </si>
  <si>
    <t>https://search.corpuskiparla.it/corpus/conversations/KPN016.html</t>
  </si>
  <si>
    <t>https://search.corpuskiparla.it/corpus/conversations/KPN016_jefferson.html</t>
  </si>
  <si>
    <t>RE</t>
  </si>
  <si>
    <t>no // no perchè io i documenti che a loro servivano glieli ho inviati per mail // e il codice ce l''ho nel portafoglio quindi</t>
  </si>
  <si>
    <t>che mh // allora andiamo là direttamente conviene // ma direi di sì // direi di sì mami // cucciolo sono rilassata // sì? //</t>
  </si>
  <si>
    <t>#233736</t>
  </si>
  <si>
    <t>https://search.corpuskiparla.it/corpus/player/player.cgi?code=KPN016&amp;begin=29198&amp;end=30300</t>
  </si>
  <si>
    <t>per mail // e il codice ce l''ho nel portafoglio quindi direi che mh // allora andiamo là direttamente conviene // ma</t>
  </si>
  <si>
    <t>di sì // direi di sì mami // cucciolo sono rilassata // sì? // anch''io adesso // sono rilassata xxx // ero un po'' in pensiero</t>
  </si>
  <si>
    <t>#233740</t>
  </si>
  <si>
    <t>https://search.corpuskiparla.it/corpus/player/player.cgi?code=KPN016&amp;begin=35785&amp;end=36989</t>
  </si>
  <si>
    <t>// e il codice ce l''ho nel portafoglio quindi direi che mh // allora andiamo là direttamente conviene // ma direi di sì //</t>
  </si>
  <si>
    <t>di sì mami // cucciolo sono rilassata // sì? // anch''io adesso // sono rilassata xxx // ero un po'' in pensiero // eh</t>
  </si>
  <si>
    <t>PBC019</t>
  </si>
  <si>
    <t>#268743</t>
  </si>
  <si>
    <t>doc#38</t>
  </si>
  <si>
    <t>https://search.corpuskiparla.it/corpus/player/player.cgi?code=PBC019&amp;begin=2022480&amp;end=2025227</t>
  </si>
  <si>
    <t>https://search.corpuskiparla.it/corpus/conversations/PBC019.html</t>
  </si>
  <si>
    <t>https://search.corpuskiparla.it/corpus/conversations/PBC019_jefferson.html</t>
  </si>
  <si>
    <t>dai anche solo per sentito dire qualcosa di solito // capita magari che // poi // sì diciamo il fatto che quanto era brutta</t>
  </si>
  <si>
    <t>che // non ci sia bisogno di di chiederlo quello quindi // ah direi che più o meno // ah sì okay direi che come numero come</t>
  </si>
  <si>
    <t>#268757</t>
  </si>
  <si>
    <t>https://search.corpuskiparla.it/corpus/player/player.cgi?code=PBC019&amp;begin=2030387&amp;end=2031893</t>
  </si>
  <si>
    <t>che // poi // sì diciamo il fatto che quanto era brutta direi che // non ci sia bisogno di di chiederlo quello quindi // ah</t>
  </si>
  <si>
    <t>che più o meno // ah sì okay direi che come numero come domande avremmo // abbiamo fatto più o meno quello che // sì sì //</t>
  </si>
  <si>
    <t>#268766</t>
  </si>
  <si>
    <t>https://search.corpuskiparla.it/corpus/player/player.cgi?code=PBC019&amp;begin=2032773&amp;end=2036505</t>
  </si>
  <si>
    <t>che quanto era brutta direi che // non ci sia bisogno di di chiederlo quello quindi // ah direi che più o meno // ah sì okay</t>
  </si>
  <si>
    <t>che come numero come domande avremmo // abbiamo fatto più o meno quello che // sì sì // volevo così era un po'' per parlare</t>
  </si>
  <si>
    <t>#268838</t>
  </si>
  <si>
    <t>https://search.corpuskiparla.it/corpus/player/player.cgi?code=PBC019&amp;begin=2057527&amp;end=2060821</t>
  </si>
  <si>
    <t>// quanto sei riuscito a fare? // eh // abbiamo parlato per eh trentaquattro minuti // quindi per più di mezz''ora anzi</t>
  </si>
  <si>
    <t>che qua // okay sì mi dica // quindi eham ho pensato di fare la ricerca in paragoni delle forme di cortesia e i suoi usi tra</t>
  </si>
  <si>
    <t>PBB018</t>
  </si>
  <si>
    <t>#278591</t>
  </si>
  <si>
    <t>doc#40</t>
  </si>
  <si>
    <t>https://search.corpuskiparla.it/corpus/player/player.cgi?code=PBB018&amp;begin=3170640&amp;end=3173380</t>
  </si>
  <si>
    <t>BOR013</t>
  </si>
  <si>
    <t>https://search.corpuskiparla.it/corpus/conversations/PBB018.html</t>
  </si>
  <si>
    <t>https://search.corpuskiparla.it/corpus/conversations/PBB018_jefferson.html</t>
  </si>
  <si>
    <t>// mh // quindi questo è // il discorso s~ se se vogliamo fare un attimo una // un confronto // okay va bene benissimo così</t>
  </si>
  <si>
    <t>che possiamo // fermarci grazie mille // davvero? // sì // va bene // bene // arrivederci e grazie // // posso? // prego // è</t>
  </si>
  <si>
    <t>PBB014</t>
  </si>
  <si>
    <t>#293562</t>
  </si>
  <si>
    <t>doc#43</t>
  </si>
  <si>
    <t>https://search.corpuskiparla.it/corpus/player/player.cgi?code=PBB014&amp;begin=1907876&amp;end=1908341</t>
  </si>
  <si>
    <t>BOR005</t>
  </si>
  <si>
    <t>https://search.corpuskiparla.it/corpus/conversations/PBB014.html</t>
  </si>
  <si>
    <t>https://search.corpuskiparla.it/corpus/conversations/PBB014_jefferson.html</t>
  </si>
  <si>
    <t>marche</t>
  </si>
  <si>
    <t>o~ // per noi è talmente scontato che si sanno che poi invece no // è una cosa di qua proprio eh mh // va bene adesso allora //</t>
  </si>
  <si>
    <t>che // siamo alla fine ti ringrazio // e // figurati // ti lascio andare a lavoto // torno a castel san pietro // ehm ciao //</t>
  </si>
  <si>
    <t>BOD2010</t>
  </si>
  <si>
    <t>#296085</t>
  </si>
  <si>
    <t>doc#44</t>
  </si>
  <si>
    <t>https://search.corpuskiparla.it/corpus/player/player.cgi?code=BOD2010&amp;begin=833949&amp;end=837594</t>
  </si>
  <si>
    <t>BO074</t>
  </si>
  <si>
    <t>https://search.corpuskiparla.it/corpus/conversations/BOD2010.html</t>
  </si>
  <si>
    <t>https://search.corpuskiparla.it/corpus/conversations/BOD2010_jefferson.html</t>
  </si>
  <si>
    <t>// e questo in parte l'' avevo un po'' sentito a livello fisico perché comunque molto faticoso // però comunque una persona</t>
  </si>
  <si>
    <t>in salute // soprattutto un ragazzo giovane anche senza allenamento // giovane // lo riesce a fare direi abbastanza</t>
  </si>
  <si>
    <t>#296103</t>
  </si>
  <si>
    <t>https://search.corpuskiparla.it/corpus/player/player.cgi?code=BOD2010&amp;begin=842822&amp;end=845974</t>
  </si>
  <si>
    <t>una persona direi in salute // soprattutto un ragazzo giovane anche senza allenamento // giovane // lo riesce a fare</t>
  </si>
  <si>
    <t>abbastanza tranquillamente // poi ovvio magari cioè difficoltà // eh di tipo fisico ma anche psicologico perché</t>
  </si>
  <si>
    <t>#297161</t>
  </si>
  <si>
    <t>https://search.corpuskiparla.it/corpus/player/player.cgi?code=BOD2010&amp;begin=1240481&amp;end=1246676</t>
  </si>
  <si>
    <t>ci ved~ // ci beccavamo in giro ci vedevamo così // abbiamo iniziato a frequentarci proprio ad uscire insieme verso</t>
  </si>
  <si>
    <t>quindici sedici anni più o meno // ver~ sì verso i quindici anni più o meno abbiamo iniziato a // ad uscire anche con la s~</t>
  </si>
  <si>
    <t>PBB031</t>
  </si>
  <si>
    <t>#309528</t>
  </si>
  <si>
    <t>doc#46</t>
  </si>
  <si>
    <t>https://search.corpuskiparla.it/corpus/player/player.cgi?code=PBB031&amp;begin=1395030&amp;end=1398040</t>
  </si>
  <si>
    <t>BOI108</t>
  </si>
  <si>
    <t>https://search.corpuskiparla.it/corpus/conversations/PBB031.html</t>
  </si>
  <si>
    <t>https://search.corpuskiparla.it/corpus/conversations/PBB031_jefferson.html</t>
  </si>
  <si>
    <t>comm</t>
  </si>
  <si>
    <t>che // eh // fa un po'' parte della // di questi cambiamenti ecco // de // sì sì sì sì // mh // che mh ecco non abi~ non viverei mai</t>
  </si>
  <si>
    <t>#310435</t>
  </si>
  <si>
    <t>https://search.corpuskiparla.it/corpus/player/player.cgi?code=PBB031&amp;begin=1689560&amp;end=1690930</t>
  </si>
  <si>
    <t>si fa ecco tutto qua // okay sì // quindi quindi noi mh io non ho mai desiderato lui // con~ conviene stare qua // sì sì sì //</t>
  </si>
  <si>
    <t>di sì // i ragazzi per ora loro hanno fatto delle delle mh un altro~ cioè hanno mh // per ora sono qui con no~ // xx ancora in</t>
  </si>
  <si>
    <t>#312102</t>
  </si>
  <si>
    <t>https://search.corpuskiparla.it/corpus/player/player.cgi?code=PBB031&amp;begin=2198160&amp;end=2199380</t>
  </si>
  <si>
    <t>#314237</t>
  </si>
  <si>
    <t>https://search.corpuskiparla.it/corpus/player/player.cgi?code=PBB031&amp;begin=2847850&amp;end=2850560</t>
  </si>
  <si>
    <t>c''erano delle cose un po'' più un po'' diverse rispetto // eh certo sì // a quello che si faceva in città // però // adesso</t>
  </si>
  <si>
    <t>che più o meno // sono lì // siamo lì dai // okay xxxxx // non ci sono grosse differenze anche lì // capito // sì e // a san luca</t>
  </si>
  <si>
    <t>PTD020</t>
  </si>
  <si>
    <t>#324484</t>
  </si>
  <si>
    <t>doc#48</t>
  </si>
  <si>
    <t>https://search.corpuskiparla.it/corpus/player/player.cgi?code=PTD020&amp;begin=670137&amp;end=678989</t>
  </si>
  <si>
    <t>TOI008</t>
  </si>
  <si>
    <t>https://search.corpuskiparla.it/corpus/conversations/PTD020.html</t>
  </si>
  <si>
    <t>https://search.corpuskiparla.it/corpus/conversations/PTD020_jefferson.html</t>
  </si>
  <si>
    <t>dip_lic</t>
  </si>
  <si>
    <t>// appunto non uso i mezzi pubblici non eh // le varie cose che che facevo prima le faccio ancora adesso tranquillamente</t>
  </si>
  <si>
    <t>sì forse sotto l''aspetto come offerta culturale // mh mh // pubblica questo sì // mh mh // io ero affezionatissimo ai</t>
  </si>
  <si>
    <t>BOA3013</t>
  </si>
  <si>
    <t>#367673</t>
  </si>
  <si>
    <t>doc#55</t>
  </si>
  <si>
    <t>https://search.corpuskiparla.it/corpus/player/player.cgi?code=BOA3013&amp;begin=696722&amp;end=699866</t>
  </si>
  <si>
    <t>BO097</t>
  </si>
  <si>
    <t>https://search.corpuskiparla.it/corpus/conversations/BOA3013.html</t>
  </si>
  <si>
    <t>https://search.corpuskiparla.it/corpus/conversations/BOA3013_jefferson.html</t>
  </si>
  <si>
    <t>PBA017</t>
  </si>
  <si>
    <t>#377569</t>
  </si>
  <si>
    <t>doc#57</t>
  </si>
  <si>
    <t>https://search.corpuskiparla.it/corpus/player/player.cgi?code=PBA017&amp;begin=133277&amp;end=134891</t>
  </si>
  <si>
    <t>BOI080</t>
  </si>
  <si>
    <t>https://search.corpuskiparla.it/corpus/conversations/PBA017.html</t>
  </si>
  <si>
    <t>https://search.corpuskiparla.it/corpus/conversations/PBA017_jefferson.html</t>
  </si>
  <si>
    <t>friuli-venezia-giulia</t>
  </si>
  <si>
    <t>#378599</t>
  </si>
  <si>
    <t>https://search.corpuskiparla.it/corpus/player/player.cgi?code=PBA017&amp;begin=418758&amp;end=421538</t>
  </si>
  <si>
    <t>BOI081</t>
  </si>
  <si>
    <t>med</t>
  </si>
  <si>
    <t>fatto sto raduno // per ricordare i vecchi tempi quindi erano tutti sti ultra cinquantenni ubriachissimi // va oltre io</t>
  </si>
  <si>
    <t>ultra sessantenni anche // ultra sessantenni sì erano vecchissimi // // bellissimo // è stato fantastico e xx siamo</t>
  </si>
  <si>
    <t>BOD2011</t>
  </si>
  <si>
    <t>#384898</t>
  </si>
  <si>
    <t>doc#58</t>
  </si>
  <si>
    <t>https://search.corpuskiparla.it/corpus/player/player.cgi?code=BOD2011&amp;begin=106040&amp;end=108690</t>
  </si>
  <si>
    <t>BO075</t>
  </si>
  <si>
    <t>https://search.corpuskiparla.it/corpus/conversations/BOD2011.html</t>
  </si>
  <si>
    <t>https://search.corpuskiparla.it/corpus/conversations/BOD2011_jefferson.html</t>
  </si>
  <si>
    <t>media più o meno // e mi sono innamorato e poi lì la street art è diventata // eh un amore folle e // eh sì // bene // quindi</t>
  </si>
  <si>
    <t>direi ericailcanene e blu // ai primi tempi poi pian pianoeh // ah // sono saltati fuori altri autori straordinari però i</t>
  </si>
  <si>
    <t>#384899</t>
  </si>
  <si>
    <t>più o meno // e mi sono innamorato e poi lì la street art è diventata // eh un amore folle e // eh sì // bene // quindi direi</t>
  </si>
  <si>
    <t>ericailcanene e blu // ai primi tempi poi pian pianoeh // ah // sono saltati fuori altri autori straordinari però i primi</t>
  </si>
  <si>
    <t>TOD2005</t>
  </si>
  <si>
    <t>#392002</t>
  </si>
  <si>
    <t>doc#59</t>
  </si>
  <si>
    <t>https://search.corpuskiparla.it/corpus/player/player.cgi?code=TOD2005&amp;begin=922087&amp;end=926308</t>
  </si>
  <si>
    <t>TO041</t>
  </si>
  <si>
    <t>https://search.corpuskiparla.it/corpus/conversations/TOD2005.html</t>
  </si>
  <si>
    <t>https://search.corpuskiparla.it/corpus/conversations/TOD2005_jefferson.html</t>
  </si>
  <si>
    <t>ho visitato anche alcune città di paesi limitrofi sono stata a san pietroburgo a stoccolma a tallin // mhmh // quindi</t>
  </si>
  <si>
    <t>che per il tempo in cui sono stata lì ho viaggiato molto // però secondo me anche // lo scopo dell'' erasmus anche quello</t>
  </si>
  <si>
    <t>PBB001</t>
  </si>
  <si>
    <t>#394710</t>
  </si>
  <si>
    <t>doc#60</t>
  </si>
  <si>
    <t>https://search.corpuskiparla.it/corpus/player/player.cgi?code=PBB001&amp;begin=4723&amp;end=6205</t>
  </si>
  <si>
    <t>BOR001</t>
  </si>
  <si>
    <t>https://search.corpuskiparla.it/corpus/conversations/PBB001.html</t>
  </si>
  <si>
    <t>https://search.corpuskiparla.it/corpus/conversations/PBB001_jefferson.html</t>
  </si>
  <si>
    <t>che // sapendo che // tu // non sei nata qui // eccetera ti chiederei // mh innanzitutto per~ perchè com''è che sei arrivata</t>
  </si>
  <si>
    <t>#403400</t>
  </si>
  <si>
    <t>https://search.corpuskiparla.it/corpus/player/player.cgi?code=PBB001&amp;begin=3145901&amp;end=3147185</t>
  </si>
  <si>
    <t>me dipende // dalla mh // sì dalla persona // dalla persona sì // anche se è un''altra sona // dalla person~ // okay // io</t>
  </si>
  <si>
    <t>che // ti ho chiesto già tro~ // // un sacco di cose // ben~ // bene // quindi // ti ringrazio // grazie a te // e // fermo la</t>
  </si>
  <si>
    <t>#403433</t>
  </si>
  <si>
    <t>https://search.corpuskiparla.it/corpus/player/player.cgi?code=PBB001&amp;begin=3154501&amp;end=3156202</t>
  </si>
  <si>
    <t>chiesto già tro~ // // un sacco di cose // ben~ // bene // quindi // ti ringrazio // grazie a te // e // fermo la registrazione</t>
  </si>
  <si>
    <t>// sì che un po'' di dolcezza non fa mai male // no perché poi n~ non ce n''é più // // questo qua lì mangi tutti gianna altro che</t>
  </si>
  <si>
    <t>PBA014</t>
  </si>
  <si>
    <t>#415464</t>
  </si>
  <si>
    <t>doc#62</t>
  </si>
  <si>
    <t>https://search.corpuskiparla.it/corpus/player/player.cgi?code=PBA014&amp;begin=763420&amp;end=764553</t>
  </si>
  <si>
    <t>BOI076</t>
  </si>
  <si>
    <t>https://search.corpuskiparla.it/corpus/conversations/PBA014.html</t>
  </si>
  <si>
    <t>https://search.corpuskiparla.it/corpus/conversations/PBA014_jefferson.html</t>
  </si>
  <si>
    <t>in generale // comunque pensi che mh s~ // questa sia una città cioè una buona città in cui lavorare // allora in generale</t>
  </si>
  <si>
    <t>di sì // ma in anche // proprio come città in cui vivere // mh // perchè magari // okay // ci sono delle città belle o dei</t>
  </si>
  <si>
    <t>PBB016</t>
  </si>
  <si>
    <t>#438638</t>
  </si>
  <si>
    <t>doc#66</t>
  </si>
  <si>
    <t>https://search.corpuskiparla.it/corpus/player/player.cgi?code=PBB016&amp;begin=359236&amp;end=361774</t>
  </si>
  <si>
    <t>BOI049</t>
  </si>
  <si>
    <t>https://search.corpuskiparla.it/corpus/conversations/PBB016.html</t>
  </si>
  <si>
    <t>https://search.corpuskiparla.it/corpus/conversations/PBB016_jefferson.html</t>
  </si>
  <si>
    <t>disocc</t>
  </si>
  <si>
    <t>in questo quartiere? // oddio c''è il parco qui vicino e mh // poi // no // posti carini proprio // okay // a parte il parco non</t>
  </si>
  <si>
    <t>proprio di no // mhmh // e mh // quindi // più in generale sulla sulla città // cioè spostandoci da // mhmh // e rispetto al</t>
  </si>
  <si>
    <t>#439733</t>
  </si>
  <si>
    <t>https://search.corpuskiparla.it/corpus/player/player.cgi?code=PBB016&amp;begin=827156&amp;end=828037</t>
  </si>
  <si>
    <t>io // me li ricordo sempre così mh // non // non ho notato grandi differenze // mh // da quando ero piccolo mh // adesso mh //</t>
  </si>
  <si>
    <t>proprio di no // okay // quindi // sono sempre stati un po'' // diciamo imbrattati // ma quello per me non è un problema cioè</t>
  </si>
  <si>
    <t>#440162</t>
  </si>
  <si>
    <t>https://search.corpuskiparla.it/corpus/player/player.cgi?code=PBB016&amp;begin=1013926&amp;end=1016123</t>
  </si>
  <si>
    <t>BOR006</t>
  </si>
  <si>
    <t>// monumenti // mhmh // eccetera ti farei qualche domanda sulla sul tempo libero // ad esempio // mh // prima</t>
  </si>
  <si>
    <t>sullo sport // mh? // hai detto prima // non fai attività fisica a parte la camminata // no mi piace camminare e basta // mh</t>
  </si>
  <si>
    <t>PBC001</t>
  </si>
  <si>
    <t>#443714</t>
  </si>
  <si>
    <t>doc#67</t>
  </si>
  <si>
    <t>https://search.corpuskiparla.it/corpus/player/player.cgi?code=PBC001&amp;begin=515846&amp;end=516357</t>
  </si>
  <si>
    <t>BOI001</t>
  </si>
  <si>
    <t>https://search.corpuskiparla.it/corpus/conversations/PBC001.html</t>
  </si>
  <si>
    <t>https://search.corpuskiparla.it/corpus/conversations/PBC001_jefferson.html</t>
  </si>
  <si>
    <t>uff</t>
  </si>
  <si>
    <t>ecco non no~ non ne ricordo casi di di di di di // particolari ecco di di violenze di di // in questa zona ecco mh no // mhm //</t>
  </si>
  <si>
    <t>di no // sì sì // e ehm // hai detto appunto che oggi // probabilmente non si fanno più // andare in giro i bambini da soli //</t>
  </si>
  <si>
    <t>#445826</t>
  </si>
  <si>
    <t>https://search.corpuskiparla.it/corpus/player/player.cgi?code=PBC001&amp;begin=1256007&amp;end=1257554</t>
  </si>
  <si>
    <t>// certi palazzi e mh // ma non san luca ecco // mh // e mi è venuta in mente una cosa eh // so che esistono // varie mh // storie</t>
  </si>
  <si>
    <t>aneddoti // tu sai perchè // perchè ci sono i portici da // da cosa hanno avuto origine // sì i portici per quanto ne ne so io</t>
  </si>
  <si>
    <t>#452082</t>
  </si>
  <si>
    <t>https://search.corpuskiparla.it/corpus/player/player.cgi?code=PBC001&amp;begin=3329391&amp;end=3331595</t>
  </si>
  <si>
    <t>cioè non non // eh // cioè è una delle tante cose che si stanno perdendo ecco non // mh // insieme a tutta quell''autenticità</t>
  </si>
  <si>
    <t>che // insieme a sì certo // di cui parlavi prima // sì sì assolutamente // mh // assolutamente sì // mhmh // va bene // okay</t>
  </si>
  <si>
    <t>PBA027</t>
  </si>
  <si>
    <t>#454950</t>
  </si>
  <si>
    <t>doc#68</t>
  </si>
  <si>
    <t>https://search.corpuskiparla.it/corpus/player/player.cgi?code=PBA027&amp;begin=884487&amp;end=887198</t>
  </si>
  <si>
    <t>BOI106</t>
  </si>
  <si>
    <t>https://search.corpuskiparla.it/corpus/conversations/PBA027.html</t>
  </si>
  <si>
    <t>https://search.corpuskiparla.it/corpus/conversations/PBA027_jefferson.html</t>
  </si>
  <si>
    <t>// è la festività più sentita // per entrambe le famiglie // siete en~ e per en~ per entrambi okay // sì sì sì // sì // e poi</t>
  </si>
  <si>
    <t>compleanni // compleanno // compleanni sì // la pasqua e ferragosto x molto meno // okay // primo dell''anno? non so //</t>
  </si>
  <si>
    <t>PBB030</t>
  </si>
  <si>
    <t>#475774</t>
  </si>
  <si>
    <t>doc#69</t>
  </si>
  <si>
    <t>https://search.corpuskiparla.it/corpus/player/player.cgi?code=PBB030&amp;begin=3643288&amp;end=3644759</t>
  </si>
  <si>
    <t>BOR025</t>
  </si>
  <si>
    <t>https://search.corpuskiparla.it/corpus/conversations/PBB030.html</t>
  </si>
  <si>
    <t>https://search.corpuskiparla.it/corpus/conversations/PBB030_jefferson.html</t>
  </si>
  <si>
    <t>vabbè // nie~ n~ non è quello che si // comunque è una cosa molto invernale molto bello sì sì sì // eh // ho capito // basta io</t>
  </si>
  <si>
    <t>che // che siamo a posto // sì sì sì siamo // molto a posto noi ti ringraziamo // molto // okay ragazze vi auguro in bocca al</t>
  </si>
  <si>
    <t>BOA1013</t>
  </si>
  <si>
    <t>#480328</t>
  </si>
  <si>
    <t>doc#71</t>
  </si>
  <si>
    <t>https://search.corpuskiparla.it/corpus/player/player.cgi?code=BOA1013&amp;begin=191210&amp;end=203350</t>
  </si>
  <si>
    <t>BO026</t>
  </si>
  <si>
    <t>https://search.corpuskiparla.it/corpus/conversations/BOA1013.html</t>
  </si>
  <si>
    <t>https://search.corpuskiparla.it/corpus/conversations/BOA1013_jefferson.html</t>
  </si>
  <si>
    <t>basilicata</t>
  </si>
  <si>
    <t>ricevimento studenti</t>
  </si>
  <si>
    <t>sininomo no? la dimensione // comunque è xx eh // è vero // ehmh // il l'' uso perché qui c'' è l'' uso e l'' evoluzione no</t>
  </si>
  <si>
    <t>proprio la dimensione linguistica o mh la lingua italiana nella cinematografia costituisce un argomento di</t>
  </si>
  <si>
    <t>#480393</t>
  </si>
  <si>
    <t>https://search.corpuskiparla.it/corpus/player/player.cgi?code=BOA1013&amp;begin=216683&amp;end=218630</t>
  </si>
  <si>
    <t>// sì a volte mi capita di okay // però è chiaro però è chiaro // spezzare // eh sintaticamente è è chiaro // eh mentre qui io</t>
  </si>
  <si>
    <t>// uh qualcosa in più prima di dire // mhmh // eh t~ mh intanto non non darei questa enfasi tanto che // no? // okay // eh</t>
  </si>
  <si>
    <t>#480610</t>
  </si>
  <si>
    <t>https://search.corpuskiparla.it/corpus/player/player.cgi?code=BOA1013&amp;begin=295995&amp;end=298580</t>
  </si>
  <si>
    <t>detto di concentrarci magari più sulla sociolinguistica // sì e poi c~ infatti e c'' è ehmh // forse io qui nel titolo</t>
  </si>
  <si>
    <t>dalla // mhmh // prospettiva // a meno che non siano diverse se~ a meno che non sia giustificato il plurale // sì sì // eh //</t>
  </si>
  <si>
    <t>#481392</t>
  </si>
  <si>
    <t>https://search.corpuskiparla.it/corpus/player/player.cgi?code=BOA1013&amp;begin=616760&amp;end=624005</t>
  </si>
  <si>
    <t>molto ben fatto // mhsegnalerò proprio alcune piccole cose come quella indicata all''inizio no? // ~kay // mhmh //</t>
  </si>
  <si>
    <t>di procedere così e di e di avevamo detto che l'' analisi che aveva già iniziato // sì // ehmh eravamo rimasti d'' accordo //</t>
  </si>
  <si>
    <t>#482102</t>
  </si>
  <si>
    <t>https://search.corpuskiparla.it/corpus/player/player.cgi?code=BOA1013&amp;begin=863795&amp;end=867270</t>
  </si>
  <si>
    <t>dei capitoli la inserisce anche nell'' indice così quando la manda io ho di nuovo il quadro // va bene certo // okay // però</t>
  </si>
  <si>
    <t>mh eh di procedere in questo modo // mhmh // questa chiarezza con la divisione in paragrafi in questo mo~ // modo //</t>
  </si>
  <si>
    <t>PBA011</t>
  </si>
  <si>
    <t>#516547</t>
  </si>
  <si>
    <t>doc#77</t>
  </si>
  <si>
    <t>https://search.corpuskiparla.it/corpus/player/player.cgi?code=PBA011&amp;begin=695000&amp;end=695644</t>
  </si>
  <si>
    <t>BOR021</t>
  </si>
  <si>
    <t>https://search.corpuskiparla.it/corpus/conversations/PBA011.html</t>
  </si>
  <si>
    <t>https://search.corpuskiparla.it/corpus/conversations/PBA011_jefferson.html</t>
  </si>
  <si>
    <t>comunque // appunto come dicevo prima bologna viene conosciuta molto // tramite i portici perchè son famosini no? // eh</t>
  </si>
  <si>
    <t>// anche se tu vai a vedere se tu scrivi bologna su internet ti escono le foto di san luca // san luca è composto da // maggior</t>
  </si>
  <si>
    <t>TOD2015</t>
  </si>
  <si>
    <t>#522785</t>
  </si>
  <si>
    <t>doc#78</t>
  </si>
  <si>
    <t>https://search.corpuskiparla.it/corpus/player/player.cgi?code=TOD2015&amp;begin=18268&amp;end=24850</t>
  </si>
  <si>
    <t>TO071</t>
  </si>
  <si>
    <t>https://search.corpuskiparla.it/corpus/conversations/TOD2015.html</t>
  </si>
  <si>
    <t>https://search.corpuskiparla.it/corpus/conversations/TOD2015_jefferson.html</t>
  </si>
  <si>
    <t>abruzzo</t>
  </si>
  <si>
    <t>okay? // ma non eh astrattamente ti chiederò di parlare delle tue case okay? // puoi parire da quello che ti pare però io</t>
  </si>
  <si>
    <t>che partiamo dal duemiladiciotto // okay? // d'' accordo // nel duemiladiciotto dove hai vissuto quali sono state o</t>
  </si>
  <si>
    <t>#526451</t>
  </si>
  <si>
    <t>https://search.corpuskiparla.it/corpus/player/player.cgi?code=TOD2015&amp;begin=1098908&amp;end=1101953</t>
  </si>
  <si>
    <t>TO073</t>
  </si>
  <si>
    <t>ragazzo poi rapporto conflittuale con la ragazza x // con lei poi in realtà da lì è nata una sorta di // amicizia morbosa</t>
  </si>
  <si>
    <t>ecco // ah ah // la definirei così nel senso che mh lei è entrata molto nel mio gruppo di amiche proprio // eh oltre che nella</t>
  </si>
  <si>
    <t>PTD022</t>
  </si>
  <si>
    <t>#551038</t>
  </si>
  <si>
    <t>doc#84</t>
  </si>
  <si>
    <t>https://search.corpuskiparla.it/corpus/player/player.cgi?code=PTD022&amp;begin=395643&amp;end=400240</t>
  </si>
  <si>
    <t>TOI009</t>
  </si>
  <si>
    <t>https://search.corpuskiparla.it/corpus/conversations/PTD022.html</t>
  </si>
  <si>
    <t>https://search.corpuskiparla.it/corpus/conversations/PTD022_jefferson.html</t>
  </si>
  <si>
    <t>ci~ // sì // da qualunque parte // non è un problema // ci sono cose che miglioreresti della tua zona? // ma no // no no no</t>
  </si>
  <si>
    <t>che va bene meno casino alla sera ma in realtà mi va mi va ancora bene // okay // ancora // trovi tutto nel tuo quartiere o ti</t>
  </si>
  <si>
    <t>PTB025</t>
  </si>
  <si>
    <t>#590613</t>
  </si>
  <si>
    <t>doc#90</t>
  </si>
  <si>
    <t>https://search.corpuskiparla.it/corpus/player/player.cgi?code=PTB025&amp;begin=3274152&amp;end=3276234</t>
  </si>
  <si>
    <t>https://search.corpuskiparla.it/corpus/conversations/PTB025.html</t>
  </si>
  <si>
    <t>https://search.corpuskiparla.it/corpus/conversations/PTB025_jefferson.html</t>
  </si>
  <si>
    <t>// ma proprio una mia idea e // loro sono // a loro piace insomma // mh mh mh mh // beh quindi vi mantenete molto in attività</t>
  </si>
  <si>
    <t>eh? // xx // sì sì // sì molto // allora // // la x // io purtroppo cioè ho ho tutto l''ambaradanmh // della casa per cui quello</t>
  </si>
  <si>
    <t>PBA010</t>
  </si>
  <si>
    <t>#602794</t>
  </si>
  <si>
    <t>doc#93</t>
  </si>
  <si>
    <t>https://search.corpuskiparla.it/corpus/player/player.cgi?code=PBA010&amp;begin=99490&amp;end=108315</t>
  </si>
  <si>
    <t>BOI069</t>
  </si>
  <si>
    <t>https://search.corpuskiparla.it/corpus/conversations/PBA010.html</t>
  </si>
  <si>
    <t>https://search.corpuskiparla.it/corpus/conversations/PBA010_jefferson.html</t>
  </si>
  <si>
    <t>artig</t>
  </si>
  <si>
    <t>traffico quindi una zona molto rilassante // mh bene bene // ma è collegata bene con bologna? cioè con i mezzi //</t>
  </si>
  <si>
    <t>abbastanza bene fuo~ subito fuori dalla via dove abito una linea di autobus che mi arriva direttamente in stazione in</t>
  </si>
  <si>
    <t>#603809</t>
  </si>
  <si>
    <t>https://search.corpuskiparla.it/corpus/player/player.cgi?code=PBA010&amp;begin=455503&amp;end=460813</t>
  </si>
  <si>
    <t>a ferrara // ah // però a essere sinceri tra bologna e ferrara // un po'' gli mo~ i bolognesi mi odieranno per questo però</t>
  </si>
  <si>
    <t>che preferisco ferrara perché è un po'' più piccola // // mhmh certo // però è mh un po'' più tranquilla nel senso viv~ ~ssuta</t>
  </si>
  <si>
    <t>#606752</t>
  </si>
  <si>
    <t>https://search.corpuskiparla.it/corpus/player/player.cgi?code=PBA010&amp;begin=1559872&amp;end=1562518</t>
  </si>
  <si>
    <t>o di età diverse? // giovani // il più vecchio ha quartanta due anni // giovani? // ah okay // siete // siamo mh età media</t>
  </si>
  <si>
    <t>// trenta? trentadue? // siamo molto giovani e comunque è un qualcosa di // molto attuale // mhmh // l~ l''ag~ il più</t>
  </si>
  <si>
    <t>PTA006</t>
  </si>
  <si>
    <t>#609622</t>
  </si>
  <si>
    <t>doc#94</t>
  </si>
  <si>
    <t>https://search.corpuskiparla.it/corpus/player/player.cgi?code=PTA006&amp;begin=643011&amp;end=648647</t>
  </si>
  <si>
    <t>TOI006</t>
  </si>
  <si>
    <t>https://search.corpuskiparla.it/corpus/conversations/PTA006.html</t>
  </si>
  <si>
    <t>https://search.corpuskiparla.it/corpus/conversations/PTA006_jefferson.html</t>
  </si>
  <si>
    <t>novità alle tecnologie a quello che è // ehmh no alle tecnologie no alle alle opportunità nuove mettiamola perché poi</t>
  </si>
  <si>
    <t>una cosa che non so // mh mh mh // però cioè nel senso che c''è un politecnico non posso dire che per le tecnologie non siamo</t>
  </si>
  <si>
    <t>#613114</t>
  </si>
  <si>
    <t>https://search.corpuskiparla.it/corpus/player/player.cgi?code=PTA006&amp;begin=1724912&amp;end=1731878</t>
  </si>
  <si>
    <t>sono problemi nella tua zona? ci sono cose che miglioreresti? // s~ migliorerei probabilmente la viabilità ma non non</t>
  </si>
  <si>
    <t>questa via bisogna farla in un senso unico // e che continuano a costruire // mh // anche dove è già stracostruito</t>
  </si>
  <si>
    <t>BOD1011</t>
  </si>
  <si>
    <t>#628363</t>
  </si>
  <si>
    <t>doc#96</t>
  </si>
  <si>
    <t>https://search.corpuskiparla.it/corpus/player/player.cgi?code=BOD1011&amp;begin=2329840&amp;end=2333981</t>
  </si>
  <si>
    <t>===NONE===</t>
  </si>
  <si>
    <t>https://search.corpuskiparla.it/corpus/conversations/BOD1011.html</t>
  </si>
  <si>
    <t>https://search.corpuskiparla.it/corpus/conversations/BOD1011_jefferson.html</t>
  </si>
  <si>
    <t>// successive non mi ricevono // quindi devono essere di casta alta così posso entrare ovunque // e // prego // quindi</t>
  </si>
  <si>
    <t>è della casta più alta quindi xxx xxx // sì la casta la casta più alta pe quella dei brakmani // ma non basta // deve essere //</t>
  </si>
  <si>
    <t>KPN021</t>
  </si>
  <si>
    <t>#639071</t>
  </si>
  <si>
    <t>doc#97</t>
  </si>
  <si>
    <t>https://search.corpuskiparla.it/corpus/player/player.cgi?code=KPN021&amp;begin=882479&amp;end=885739</t>
  </si>
  <si>
    <t>PKP070</t>
  </si>
  <si>
    <t>https://search.corpuskiparla.it/corpus/conversations/KPN021.html</t>
  </si>
  <si>
    <t>https://search.corpuskiparla.it/corpus/conversations/KPN021_jefferson.html</t>
  </si>
  <si>
    <t>TV</t>
  </si>
  <si>
    <t>#639923</t>
  </si>
  <si>
    <t>https://search.corpuskiparla.it/corpus/player/player.cgi?code=KPN021&amp;begin=1146289&amp;end=1148879</t>
  </si>
  <si>
    <t>PKP072</t>
  </si>
  <si>
    <t>N/A</t>
  </si>
  <si>
    <t>sta qua fa tipo tutte le grafiche con il no~ i nomi // ah ah // tipo // okay // ma è stra figo // sì sì // tipo stra logo // sì // io</t>
  </si>
  <si>
    <t>che questo lo spegniamo perchè se no moriamo // eh // ah beh sì l''altra volta a casa mia tipo // // era un po'' // cioè è stra</t>
  </si>
  <si>
    <t>TOD2014</t>
  </si>
  <si>
    <t>#662074</t>
  </si>
  <si>
    <t>doc#100</t>
  </si>
  <si>
    <t>https://search.corpuskiparla.it/corpus/player/player.cgi?code=TOD2014&amp;begin=614210&amp;end=615118</t>
  </si>
  <si>
    <t>TO059</t>
  </si>
  <si>
    <t>https://search.corpuskiparla.it/corpus/conversations/TOD2014.html</t>
  </si>
  <si>
    <t>https://search.corpuskiparla.it/corpus/conversations/TOD2014_jefferson.html</t>
  </si>
  <si>
    <t>umbria</t>
  </si>
  <si>
    <t>no che mo siete vecchie insomma in in adolescenza okay forse adolescenti non lo siete // // più forse non lo so // madonna</t>
  </si>
  <si>
    <t>di no // okay // da un po'' anche // la casa delle superiori raccontatemi quando facevate le superiori dove stavate più o</t>
  </si>
  <si>
    <t>#665466</t>
  </si>
  <si>
    <t>https://search.corpuskiparla.it/corpus/player/player.cgi?code=TOD2014&amp;begin=1649663&amp;end=1654200</t>
  </si>
  <si>
    <t>PTD012</t>
  </si>
  <si>
    <t>#678303</t>
  </si>
  <si>
    <t>doc#103</t>
  </si>
  <si>
    <t>https://search.corpuskiparla.it/corpus/player/player.cgi?code=PTD012&amp;begin=348136&amp;end=351920</t>
  </si>
  <si>
    <t>TOI068</t>
  </si>
  <si>
    <t>https://search.corpuskiparla.it/corpus/conversations/PTD012.html</t>
  </si>
  <si>
    <t>https://search.corpuskiparla.it/corpus/conversations/PTD012_jefferson.html</t>
  </si>
  <si>
    <t>46-50</t>
  </si>
  <si>
    <t>lazio</t>
  </si>
  <si>
    <t>una roba che potevi fare così legalmente e normalmente quindi // quello c''è sempre stato // qui con questa affluenza io</t>
  </si>
  <si>
    <t>che sarà un paio di anni buoni // perchèbah // banalmente forse c''hanno messo un po'' a scoprirlo nel senso che // il grosso</t>
  </si>
  <si>
    <t>#678481</t>
  </si>
  <si>
    <t>https://search.corpuskiparla.it/corpus/player/player.cgi?code=PTD012&amp;begin=398706&amp;end=405255</t>
  </si>
  <si>
    <t>quello è un treno forse più caro no? un''alta vel~ un tgv // mhmh // quindi forse quello ha indotto a metterci di meno // io</t>
  </si>
  <si>
    <t>diciamo dall''estate del duemiladiciassette abbiamo cominciato a vedere gente in giro anche in montagna x qua</t>
  </si>
  <si>
    <t>#687546</t>
  </si>
  <si>
    <t>https://search.corpuskiparla.it/corpus/player/player.cgi?code=PTD012&amp;begin=3228272&amp;end=3230715</t>
  </si>
  <si>
    <t>duemiladiciassette a maggio duemiladiciannove // han calcolato circa dodicimila persone // madonna // eh // sì</t>
  </si>
  <si>
    <t>PBB033</t>
  </si>
  <si>
    <t>#698548</t>
  </si>
  <si>
    <t>doc#105</t>
  </si>
  <si>
    <t>https://search.corpuskiparla.it/corpus/player/player.cgi?code=PBB033&amp;begin=2596054&amp;end=2598699</t>
  </si>
  <si>
    <t>BOR037</t>
  </si>
  <si>
    <t>https://search.corpuskiparla.it/corpus/conversations/PBB033.html</t>
  </si>
  <si>
    <t>https://search.corpuskiparla.it/corpus/conversations/PBB033_jefferson.html</t>
  </si>
  <si>
    <t>capito // sì // // tu vai in piazza maggiore e li conti sono nove i gradini di san petronio // #è vero ro~ anche in modenese</t>
  </si>
  <si>
    <t>che sed nov? // hai capito? e loro // avevano questo modo delle volte di incontrarsi così per un pochino // #ironico per</t>
  </si>
  <si>
    <t>#699427</t>
  </si>
  <si>
    <t>https://search.corpuskiparla.it/corpus/player/player.cgi?code=PBB033&amp;begin=2889694&amp;end=2893735</t>
  </si>
  <si>
    <t>anni settanta anni di piombo eh stati un po'' difficili in sè // sì sì sì // erano anni un po'' memorabili // eh // beh allora</t>
  </si>
  <si>
    <t>che possiamo concludere l''intervista // ah sì // xsto un po'' di dom~ insomma ho fatto molte domande // no ah beh vabbè per</t>
  </si>
  <si>
    <t>PBB013</t>
  </si>
  <si>
    <t>#715225</t>
  </si>
  <si>
    <t>doc#109</t>
  </si>
  <si>
    <t>https://search.corpuskiparla.it/corpus/player/player.cgi?code=PBB013&amp;begin=1007671&amp;end=1008847</t>
  </si>
  <si>
    <t>BOI040</t>
  </si>
  <si>
    <t>https://search.corpuskiparla.it/corpus/conversations/PBB013.html</t>
  </si>
  <si>
    <t>https://search.corpuskiparla.it/corpus/conversations/PBB013_jefferson.html</t>
  </si>
  <si>
    <t>// // un po'' in balia degli eventi // si // e il trasporto pubblico a bologna nel bacino di bologna funziona bene? // ma io</t>
  </si>
  <si>
    <t>di si // io direi di si // insomma le zone // nonostante tutto nonostante il casino nonostante i tempi un po'' // e // e //</t>
  </si>
  <si>
    <t>#715230</t>
  </si>
  <si>
    <t>https://search.corpuskiparla.it/corpus/player/player.cgi?code=PBB013&amp;begin=1009392&amp;end=1010267</t>
  </si>
  <si>
    <t>balia degli eventi // si // e il trasporto pubblico a bologna nel bacino di bologna funziona bene? // ma io direi di si // io</t>
  </si>
  <si>
    <t>di si // insomma le zone // nonostante tutto nonostante il casino nonostante i tempi un po'' // e // e // lunghi e da di</t>
  </si>
  <si>
    <t>KPS004</t>
  </si>
  <si>
    <t>#718361</t>
  </si>
  <si>
    <t>doc#110</t>
  </si>
  <si>
    <t>https://search.corpuskiparla.it/corpus/player/player.cgi?code=KPS004&amp;begin=293021&amp;end=294050</t>
  </si>
  <si>
    <t>PKP033</t>
  </si>
  <si>
    <t>https://search.corpuskiparla.it/corpus/conversations/KPS004.html</t>
  </si>
  <si>
    <t>https://search.corpuskiparla.it/corpus/conversations/KPS004_jefferson.html</t>
  </si>
  <si>
    <t>LE</t>
  </si>
  <si>
    <t>caldo // pigliati quello che vuoi che io mo me piglio l''altre // i cuori pigliali belli cuoricini eh // // // no ma non mh //</t>
  </si>
  <si>
    <t>basta // io non ne voglio più // finché ti regoli // sì // okay // sono cotte // mh mh // mh // mh mh // è comodo sto coso per fare</t>
  </si>
  <si>
    <t>PTB022</t>
  </si>
  <si>
    <t>#746410</t>
  </si>
  <si>
    <t>doc#111</t>
  </si>
  <si>
    <t>https://search.corpuskiparla.it/corpus/player/player.cgi?code=PTB022&amp;begin=1660722&amp;end=1665128</t>
  </si>
  <si>
    <t>TOI075</t>
  </si>
  <si>
    <t>https://search.corpuskiparla.it/corpus/conversations/PTB022.html</t>
  </si>
  <si>
    <t>https://search.corpuskiparla.it/corpus/conversations/PTB022_jefferson.html</t>
  </si>
  <si>
    <t>tendono a // pensare che una volta si stava bene // poi tutti hanno nostalgia // del passato ma // in linea di massima non</t>
  </si>
  <si>
    <t>che la situazione sia migliorata // mhmhmh // secondo il mio modesto parere // tutto è relativo eh // quello che sta bene</t>
  </si>
  <si>
    <t>BOC1005</t>
  </si>
  <si>
    <t>#750131</t>
  </si>
  <si>
    <t>doc#112</t>
  </si>
  <si>
    <t>https://search.corpuskiparla.it/corpus/player/player.cgi?code=BOC1005&amp;begin=1130943&amp;end=1132695</t>
  </si>
  <si>
    <t>BO105</t>
  </si>
  <si>
    <t>https://search.corpuskiparla.it/corpus/conversations/BOC1005.html</t>
  </si>
  <si>
    <t>https://search.corpuskiparla.it/corpus/conversations/BOC1005_jefferson.html</t>
  </si>
  <si>
    <t>magari in classi più ridotte si riesce // ad andare incontro al metodo di studio ti tutti // ehm // come fattori interni //</t>
  </si>
  <si>
    <t>che c'' è eh // sì sulla biografia linguistica magari ci sono alcuni aspetti legati alla biografia linguistica // non mi</t>
  </si>
  <si>
    <t>#751053</t>
  </si>
  <si>
    <t>https://search.corpuskiparla.it/corpus/player/player.cgi?code=BOC1005&amp;begin=1479221&amp;end=1483370</t>
  </si>
  <si>
    <t>BO104</t>
  </si>
  <si>
    <t>36-40</t>
  </si>
  <si>
    <t>della progettazione colaborativa eccetera quindi molto piú olistica // diminuita sì // va bene senti allora io</t>
  </si>
  <si>
    <t>che per questa parte ci possiamo fermare // ehm // sicuramente ecco si percepisce che non hai studiato le slide perchè //</t>
  </si>
  <si>
    <t>PBC015</t>
  </si>
  <si>
    <t>#751403</t>
  </si>
  <si>
    <t>doc#113</t>
  </si>
  <si>
    <t>https://search.corpuskiparla.it/corpus/player/player.cgi?code=PBC015&amp;begin=36050&amp;end=38277</t>
  </si>
  <si>
    <t>BOI037</t>
  </si>
  <si>
    <t>https://search.corpuskiparla.it/corpus/conversations/PBC015.html</t>
  </si>
  <si>
    <t>https://search.corpuskiparla.it/corpus/conversations/PBC015_jefferson.html</t>
  </si>
  <si>
    <t>x // // eh vabbè insomma // poi son rimasto sempre qui quindi // quindi comunque la conosci abbastanza bene // la città</t>
  </si>
  <si>
    <t>di sì // vabbè dai almeno quello // eh // comunque non so eh eh è una buona città cioè come si trova? // ma io l''ho scelta devo</t>
  </si>
  <si>
    <t>#754374</t>
  </si>
  <si>
    <t>https://search.corpuskiparla.it/corpus/player/player.cgi?code=PBC015&amp;begin=1179952&amp;end=1183910</t>
  </si>
  <si>
    <t>po'' d''attenzione // li riconosci insomma ecco il // devo dire che ormai almeno per me eh sì il centro storico di bologna //</t>
  </si>
  <si>
    <t>che non non mi crea più problemi da nessuna parte insomma ecco // meno male // cosa un po'' diversa ovviamente sono le zone</t>
  </si>
  <si>
    <t>#754584</t>
  </si>
  <si>
    <t>https://search.corpuskiparla.it/corpus/player/player.cgi?code=PBC015&amp;begin=1258540&amp;end=1259330</t>
  </si>
  <si>
    <t>sempre tutto però dai // io ripeto // eh // con l''esperienza che ho // e con gli anni che che che ho vissuto qui //</t>
  </si>
  <si>
    <t>che // mi sono sempre trovato abbasta~ poi ovviamente come tutti ho avuto i miei problemi ho avuto le mie difficoltà // eh</t>
  </si>
  <si>
    <t>#756257</t>
  </si>
  <si>
    <t>https://search.corpuskiparla.it/corpus/player/player.cgi?code=PBC015&amp;begin=1924470&amp;end=1926070</t>
  </si>
  <si>
    <t>soluzione usa questo eh // eh // vedo che non è utile per niente e quindi // no no eh ma infatti purtroppo // // aiuta sempre</t>
  </si>
  <si>
    <t>// // andare avanti // eh // bene // va bene direi che // intanto grazie ancora perchè // niente figurati // ascolta eh sono</t>
  </si>
  <si>
    <t>#756269</t>
  </si>
  <si>
    <t>https://search.corpuskiparla.it/corpus/player/player.cgi?code=PBC015&amp;begin=1930890&amp;end=1932203</t>
  </si>
  <si>
    <t>per niente e quindi // no no eh ma infatti purtroppo // // aiuta sempre direi // // andare avanti // eh // bene // va bene</t>
  </si>
  <si>
    <t>che // intanto grazie ancora perchè // niente figurati // ascolta eh sono le quattro quindi cosa ti accompagno da rossi?</t>
  </si>
  <si>
    <t>BOD1001</t>
  </si>
  <si>
    <t>#770525</t>
  </si>
  <si>
    <t>doc#114</t>
  </si>
  <si>
    <t>https://search.corpuskiparla.it/corpus/player/player.cgi?code=BOD1001&amp;begin=5489782&amp;end=5494078</t>
  </si>
  <si>
    <t>BO013</t>
  </si>
  <si>
    <t>https://search.corpuskiparla.it/corpus/conversations/BOD1001.html</t>
  </si>
  <si>
    <t>https://search.corpuskiparla.it/corpus/conversations/BOD1001_jefferson.html</t>
  </si>
  <si>
    <t>di tutto quello che dovrebbe avere un bambino // ci fermiamo qua // per oggi ehm // dunque lunedì // è l'' ultima lezione</t>
  </si>
  <si>
    <t>almeno dai miei conti dovrebbe essere l'' ultima lezione // eh rimangono // in ballo alcune cose eh il film // eh vedo se</t>
  </si>
  <si>
    <t>#771063</t>
  </si>
  <si>
    <t>https://search.corpuskiparla.it/corpus/player/player.cgi?code=BOD1001&amp;begin=5709091&amp;end=5711582</t>
  </si>
  <si>
    <t>// eh che giorno è della settimana aspetta // allora l'' undici è mercoledì // il dodici sarebbe un giovedì // bah sì</t>
  </si>
  <si>
    <t>di sì comunque ci sentiamo eh? // dobbiamo scrivere un'' email o? // sì mh mandatemi un'' email eh // quella settimana lì</t>
  </si>
  <si>
    <t>KPS007</t>
  </si>
  <si>
    <t>#777789</t>
  </si>
  <si>
    <t>doc#115</t>
  </si>
  <si>
    <t>https://search.corpuskiparla.it/corpus/player/player.cgi?code=KPS007&amp;begin=2090749&amp;end=2094593</t>
  </si>
  <si>
    <t>PKP134</t>
  </si>
  <si>
    <t>https://search.corpuskiparla.it/corpus/conversations/KPS007.html</t>
  </si>
  <si>
    <t>https://search.corpuskiparla.it/corpus/conversations/KPS007_jefferson.html</t>
  </si>
  <si>
    <t>PE</t>
  </si>
  <si>
    <t>che x volendo faccio qualche prova di outfit // ehm // e poi cioè i~ vorrei fare attività fisica visto che alle otto</t>
  </si>
  <si>
    <t>BOD2013</t>
  </si>
  <si>
    <t>#780224</t>
  </si>
  <si>
    <t>doc#116</t>
  </si>
  <si>
    <t>https://search.corpuskiparla.it/corpus/player/player.cgi?code=BOD2013&amp;begin=888445&amp;end=890725</t>
  </si>
  <si>
    <t>BO098</t>
  </si>
  <si>
    <t>https://search.corpuskiparla.it/corpus/conversations/BOD2013.html</t>
  </si>
  <si>
    <t>https://search.corpuskiparla.it/corpus/conversations/BOD2013_jefferson.html</t>
  </si>
  <si>
    <t>po'' del rossi // mh il rossi? // // il rossi è un bellissimo soggetto // è un ragazzo molto vivace // e estremamente vivace</t>
  </si>
  <si>
    <t>// canta si sveglia la mattina canta lava i piatti canta a squarciagola // che a volte ti viene da tirargli una scarpa in</t>
  </si>
  <si>
    <t>PBC024</t>
  </si>
  <si>
    <t>#784373</t>
  </si>
  <si>
    <t>doc#117</t>
  </si>
  <si>
    <t>https://search.corpuskiparla.it/corpus/player/player.cgi?code=PBC024&amp;begin=1638230&amp;end=1639050</t>
  </si>
  <si>
    <t>BOI104</t>
  </si>
  <si>
    <t>https://search.corpuskiparla.it/corpus/conversations/PBC024.html</t>
  </si>
  <si>
    <t>https://search.corpuskiparla.it/corpus/conversations/PBC024_jefferson.html</t>
  </si>
  <si>
    <t>accendi la luce // la mortadella // la mortadella? // mh // metto la mortadella e poi cosa ci mettiamo cosa ci mettiamo //</t>
  </si>
  <si>
    <t>basta // beh insomma // ma il ripieno lo comprate fatto // uova // eh il ripieno quando è fatto si fa la sfoglia // lo fate</t>
  </si>
  <si>
    <t>#787293</t>
  </si>
  <si>
    <t>https://search.corpuskiparla.it/corpus/player/player.cgi?code=PBC024&amp;begin=2931740&amp;end=2935530</t>
  </si>
  <si>
    <t>BOR036</t>
  </si>
  <si>
    <t>capito queste cose qua ti racconto io di cesare // beh giusto va bene giusto giusto // e poi cosa volete ancora? // no ma no</t>
  </si>
  <si>
    <t>che gua~ guardami un attimo // sì guardo sì // per non dire anche quando che magari andavamo alla biblioteca // ehm // qui</t>
  </si>
  <si>
    <t>BOD2006</t>
  </si>
  <si>
    <t>#791739</t>
  </si>
  <si>
    <t>doc#118</t>
  </si>
  <si>
    <t>https://search.corpuskiparla.it/corpus/player/player.cgi?code=BOD2006&amp;begin=466961&amp;end=467811</t>
  </si>
  <si>
    <t>BO051</t>
  </si>
  <si>
    <t>https://search.corpuskiparla.it/corpus/conversations/BOD2006.html</t>
  </si>
  <si>
    <t>https://search.corpuskiparla.it/corpus/conversations/BOD2006_jefferson.html</t>
  </si>
  <si>
    <t>// assolutamente sí assolutamente sí // un'' esperienza meravigliosa sotto tutti i punti di vista // sí //</t>
  </si>
  <si>
    <t>sí // ti ha c''é q~ c''é q~ un qualche episodio in particolare m magari divertente che puoi raccontare o // beh e // anche</t>
  </si>
  <si>
    <t>#791981</t>
  </si>
  <si>
    <t>https://search.corpuskiparla.it/corpus/player/player.cgi?code=BOD2006&amp;begin=552671&amp;end=556011</t>
  </si>
  <si>
    <t>o a parigi avevi dei coinquilini con cui passavi del tempo? oppure // sí peró anche lí ho mantenuto lo stesso regime</t>
  </si>
  <si>
    <t>// sí? // sí grosso modo sí // lupo solitario // sí in casa sí in casa sí // bene // ehm vediamo // puoi parlarmi un po'' del dei</t>
  </si>
  <si>
    <t>#792952</t>
  </si>
  <si>
    <t>https://search.corpuskiparla.it/corpus/player/player.cgi?code=BOD2006&amp;begin=911700&amp;end=917130</t>
  </si>
  <si>
    <t>visitato grosso modo tutto il vietnam del sud // che però ci è piaciuto meno della cambogia sì // ah meno come mai? // mah</t>
  </si>
  <si>
    <t>forse anche la stanchezza dopo dopo tanto tempo in viaggio // ah // e anche perché diciamo che le persone in vietnam hanno</t>
  </si>
  <si>
    <t>#793540</t>
  </si>
  <si>
    <t>https://search.corpuskiparla.it/corpus/player/player.cgi?code=BOD2006&amp;begin=1127270&amp;end=1132260</t>
  </si>
  <si>
    <t>BO049</t>
  </si>
  <si>
    <t>m'' ha regalato i biglietti // bella bella // eh ma che bello // sì sì // bello // per me e per leisì // bene dai // sì // dai io</t>
  </si>
  <si>
    <t>siamo a posto così non ti disturbooltre // okay // ti ringrazio // buona giornata // buona giornata // okay // allora //</t>
  </si>
  <si>
    <t>TOC1002</t>
  </si>
  <si>
    <t>#801762</t>
  </si>
  <si>
    <t>doc#120</t>
  </si>
  <si>
    <t>https://search.corpuskiparla.it/corpus/player/player.cgi?code=TOC1002&amp;begin=1126870&amp;end=1134501</t>
  </si>
  <si>
    <t>https://search.corpuskiparla.it/corpus/conversations/TOC1002.html</t>
  </si>
  <si>
    <t>https://search.corpuskiparla.it/corpus/conversations/TOC1002_jefferson.html</t>
  </si>
  <si>
    <t>lo sanziona ma non può comandarlo // mh mh // ehm // dunque abbiamo detto tutto sul rapporto sugli amministratori</t>
  </si>
  <si>
    <t>di sì abbiamo chiarito la nomina la revoca una cosa ci resta da dire // un dato mnemonico se se lo ricorda lei mi ha detto che</t>
  </si>
  <si>
    <t>BOD2016</t>
  </si>
  <si>
    <t>#802197</t>
  </si>
  <si>
    <t>doc#121</t>
  </si>
  <si>
    <t>https://search.corpuskiparla.it/corpus/player/player.cgi?code=BOD2016&amp;begin=76368&amp;end=81020</t>
  </si>
  <si>
    <t>BO120</t>
  </si>
  <si>
    <t>https://search.corpuskiparla.it/corpus/conversations/BOD2016.html</t>
  </si>
  <si>
    <t>https://search.corpuskiparla.it/corpus/conversations/BOD2016_jefferson.html</t>
  </si>
  <si>
    <t>la cucina è diciamo è cucina è poco vivibile // quindi cioè non ci sono gli spazi umani per vivercela assieme // quindi</t>
  </si>
  <si>
    <t>piuttosto che cioè non si vivono molto gli spazi comuni ma piuttosto // che una persona cucina e poi magari o mangia in in</t>
  </si>
  <si>
    <t>#802334</t>
  </si>
  <si>
    <t>https://search.corpuskiparla.it/corpus/player/player.cgi?code=BOD2016&amp;begin=121061&amp;end=122817</t>
  </si>
  <si>
    <t>una convivenza non convivenza perché comunque ci si vede poco e quindi cioè // più convivenza che amicizia magari // sì</t>
  </si>
  <si>
    <t>di sì sì // ehm tu sei stato anche in erasmus comunque quindi hai fatto anche un'' altra esperienza con~ sempre con</t>
  </si>
  <si>
    <t>#803511</t>
  </si>
  <si>
    <t>https://search.corpuskiparla.it/corpus/player/player.cgi?code=BOD2016&amp;begin=543541&amp;end=544608</t>
  </si>
  <si>
    <t>tre stanze da letto più un una mansardina per gli ospiti // mh mh // salone cucina balconcino // grande // terrazzo</t>
  </si>
  <si>
    <t>// okay e è vicinissimo al mare // ed è sì cioè scendo una discesa e sono al mare praticamente // quindi d'' estate andate</t>
  </si>
  <si>
    <t>KPS001</t>
  </si>
  <si>
    <t>#816979</t>
  </si>
  <si>
    <t>doc#123</t>
  </si>
  <si>
    <t>https://search.corpuskiparla.it/corpus/player/player.cgi?code=KPS001&amp;begin=2229933&amp;end=2234788</t>
  </si>
  <si>
    <t>PKP100</t>
  </si>
  <si>
    <t>https://search.corpuskiparla.it/corpus/conversations/KPS001.html</t>
  </si>
  <si>
    <t>https://search.corpuskiparla.it/corpus/conversations/KPS001_jefferson.html</t>
  </si>
  <si>
    <t>CZ</t>
  </si>
  <si>
    <t>calabria</t>
  </si>
  <si>
    <t>tre? e le man~ eh li mando a fanculo // è chiaro // e che fai? // no // dico che non ma anche loro penseranno due notti però io</t>
  </si>
  <si>
    <t>trentuno e uno non trenta e trentuno // no no // a allora vuoi fare trenta e trentuno // eh trenta e trentuno // e uno x x x // e</t>
  </si>
  <si>
    <t>#818173</t>
  </si>
  <si>
    <t>https://search.corpuskiparla.it/corpus/player/player.cgi?code=KPS001&amp;begin=2491792&amp;end=2495649</t>
  </si>
  <si>
    <t>PKP103</t>
  </si>
  <si>
    <t>// mh eh mh // c''hanno c(ioè diciamo) // anche pure valentina fa la bambina // eh x x // io ti giu~ ogni tanto ogni tanto le</t>
  </si>
  <si>
    <t>ti prego stai zitta sei insopportabile no // vabbé valentina guard~ // ha una voce cioè sia? // ma perchè x x x // sia una</t>
  </si>
  <si>
    <t>BOD1010</t>
  </si>
  <si>
    <t>#836744</t>
  </si>
  <si>
    <t>doc#124</t>
  </si>
  <si>
    <t>https://search.corpuskiparla.it/corpus/player/player.cgi?code=BOD1010&amp;begin=3092748&amp;end=3096741</t>
  </si>
  <si>
    <t>BO103</t>
  </si>
  <si>
    <t>https://search.corpuskiparla.it/corpus/conversations/BOD1010.html</t>
  </si>
  <si>
    <t>https://search.corpuskiparla.it/corpus/conversations/BOD1010_jefferson.html</t>
  </si>
  <si>
    <t>qui anche in central park west // c'' e questa ehm // tensione // che permea tutti i pezzi di coltrane fra il cinquantasette</t>
  </si>
  <si>
    <t>già // e il sessanta questa tensione // eh tra staticità e movimento armonico // siccome non abbiamo parlato // mah</t>
  </si>
  <si>
    <t>#841434</t>
  </si>
  <si>
    <t>https://search.corpuskiparla.it/corpus/player/player.cgi?code=BOD1010&amp;begin=5613975&amp;end=5621186</t>
  </si>
  <si>
    <t>// è stato il più grande innovatore del pianoforte moderno inseme a cecil taylor // se dovessi fare due nomi</t>
  </si>
  <si>
    <t>cecil taylor anzi tre bill evans tutti negli stessi anni bill evans cecil taylor mccoy tyner // ci sono pianisti che</t>
  </si>
  <si>
    <t>#841463</t>
  </si>
  <si>
    <t>https://search.corpuskiparla.it/corpus/player/player.cgi?code=BOD1010&amp;begin=5625390&amp;end=5626170</t>
  </si>
  <si>
    <t>evans tutti negli stessi anni bill evans cecil taylor mccoy tyner // ci sono pianisti che fanno cose nuove in giro? // non</t>
  </si>
  <si>
    <t>// si ce ne so~ ce n'' è qualcuno interessante tipo vijay iyer // ma alla fine // jarret korea hancock sono // franco d''</t>
  </si>
  <si>
    <t>PBC016</t>
  </si>
  <si>
    <t>#843336</t>
  </si>
  <si>
    <t>doc#125</t>
  </si>
  <si>
    <t>https://search.corpuskiparla.it/corpus/player/player.cgi?code=PBC016&amp;begin=1720&amp;end=9130</t>
  </si>
  <si>
    <t>https://search.corpuskiparla.it/corpus/conversations/PBC016.html</t>
  </si>
  <si>
    <t>https://search.corpuskiparla.it/corpus/conversations/PBC016_jefferson.html</t>
  </si>
  <si>
    <t>vene~ venerdì ventidue sì ventidue // perfettto // ah quindi dicevamo che comunque sì quindi lei non non a questo punto</t>
  </si>
  <si>
    <t>che salterò la parte su bologna // ehm appunto perché lei diceva che non è proprio bolognese di nascita diciamo // no //</t>
  </si>
  <si>
    <t>#844553</t>
  </si>
  <si>
    <t>https://search.corpuskiparla.it/corpus/player/player.cgi?code=PBC016&amp;begin=488180&amp;end=494620</t>
  </si>
  <si>
    <t>// eh sì // quindi in una città mult~ multic~ cioè chiaramente multiculturale // xxxx questo? // decisamente</t>
  </si>
  <si>
    <t>anche tra l''altro adesso con l''università immagino ci sono molti giovani immagino che arrivano quindi // sì // questo</t>
  </si>
  <si>
    <t>#844869</t>
  </si>
  <si>
    <t>https://search.corpuskiparla.it/corpus/player/player.cgi?code=PBC016&amp;begin=624683&amp;end=628683</t>
  </si>
  <si>
    <t>è chiaro che la gente che frequento che frequento io non so~ non sono proprio i giovincelli // ah beh giustamente // di~</t>
  </si>
  <si>
    <t>di no cioè nel senso è normale nel senso che ognuno // già // xxx // quindi comunque // stavo pensando qui al circolo</t>
  </si>
  <si>
    <t>#848439</t>
  </si>
  <si>
    <t>https://search.corpuskiparla.it/corpus/player/player.cgi?code=PBC016&amp;begin=1968160&amp;end=1971690</t>
  </si>
  <si>
    <t>chiesa e ci sono cinquanta turisti che strillano xx // sarà un po'' difficile che senti l''aspetto spirituale // sì di~ di~</t>
  </si>
  <si>
    <t>di no effettivamente // xxx cioè mi chiedevo anche cioè // come venisse resa cioè se // cioè diciamo la visita se p~ // cioè</t>
  </si>
  <si>
    <t>#849221</t>
  </si>
  <si>
    <t>https://search.corpuskiparla.it/corpus/player/player.cgi?code=PBC016&amp;begin=2276930&amp;end=2279750</t>
  </si>
  <si>
    <t>e questo secondo me // eh negli ultimi eh // quindici vent''anni // la manutenzione è scaduta // accidenti // e</t>
  </si>
  <si>
    <t>che sia anche fondamentale soprattutto per // cioè per noi che non non ve~ magari non ci accorgiamodi buche di // eh sì //</t>
  </si>
  <si>
    <t>#849720</t>
  </si>
  <si>
    <t>https://search.corpuskiparla.it/corpus/player/player.cgi?code=PBC016&amp;begin=2469230&amp;end=2470960</t>
  </si>
  <si>
    <t>insomma // ah sì sì non so pensavo // a gen~ a persone con problemi di vista perché io stessa però si effettivamente //</t>
  </si>
  <si>
    <t>che per tutti sia un po'' // un altro aspetto da migliorare // tra l''altro xxxx // sì il fatto che noi dobbiam capire è che non</t>
  </si>
  <si>
    <t>#850218</t>
  </si>
  <si>
    <t>https://search.corpuskiparla.it/corpus/player/player.cgi?code=PBC016&amp;begin=2662021&amp;end=2662820</t>
  </si>
  <si>
    <t>si // quindi non so cioè soprattutto quindi // su su questo diciamo cose per rendere più facile la vita // sì // nostra</t>
  </si>
  <si>
    <t>// si i semafori sonori sono imporanti // sarebbe importante anche che ci fossero // delle segnalazioni in</t>
  </si>
  <si>
    <t>#850516</t>
  </si>
  <si>
    <t>https://search.corpuskiparla.it/corpus/player/player.cgi?code=PBC016&amp;begin=2903880&amp;end=2907062</t>
  </si>
  <si>
    <t>// non non li sto trovando // hai trovato? // xxxx // xxxxxxx // perfetta eh? // è ancora lunga fabrizia? // ah se se vuole io</t>
  </si>
  <si>
    <t>che più o meno direi che ho fato le domande // bene o male // ah // che mi ero segnata volendo quindi non so se nel caso</t>
  </si>
  <si>
    <t>#850521</t>
  </si>
  <si>
    <t>// hai trovato? // xxxx // xxxxxxx // perfetta eh? // è ancora lunga fabrizia? // ah se se vuole io direi che più o meno</t>
  </si>
  <si>
    <t>che ho fato le domande // bene o male // ah // che mi ero segnata volendo quindi non so se nel caso disposto a mandare</t>
  </si>
  <si>
    <t>PBB019</t>
  </si>
  <si>
    <t>#861535</t>
  </si>
  <si>
    <t>doc#127</t>
  </si>
  <si>
    <t>https://search.corpuskiparla.it/corpus/player/player.cgi?code=PBB019&amp;begin=1821170&amp;end=1822674</t>
  </si>
  <si>
    <t>BOR009</t>
  </si>
  <si>
    <t>https://search.corpuskiparla.it/corpus/conversations/PBB019.html</t>
  </si>
  <si>
    <t>https://search.corpuskiparla.it/corpus/conversations/PBB019_jefferson.html</t>
  </si>
  <si>
    <t>di dove // // senti mi sa che io ormai devo andare // sì no infatti io non voglio // tu hai abbastanza materiale? // ma sì</t>
  </si>
  <si>
    <t>che // adesso vediamo ma // beh mezzoretta siamo riusciti a farla a me basta anche quello sì // ti basta? // sì sì // aspetta</t>
  </si>
  <si>
    <t>PBA021</t>
  </si>
  <si>
    <t>#861882</t>
  </si>
  <si>
    <t>doc#128</t>
  </si>
  <si>
    <t>https://search.corpuskiparla.it/corpus/player/player.cgi?code=PBA021&amp;begin=101556&amp;end=105020</t>
  </si>
  <si>
    <t>BOI090</t>
  </si>
  <si>
    <t>https://search.corpuskiparla.it/corpus/conversations/PBA021.html</t>
  </si>
  <si>
    <t>https://search.corpuskiparla.it/corpus/conversations/PBA021_jefferson.html</t>
  </si>
  <si>
    <t>usi? // allora abbiamo il treno // che è comodissimo perchè è nel mio comune // ci sono gli autobus passano sempre // però</t>
  </si>
  <si>
    <t>che il mezzo di mh il mezzo più comodo è il treno // sì // e guidi? // io mi muovo // anche? // sì anche guido ho la macchina // ed</t>
  </si>
  <si>
    <t>#862746</t>
  </si>
  <si>
    <t>https://search.corpuskiparla.it/corpus/player/player.cgi?code=PBA021&amp;begin=383801&amp;end=385770</t>
  </si>
  <si>
    <t>e d è // l''unica tradizione che mi viene in mente perchè vent''anni che sono qua e vent''anni che la fanno // però per il resto</t>
  </si>
  <si>
    <t>che // abbiamo le stesse tradizioni di bologna centro // d''accordo // e mh // quindi proprio su san petronio eh direi che</t>
  </si>
  <si>
    <t>#862768</t>
  </si>
  <si>
    <t>https://search.corpuskiparla.it/corpus/player/player.cgi?code=PBA021&amp;begin=392095&amp;end=395384</t>
  </si>
  <si>
    <t>BOR030</t>
  </si>
  <si>
    <t>direi che // abbiamo le stesse tradizioni di bologna centro // d''accordo // e mh // quindi proprio su san petronio eh</t>
  </si>
  <si>
    <t>che mi collego lì // eh tu la festa come la la vivevi? come la vivi? // allora quando venivo // nelle scuole qui nel mio</t>
  </si>
  <si>
    <t>#866318</t>
  </si>
  <si>
    <t>https://search.corpuskiparla.it/corpus/player/player.cgi?code=PBA021&amp;begin=1591244&amp;end=1593962</t>
  </si>
  <si>
    <t>lì è più un mercatino dell''usato se possiam chiamarlo così // ci son tante firme magari // di seconda mano però sì //</t>
  </si>
  <si>
    <t>che quello di otto agosto il venerdì è il più famoso // e hai mai trovato cose interessanti che poi hai comprato? // sì</t>
  </si>
  <si>
    <t>#869248</t>
  </si>
  <si>
    <t>https://search.corpuskiparla.it/corpus/player/player.cgi?code=PBA021&amp;begin=2564281&amp;end=2567060</t>
  </si>
  <si>
    <t>// tra i generi che ascolto è meglio che le canzoni che ascolto io non le mettano in via d''azeglio perche so~ // // quindi</t>
  </si>
  <si>
    <t>che quelle che hanno messo vanno benissimo // d''accordo // e ti chiedo invece sul cinema // okay sì // se ci sono dei delle</t>
  </si>
  <si>
    <t>#869714</t>
  </si>
  <si>
    <t>https://search.corpuskiparla.it/corpus/player/player.cgi?code=PBA021&amp;begin=2726394&amp;end=2728479</t>
  </si>
  <si>
    <t>ma // puoi guardarli anche sul telefono smartphone e così via // comunque sì quello ecco // d''accordo // va bene allora</t>
  </si>
  <si>
    <t>che abbiamo finito // okay // e io ti ringrazio // grazie mille // okay // tu ti ricordi quando // ti sei trasferita a torino</t>
  </si>
  <si>
    <t>PTB024</t>
  </si>
  <si>
    <t>#873603</t>
  </si>
  <si>
    <t>doc#129</t>
  </si>
  <si>
    <t>https://search.corpuskiparla.it/corpus/player/player.cgi?code=PTB024&amp;begin=1379800&amp;end=1381940</t>
  </si>
  <si>
    <t>TOR015</t>
  </si>
  <si>
    <t>https://search.corpuskiparla.it/corpus/conversations/PTB024.html</t>
  </si>
  <si>
    <t>https://search.corpuskiparla.it/corpus/conversations/PTB024_jefferson.html</t>
  </si>
  <si>
    <t>dove vivere pensi che ci hai vissuto bene? // io mi sono sempre trovata bene // trovata bene // vabbò dai // sì // bon bon</t>
  </si>
  <si>
    <t>che più o meno // eh più o meno eh // poi se se vuoi sapere le scuole che // mh // che ha fatto lei non so se eh // xxxxx // ah vabbè</t>
  </si>
  <si>
    <t>PBA005</t>
  </si>
  <si>
    <t>#873959</t>
  </si>
  <si>
    <t>doc#130</t>
  </si>
  <si>
    <t>https://search.corpuskiparla.it/corpus/player/player.cgi?code=PBA005&amp;begin=117144&amp;end=121939</t>
  </si>
  <si>
    <t>BOI063</t>
  </si>
  <si>
    <t>https://search.corpuskiparla.it/corpus/conversations/PBA005.html</t>
  </si>
  <si>
    <t>https://search.corpuskiparla.it/corpus/conversations/PBA005_jefferson.html</t>
  </si>
  <si>
    <t>ecco // emh se devo scegliere tra bologna e provincia // allora come vivere cioè da~ proprio come viverci stabilmente</t>
  </si>
  <si>
    <t>provincia // perché // per un fatto che // è più tranquilla è anche secondo me meno costosa // mhmh // e poi mi piace di piùm</t>
  </si>
  <si>
    <t>#875531</t>
  </si>
  <si>
    <t>https://search.corpuskiparla.it/corpus/player/player.cgi?code=PBA005&amp;begin=721919&amp;end=727272</t>
  </si>
  <si>
    <t>ehm quando si è giovani // cioè non quando si è giovani può capitare che magari ci si riunisca si faccia un po'' di casino</t>
  </si>
  <si>
    <t>che è normale // poi lì // lì c''è anche il teatro // comunque // ci fanno l''opera // da quello che ho visto // teatro comunale</t>
  </si>
  <si>
    <t>#875575</t>
  </si>
  <si>
    <t>https://search.corpuskiparla.it/corpus/player/player.cgi?code=PBA005&amp;begin=737433&amp;end=738485</t>
  </si>
  <si>
    <t>l''opera // da quello che ho visto // teatro comunale mi sembra // e non mi ricordo // mi sembra di sì // okay comunale //</t>
  </si>
  <si>
    <t>il teatro comunale // va bene ehm mhmh mh cos''altro posso ch~ // am quindi hai detto che sulle due torri~ cioè sulla torre</t>
  </si>
  <si>
    <t>#878027</t>
  </si>
  <si>
    <t>https://search.corpuskiparla.it/corpus/player/player.cgi?code=PBA005&amp;begin=1686911&amp;end=1691279</t>
  </si>
  <si>
    <t>sì c''è san donato ma // quello storicamente è che e si sa che è un po'' degradato // di proprio z~ non zone degradate proprio</t>
  </si>
  <si>
    <t>edifici o aree // direi proprio le caserme di bologna cioè // cioè come dici~ come ho accennato all''inizio m~ ci capita di</t>
  </si>
  <si>
    <t>#878032</t>
  </si>
  <si>
    <t>https://search.corpuskiparla.it/corpus/player/player.cgi?code=PBA005&amp;begin=1692786&amp;end=1696022</t>
  </si>
  <si>
    <t>quello storicamente è che e si sa che è un po'' degradato // di proprio z~ non zone degradate proprio direi edifici o aree //</t>
  </si>
  <si>
    <t>proprio le caserme di bologna cioè // cioè come dici~ come ho accennato all''inizio m~ ci capita di lavorare ogni tanto</t>
  </si>
  <si>
    <t>#878153</t>
  </si>
  <si>
    <t>https://search.corpuskiparla.it/corpus/player/player.cgi?code=PBA005&amp;begin=1729330&amp;end=1735867</t>
  </si>
  <si>
    <t>più abbandonate no? // e quello lì per me è un grandissimo spreco di quelli all''italiana proprio tradizionale ormai</t>
  </si>
  <si>
    <t>// perché vedi di sti capannoni enormi // che una volta servivano anche per tenere i carri armati o i mezzi militari</t>
  </si>
  <si>
    <t>#878850</t>
  </si>
  <si>
    <t>https://search.corpuskiparla.it/corpus/player/player.cgi?code=PBA005&amp;begin=2025576&amp;end=2027865</t>
  </si>
  <si>
    <t>che mi frena è che // di tutti questi spettacoli che ci sono magari pubblicizzati nei vari cartelloni // non ne conosco</t>
  </si>
  <si>
    <t>quasi nessuno quindi // sarebbe un po'' tipo una scelta alla cieca // cioè non conosci la trama? // sì // okay okay // e</t>
  </si>
  <si>
    <t>BOD1005</t>
  </si>
  <si>
    <t>#884085</t>
  </si>
  <si>
    <t>doc#131</t>
  </si>
  <si>
    <t>https://search.corpuskiparla.it/corpus/player/player.cgi?code=BOD1005&amp;begin=2673392&amp;end=2678522</t>
  </si>
  <si>
    <t>BO094</t>
  </si>
  <si>
    <t>https://search.corpuskiparla.it/corpus/conversations/BOD1005.html</t>
  </si>
  <si>
    <t>https://search.corpuskiparla.it/corpus/conversations/BOD1005_jefferson.html</t>
  </si>
  <si>
    <t>toscana</t>
  </si>
  <si>
    <t>va bene dove voi avete visto una formula molto piccola ma almeno // un'' idea // ve la siete fatta // va bene eh dunque io</t>
  </si>
  <si>
    <t>a questo punto forse di // a meno che non abbiate domande sulla dimostrazione del teorema di validità // eh // possiamo //</t>
  </si>
  <si>
    <t>TOA3008</t>
  </si>
  <si>
    <t>#897178</t>
  </si>
  <si>
    <t>doc#132</t>
  </si>
  <si>
    <t>https://search.corpuskiparla.it/corpus/player/player.cgi?code=TOA3008&amp;begin=4148998&amp;end=4154095</t>
  </si>
  <si>
    <t>TO052</t>
  </si>
  <si>
    <t>https://search.corpuskiparla.it/corpus/conversations/TOA3008.html</t>
  </si>
  <si>
    <t>https://search.corpuskiparla.it/corpus/conversations/TOA3008_jefferson.html</t>
  </si>
  <si>
    <t>mia tesi in poi oh intanto è scaricatissima su academia edu // // cioè si vede che ce ne siamo occupati in tre // io glielo</t>
  </si>
  <si>
    <t>a a qualche casa editrice lo farei pubblicare // ti giuro che è scaricatissima vero la mia tesi triennale ma io non</t>
  </si>
  <si>
    <t>#897371</t>
  </si>
  <si>
    <t>https://search.corpuskiparla.it/corpus/player/player.cgi?code=TOA3008&amp;begin=4207315&amp;end=4208111</t>
  </si>
  <si>
    <t>lo prendono come // perché li sei riuscita a mettere insieme e fare un quadro onesto // eh // onesto pare // e quindi // io lo</t>
  </si>
  <si>
    <t>// e e anche a tatiana se lo sai che hai scaricato seicento cose // perché non glielo xx // tatiana non fa saggistica //</t>
  </si>
  <si>
    <t>PBA004</t>
  </si>
  <si>
    <t>#906046</t>
  </si>
  <si>
    <t>doc#133</t>
  </si>
  <si>
    <t>https://search.corpuskiparla.it/corpus/player/player.cgi?code=PBA004&amp;begin=1504660&amp;end=1508340</t>
  </si>
  <si>
    <t>BOI061</t>
  </si>
  <si>
    <t>https://search.corpuskiparla.it/corpus/conversations/PBA004.html</t>
  </si>
  <si>
    <t>https://search.corpuskiparla.it/corpus/conversations/PBA004_jefferson.html</t>
  </si>
  <si>
    <t>problemi // sì sì vabbè è quello sì sì sì // ma cioè anzi in realtà // mh // io vabbè m~ mi sposto sempre in bicicletta // però</t>
  </si>
  <si>
    <t>che in~ durante la settimana è peggio // perchè // ah sì // sì perchè // contrario di lui // e sì perchè cioè mhmh // lavoran~</t>
  </si>
  <si>
    <t>BOA3004</t>
  </si>
  <si>
    <t>#926738</t>
  </si>
  <si>
    <t>doc#135</t>
  </si>
  <si>
    <t>https://search.corpuskiparla.it/corpus/player/player.cgi?code=BOA3004&amp;begin=2510316&amp;end=2512339</t>
  </si>
  <si>
    <t>BO021</t>
  </si>
  <si>
    <t>https://search.corpuskiparla.it/corpus/conversations/BOA3004.html</t>
  </si>
  <si>
    <t>https://search.corpuskiparla.it/corpus/conversations/BOA3004_jefferson.html</t>
  </si>
  <si>
    <t>campania</t>
  </si>
  <si>
    <t>cioè io davvero ci sono impazzita // no non ci voglio neanche pensare // lingue parlate oltre l'' italiano // eh // beh io</t>
  </si>
  <si>
    <t>inglese e spagnolo no? // eh // ma il dialetto salentino? // // // // guarda ali ali // raga io vado un attimo a pigliare l''</t>
  </si>
  <si>
    <t>#927380</t>
  </si>
  <si>
    <t>https://search.corpuskiparla.it/corpus/player/player.cgi?code=BOA3004&amp;begin=2750805&amp;end=2755917</t>
  </si>
  <si>
    <t>// a ubriacarci insieme // però // sai era la sera in cui mi ero avvelenata con la pizza marcia // ah eh x // sì meglio non x //</t>
  </si>
  <si>
    <t>che la pizza marcia aveva già più che abbastanza messo alla prova il tuo stomaco // molto // madonna quella pizza // ma</t>
  </si>
  <si>
    <t>#927598</t>
  </si>
  <si>
    <t>https://search.corpuskiparla.it/corpus/player/player.cgi?code=BOA3004&amp;begin=2825884&amp;end=2828259</t>
  </si>
  <si>
    <t>che tu gli hai pagato l'' università ai figli // mado'' sì // // x tutte le volte // ecco x che ritorna // ma secondo te // coi</t>
  </si>
  <si>
    <t>#930876</t>
  </si>
  <si>
    <t>https://search.corpuskiparla.it/corpus/player/player.cgi?code=BOA3004&amp;begin=3782569&amp;end=3785762</t>
  </si>
  <si>
    <t>da un certo punto di v~ però capisco che // minchia ma so'' già le due e mezza? // cazzo // e io che ho fatto tutto sto tempo? // e</t>
  </si>
  <si>
    <t>che ci fumiamo sta sigaretta e io poi devo ritornare a studiare // io vado verso casa // che magari un~ due ore me le studio</t>
  </si>
  <si>
    <t>#931042</t>
  </si>
  <si>
    <t>https://search.corpuskiparla.it/corpus/player/player.cgi?code=BOA3004&amp;begin=3833820&amp;end=3836623</t>
  </si>
  <si>
    <t>tu che io lì non mi ci metto // // accusato // boh prova a rintracciarlo // no però in realtà io mi ero data una timeline // e</t>
  </si>
  <si>
    <t>che questa timeline è decisamente scaduta // maria ma non è successo niente // che sarebbe? // che sarebbe questa</t>
  </si>
  <si>
    <t>#932982</t>
  </si>
  <si>
    <t>https://search.corpuskiparla.it/corpus/player/player.cgi?code=BOA3004&amp;begin=4528449&amp;end=4529926</t>
  </si>
  <si>
    <t>BO046</t>
  </si>
  <si>
    <t>trentino-alto-adige</t>
  </si>
  <si>
    <t>// xxx riesco a fare oggi // immondizia // cazzo devo ritirare i jeans che ho fuori da due giorni // si saranno asciugati</t>
  </si>
  <si>
    <t>// madonna sto diventa~ sto diventando una lagna // no no è // è così // ah vabbè meno male son contenta allora // tieni //</t>
  </si>
  <si>
    <t>PBA001</t>
  </si>
  <si>
    <t>#946419</t>
  </si>
  <si>
    <t>doc#138</t>
  </si>
  <si>
    <t>https://search.corpuskiparla.it/corpus/player/player.cgi?code=PBA001&amp;begin=924660&amp;end=928378</t>
  </si>
  <si>
    <t>BOI006</t>
  </si>
  <si>
    <t>https://search.corpuskiparla.it/corpus/conversations/PBA001.html</t>
  </si>
  <si>
    <t>https://search.corpuskiparla.it/corpus/conversations/PBA001_jefferson.html</t>
  </si>
  <si>
    <t>dico vabbè devo andare là cioè cosa vado a piedi // no no è vero è vero // ho sempre preso la macchina // e invece a bologna</t>
  </si>
  <si>
    <t>vabbè ma son solo dieci quindici minuti a piedi // sì sì sì sì // che se ci pensi da un fattore ambientale è proprio // sì //</t>
  </si>
  <si>
    <t>PBA013</t>
  </si>
  <si>
    <t>#956895</t>
  </si>
  <si>
    <t>doc#139</t>
  </si>
  <si>
    <t>https://search.corpuskiparla.it/corpus/player/player.cgi?code=PBA013&amp;begin=1989389&amp;end=1991593</t>
  </si>
  <si>
    <t>BOR018</t>
  </si>
  <si>
    <t>https://search.corpuskiparla.it/corpus/conversations/PBA013.html</t>
  </si>
  <si>
    <t>https://search.corpuskiparla.it/corpus/conversations/PBA013_jefferson.html</t>
  </si>
  <si>
    <t>stai scialando // #non ti stai scialando eh // #non ti stai scialando okay // ti piace il libro però c''è impegno quindi non</t>
  </si>
  <si>
    <t>// ah okay // #wow mi sto scialando a leggere // quindi è proprio // // cime tempestose // #lo scialarsi è una cosa // #okay</t>
  </si>
  <si>
    <t>PTD007</t>
  </si>
  <si>
    <t>#994046</t>
  </si>
  <si>
    <t>doc#143</t>
  </si>
  <si>
    <t>https://search.corpuskiparla.it/corpus/player/player.cgi?code=PTD007&amp;begin=1879143&amp;end=1879979</t>
  </si>
  <si>
    <t>TOI041</t>
  </si>
  <si>
    <t>https://search.corpuskiparla.it/corpus/conversations/PTD007.html</t>
  </si>
  <si>
    <t>https://search.corpuskiparla.it/corpus/conversations/PTD007_jefferson.html</t>
  </si>
  <si>
    <t>verità // certo // va bene // ehm // trovi tutto nel tuo quartiere o sei costretta a spostarti spesso? // no trovo tutto //</t>
  </si>
  <si>
    <t>che // okay // e in città come ti muovi? // mi muovo prevalentemente con la metropolitana // // o con i mezzi pubblici</t>
  </si>
  <si>
    <t>#994541</t>
  </si>
  <si>
    <t>https://search.corpuskiparla.it/corpus/player/player.cgi?code=PTD007&amp;begin=2006153&amp;end=2008120</t>
  </si>
  <si>
    <t>// un sacco // in giro // ma anche americani sì sì // mh mh mh // cioè // xxxxxx // beh bello no c''è // ottimo bellissimo //</t>
  </si>
  <si>
    <t>di sì anche perché è una città bellissima quindi // sono sono d''accordo // meno male che // entra nei percorsi turistici</t>
  </si>
  <si>
    <t>#995818</t>
  </si>
  <si>
    <t>https://search.corpuskiparla.it/corpus/player/player.cgi?code=PTD007&amp;begin=2345901&amp;end=2347509</t>
  </si>
  <si>
    <t>// sì trovare perché // okay // così mi dà una finestra su un pezzo di mondo che conosco meno // certo // va bene // io</t>
  </si>
  <si>
    <t>che possiamo chiudere qui // grazie // grazie a te // figurati // bello // grazie mille // no dai ci siamo // xx xx lo rimetto</t>
  </si>
  <si>
    <t>TOA3013</t>
  </si>
  <si>
    <t>#1001072</t>
  </si>
  <si>
    <t>doc#145</t>
  </si>
  <si>
    <t>https://search.corpuskiparla.it/corpus/player/player.cgi?code=TOA3013&amp;begin=326951&amp;end=328124</t>
  </si>
  <si>
    <t>TO085</t>
  </si>
  <si>
    <t>https://search.corpuskiparla.it/corpus/conversations/TOA3013.html</t>
  </si>
  <si>
    <t>https://search.corpuskiparla.it/corpus/conversations/TOA3013_jefferson.html</t>
  </si>
  <si>
    <t>tu~ // ti portano in macchina a casa i tuoi amici? // sì loro poi la roby è di salò quindi // okay // bello // ci sta // ottimo</t>
  </si>
  <si>
    <t>// ottimo direi o~ o~ o~ // così laviamo // laviamo tutti i piatti // vero amore? // io non ne posso più di lavorare in questa</t>
  </si>
  <si>
    <t>#1001075</t>
  </si>
  <si>
    <t>https://search.corpuskiparla.it/corpus/player/player.cgi?code=TOA3013&amp;begin=329055&amp;end=331576</t>
  </si>
  <si>
    <t>TO094</t>
  </si>
  <si>
    <t>in macchina a casa i tuoi amici? // sì loro poi la roby è di salò quindi // okay // bello // ci sta // ottimo direi // ottimo</t>
  </si>
  <si>
    <t>o~ o~ o~ // così laviamo // laviamo tutti i piatti // vero amore? // io non ne posso più di lavorare in questa casa //</t>
  </si>
  <si>
    <t>TOA1003</t>
  </si>
  <si>
    <t>#1004378</t>
  </si>
  <si>
    <t>doc#146</t>
  </si>
  <si>
    <t>https://search.corpuskiparla.it/corpus/player/player.cgi?code=TOA1003&amp;begin=148142&amp;end=149254</t>
  </si>
  <si>
    <t>TO065</t>
  </si>
  <si>
    <t>https://search.corpuskiparla.it/corpus/conversations/TOA1003.html</t>
  </si>
  <si>
    <t>https://search.corpuskiparla.it/corpus/conversations/TOA1003_jefferson.html</t>
  </si>
  <si>
    <t>vediamo se neri mi può mandare qualche cosa // perché son proprio fondamentaliproprio l'' argomento fondamentale // e</t>
  </si>
  <si>
    <t>di sì // ecco // sempre a proposito di neri in quell'' articolo che lei ha letto // sì? ho poi controllato allora in realtà</t>
  </si>
  <si>
    <t>#1005181</t>
  </si>
  <si>
    <t>https://search.corpuskiparla.it/corpus/player/player.cgi?code=TOA1003&amp;begin=383947&amp;end=385506</t>
  </si>
  <si>
    <t>il fatto che dobbiamo acquisire un volume del genere il problema è trovarlo // certo // mhmh // nel senso che se // io le</t>
  </si>
  <si>
    <t>di fare questo // appunto visto se lei mi manda qualche link // // ehm // scusi zittisco questo coso // mh di nulla // ehm su</t>
  </si>
  <si>
    <t>#1005485</t>
  </si>
  <si>
    <t>https://search.corpuskiparla.it/corpus/player/player.cgi?code=TOA1003&amp;begin=471156&amp;end=472424</t>
  </si>
  <si>
    <t>// ah allor~ queste le sono tutte perché mi ero segnata i punti sì // no no sono tutti // i i punti che avevo // allora io</t>
  </si>
  <si>
    <t>// eh a questo punto le cose importanti sono due // beh innanzitutto è già un dato il fatto che // la rivista di studi</t>
  </si>
  <si>
    <t>#1006521</t>
  </si>
  <si>
    <t>https://search.corpuskiparla.it/corpus/player/player.cgi?code=TOA1003&amp;begin=808793&amp;end=812914</t>
  </si>
  <si>
    <t>// idee o ipotesi originali // n~ // lei ha letto delle cose e ha le ha sintetizz~ // certo // ora però // è importante anzi</t>
  </si>
  <si>
    <t>è tassativo // denunciare sempre // la fonte // la propria fonte // schematizzando // i rapporti tra me che scrivo // e //</t>
  </si>
  <si>
    <t>#1006563</t>
  </si>
  <si>
    <t>https://search.corpuskiparla.it/corpus/player/player.cgi?code=TOA1003&amp;begin=830894&amp;end=833114</t>
  </si>
  <si>
    <t>i rapporti tra me che scrivo // e // la mia bibliografia possono essere di tre tipi // uno // citazione diretta // dire~ // e</t>
  </si>
  <si>
    <t>che in questo caso i~ il dubbio non c'' è // tra virgolette si mette una bella nota // perfetto // e poi sarà // costanza di</t>
  </si>
  <si>
    <t>#1009364</t>
  </si>
  <si>
    <t>https://search.corpuskiparla.it/corpus/player/player.cgi?code=TOA1003&amp;begin=1673110&amp;end=1674608</t>
  </si>
  <si>
    <t>TO061</t>
  </si>
  <si>
    <t>valle-d-aosta</t>
  </si>
  <si>
    <t>// avrà avrà tutta una serie di complicazioni grafiche e tipografiche // certo // grafiche // no meglio non rischiare</t>
  </si>
  <si>
    <t>// su cui secondo me è meglio non rischiare // no le sto p~ stavo pensando che effettivamente su un altro computer ho word</t>
  </si>
  <si>
    <t>#1009700</t>
  </si>
  <si>
    <t>https://search.corpuskiparla.it/corpus/player/player.cgi?code=TOA1003&amp;begin=1759603&amp;end=1760603</t>
  </si>
  <si>
    <t>mh? // ehm // e poi questo è un carattere troppo grande // non so che cosa sia questo se un tredici // eh può essere // sì // ehm</t>
  </si>
  <si>
    <t>// u~ a~ perché lì ho usato un undici mi pare // eh // per le note un undici e questo sì dovrebbe essere un tredici // allora</t>
  </si>
  <si>
    <t>#1009729</t>
  </si>
  <si>
    <t>https://search.corpuskiparla.it/corpus/player/player.cgi?code=TOA1003&amp;begin=1765105&amp;end=1766407</t>
  </si>
  <si>
    <t>// direi che normalmente nello standard abbiamo dodici // dodici // per il testo e dieci per le note // note // va bene //</t>
  </si>
  <si>
    <t>#1009731</t>
  </si>
  <si>
    <t>https://search.corpuskiparla.it/corpus/player/player.cgi?code=TOA1003&amp;begin=1766598&amp;end=1770010</t>
  </si>
  <si>
    <t>perché lì ho usato un undici mi pare // eh // per le note un undici e questo sì dovrebbe essere un tredici // allora direi //</t>
  </si>
  <si>
    <t>che normalmente nello standard abbiamo dodici // dodici // per il testo e dieci per le note // note // va bene // eh? //</t>
  </si>
  <si>
    <t>#1010085</t>
  </si>
  <si>
    <t>https://search.corpuskiparla.it/corpus/player/player.cgi?code=TOA1003&amp;begin=1878743&amp;end=1879798</t>
  </si>
  <si>
    <t>// questo adesso poi lo vediamo quando poi sarà // ho capito // son cose che sì sì // quando sarà il momento // però io</t>
  </si>
  <si>
    <t>// tutto sommato lei se la cava abbastanza bene a scrivere // se mi posso permettere // a volte // c'' è verame~ è fino</t>
  </si>
  <si>
    <t>#1010323</t>
  </si>
  <si>
    <t>https://search.corpuskiparla.it/corpus/player/player.cgi?code=TOA1003&amp;begin=1944304&amp;end=1946205</t>
  </si>
  <si>
    <t>un po'' la scrittura // n~ a snellire un po'' // però in linea di massima ci siamo // ehm // con questi accorgimenti // io</t>
  </si>
  <si>
    <t>a questo punto // ehm poi vediamo se lei ha delle domande ma // n~ // ah no volevo solo dirle che mi son procurata in realtà mi</t>
  </si>
  <si>
    <t>#1014637</t>
  </si>
  <si>
    <t>https://search.corpuskiparla.it/corpus/player/player.cgi?code=TOA1003&amp;begin=3687692&amp;end=3689302</t>
  </si>
  <si>
    <t>di neri // sì? // di neri // così io poi scrivo a neri // sì sì // va bene // mh? // d'' accordo // d'' accordo? // grazie //</t>
  </si>
  <si>
    <t>che per il momento è tutto // mh? // benissimo // buon lavoro // grazie // arrivederci // arrivederci grazie //</t>
  </si>
  <si>
    <t>BOA1017</t>
  </si>
  <si>
    <t>#1015474</t>
  </si>
  <si>
    <t>doc#147</t>
  </si>
  <si>
    <t>https://search.corpuskiparla.it/corpus/player/player.cgi?code=BOA1017&amp;begin=190490&amp;end=197610</t>
  </si>
  <si>
    <t>BO082</t>
  </si>
  <si>
    <t>https://search.corpuskiparla.it/corpus/conversations/BOA1017.html</t>
  </si>
  <si>
    <t>https://search.corpuskiparla.it/corpus/conversations/BOA1017_jefferson.html</t>
  </si>
  <si>
    <t>41-45</t>
  </si>
  <si>
    <t>// gli argomenti che lei diciamo mi ha citato sarebbero troppi anche per una tesi magistrale verosimilmente quindi</t>
  </si>
  <si>
    <t>che focaliziamo // mhmh // sì sì sì // o facciamo una tesi // diciamo // su sul genere in generale come aveva detto // m // e</t>
  </si>
  <si>
    <t>#1016517</t>
  </si>
  <si>
    <t>https://search.corpuskiparla.it/corpus/player/player.cgi?code=BOA1017&amp;begin=501889&amp;end=504635</t>
  </si>
  <si>
    <t>in un paio di pagine anche con riferimento ai testi che citava // sì sì sì sì // il suo progetto di tesi e poi ci vediamo</t>
  </si>
  <si>
    <t>// l'' ideale sarebbe se riuscisse a farlo entro // e // per marzo diciamo no luglio lei vuole andare vero? // luglio allora</t>
  </si>
  <si>
    <t>KPN011</t>
  </si>
  <si>
    <t>#1022748</t>
  </si>
  <si>
    <t>doc#148</t>
  </si>
  <si>
    <t>https://search.corpuskiparla.it/corpus/player/player.cgi?code=KPN011&amp;begin=1848065&amp;end=1851802</t>
  </si>
  <si>
    <t>PKP120</t>
  </si>
  <si>
    <t>https://search.corpuskiparla.it/corpus/conversations/KPN011.html</t>
  </si>
  <si>
    <t>https://search.corpuskiparla.it/corpus/conversations/KPN011_jefferson.html</t>
  </si>
  <si>
    <t>RN</t>
  </si>
  <si>
    <t>// l''unica parte difficile di questa torta tipo la cottura perchè // perchè ha comunque s~ ah va bene non so quello // non</t>
  </si>
  <si>
    <t>che si rovina cioè ma poi so~ non sono andata in fondo in fondo quindi // no no no si rovina sì sì sì // sì sì sì // va bene dai //</t>
  </si>
  <si>
    <t>PBA008</t>
  </si>
  <si>
    <t>#1070530</t>
  </si>
  <si>
    <t>doc#154</t>
  </si>
  <si>
    <t>https://search.corpuskiparla.it/corpus/player/player.cgi?code=PBA008&amp;begin=1271355&amp;end=1274887</t>
  </si>
  <si>
    <t>BOI067</t>
  </si>
  <si>
    <t>https://search.corpuskiparla.it/corpus/conversations/PBA008.html</t>
  </si>
  <si>
    <t>https://search.corpuskiparla.it/corpus/conversations/PBA008_jefferson.html</t>
  </si>
  <si>
    <t>terra terra no del del colloquia~ cioè colloquiale proprio // mh // mhmh // ma e sono giovani i tuoi colleghi? // ehm no</t>
  </si>
  <si>
    <t>di no hanno mh ha~ // un''età stimata di trent''anni abbondanti // ah sei la piccina // sì sì sì sotto questi termini sono la</t>
  </si>
  <si>
    <t>#1071018</t>
  </si>
  <si>
    <t>https://search.corpuskiparla.it/corpus/player/player.cgi?code=PBA008&amp;begin=1443200&amp;end=1444246</t>
  </si>
  <si>
    <t>BOR020</t>
  </si>
  <si>
    <t>per quello e lavoro al mc donald cioè quindi // mh // no no c''hai ragione // lo lo onoro anche come come posizione // sì sì</t>
  </si>
  <si>
    <t>che // xx // sì // ehm // vabbè comunque dai no lavoro a parte adesso parliamo di // cavolate // parliamo più di cavolate //</t>
  </si>
  <si>
    <t>TOD2010</t>
  </si>
  <si>
    <t>#1088890</t>
  </si>
  <si>
    <t>doc#157</t>
  </si>
  <si>
    <t>https://search.corpuskiparla.it/corpus/player/player.cgi?code=TOD2010&amp;begin=1609452&amp;end=1618262</t>
  </si>
  <si>
    <t>TO046</t>
  </si>
  <si>
    <t>https://search.corpuskiparla.it/corpus/conversations/TOD2010.html</t>
  </si>
  <si>
    <t>https://search.corpuskiparla.it/corpus/conversations/TOD2010_jefferson.html</t>
  </si>
  <si>
    <t>quello perché // mhmh // eh è un festivaleh molto bello // in un paese incredibile // con della gente magnifica quindi</t>
  </si>
  <si>
    <t>quello però concerti specifici veramente noneh non me ne viene in mente manco uno // // quindi non non so // okay // // e a</t>
  </si>
  <si>
    <t>PBC023</t>
  </si>
  <si>
    <t>#1090183</t>
  </si>
  <si>
    <t>doc#158</t>
  </si>
  <si>
    <t>https://search.corpuskiparla.it/corpus/player/player.cgi?code=PBC023&amp;begin=416870&amp;end=418948</t>
  </si>
  <si>
    <t>BOI058</t>
  </si>
  <si>
    <t>https://search.corpuskiparla.it/corpus/conversations/PBC023.html</t>
  </si>
  <si>
    <t>https://search.corpuskiparla.it/corpus/conversations/PBC023_jefferson.html</t>
  </si>
  <si>
    <t>// con solo una famiglia insomma // e pensi che come città possa essere un buon posto per i tuoi figli e i tuoi nipoti? //</t>
  </si>
  <si>
    <t>direi di sì perché // c''è comunque del lavoro // ci sono appunto // le uners~ università per i giovani che vogliono</t>
  </si>
  <si>
    <t>#1090184</t>
  </si>
  <si>
    <t>con solo una famiglia insomma // e pensi che come città possa essere un buon posto per i tuoi figli e i tuoi nipoti? // direi</t>
  </si>
  <si>
    <t>di sì perché // c''è comunque del lavoro // ci sono appunto // le uners~ università per i giovani che vogliono studiare //</t>
  </si>
  <si>
    <t>#1090209</t>
  </si>
  <si>
    <t>https://search.corpuskiparla.it/corpus/player/player.cgi?code=PBC023&amp;begin=430163&amp;end=431471</t>
  </si>
  <si>
    <t>// c''è comunque del lavoro // ci sono appunto // le uners~ università per i giovani che vogliono studiare // perciò</t>
  </si>
  <si>
    <t>che // una buona città insomma // eh quindi comunque non hai sempre vissuto nello stesso luogo // no assolutamente io non</t>
  </si>
  <si>
    <t>PBC004</t>
  </si>
  <si>
    <t>#1114699</t>
  </si>
  <si>
    <t>doc#160</t>
  </si>
  <si>
    <t>https://search.corpuskiparla.it/corpus/player/player.cgi?code=PBC004&amp;begin=1332900&amp;end=1338494</t>
  </si>
  <si>
    <t>BOI011</t>
  </si>
  <si>
    <t>https://search.corpuskiparla.it/corpus/conversations/PBC004.html</t>
  </si>
  <si>
    <t>https://search.corpuskiparla.it/corpus/conversations/PBC004_jefferson.html</t>
  </si>
  <si>
    <t>// // storie particolari sui portici oltre al fatto della conservazione dei portici di legno // cosa mi viene in mente</t>
  </si>
  <si>
    <t>niente direi che la cosa più mh come dire // la cosa più mh // mh par~ eh originale e eh particolare che tu possa fare andando</t>
  </si>
  <si>
    <t>#1114701</t>
  </si>
  <si>
    <t>particolari sui portici oltre al fatto della conservazione dei portici di legno // cosa mi viene in mente direi niente</t>
  </si>
  <si>
    <t>che la cosa più mh come dire // la cosa più mh // mh par~ eh originale e eh particolare che tu possa fare andando sotto i</t>
  </si>
  <si>
    <t>#1121370</t>
  </si>
  <si>
    <t>https://search.corpuskiparla.it/corpus/player/player.cgi?code=PBC004&amp;begin=3519699&amp;end=3524147</t>
  </si>
  <si>
    <t>BOR004</t>
  </si>
  <si>
    <t>immagine di quello che ti ho fatto // va bene ma tanto sì // oppure // per // devo parlare ancora? // no per l''intervista</t>
  </si>
  <si>
    <t>che va bene così eh son cinquantotto minuti // va bene // cacchio // quindi // eh ma ragazzi mi dovevate fermare su dai // no</t>
  </si>
  <si>
    <t>BOA1010</t>
  </si>
  <si>
    <t>#1122194</t>
  </si>
  <si>
    <t>doc#161</t>
  </si>
  <si>
    <t>https://search.corpuskiparla.it/corpus/player/player.cgi?code=BOA1010&amp;begin=222585&amp;end=224433</t>
  </si>
  <si>
    <t>https://search.corpuskiparla.it/corpus/conversations/BOA1010.html</t>
  </si>
  <si>
    <t>https://search.corpuskiparla.it/corpus/conversations/BOA1010_jefferson.html</t>
  </si>
  <si>
    <t>qui sarebbe american literature mh // che questo è sì // afroamericana e però comunque è un è angloamericana // sì // sì sì</t>
  </si>
  <si>
    <t>di sì // sono queste tre? // eh no in realtà sì l'' ul~ l'' unica cosa è che io al secondo anno // ho il blocco quello degli esami</t>
  </si>
  <si>
    <t>PBA020</t>
  </si>
  <si>
    <t>#1132558</t>
  </si>
  <si>
    <t>doc#163</t>
  </si>
  <si>
    <t>https://search.corpuskiparla.it/corpus/player/player.cgi?code=PBA020&amp;begin=713549&amp;end=716475</t>
  </si>
  <si>
    <t>BOI089</t>
  </si>
  <si>
    <t>https://search.corpuskiparla.it/corpus/conversations/PBA020.html</t>
  </si>
  <si>
    <t>https://search.corpuskiparla.it/corpus/conversations/PBA020_jefferson.html</t>
  </si>
  <si>
    <t>estero</t>
  </si>
  <si>
    <t>finisce // mh fine gennaio // che poi ogni anno cambia // la data precisa // ehm // è più una tradizione quella invece d~</t>
  </si>
  <si>
    <t>che // quella del trentun dicembre è più // com''è che si può dire // lo vivi ogni giorno // abitudine // un'' abitudine //</t>
  </si>
  <si>
    <t>BOC1002</t>
  </si>
  <si>
    <t>#1163499</t>
  </si>
  <si>
    <t>doc#168</t>
  </si>
  <si>
    <t>https://search.corpuskiparla.it/corpus/player/player.cgi?code=BOC1002&amp;begin=150393&amp;end=153532</t>
  </si>
  <si>
    <t>BO087</t>
  </si>
  <si>
    <t>https://search.corpuskiparla.it/corpus/conversations/BOC1002.html</t>
  </si>
  <si>
    <t>https://search.corpuskiparla.it/corpus/conversations/BOC1002_jefferson.html</t>
  </si>
  <si>
    <t>// un conto è dire fonte delle notizie bibliografiche sono i seguenti repertori // se non dice altro e dice solo questo io</t>
  </si>
  <si>
    <t>// che // se vuol dire che è secondaria è detto proprio male // mh // mh // però // anzitutto nasce come complemento di un''</t>
  </si>
  <si>
    <t>#1163759</t>
  </si>
  <si>
    <t>https://search.corpuskiparla.it/corpus/player/player.cgi?code=BOC1002&amp;begin=245138&amp;end=248777</t>
  </si>
  <si>
    <t>diversa perché è una uno stato diverso non lo so insomma // okay // però ecco // se solo qui il punto in cui // ne parlamh io</t>
  </si>
  <si>
    <t>che la cosa rimane // no dice poi chemh è stato difficile per alcuni eh andare a ritrovare insomma le informazioni</t>
  </si>
  <si>
    <t>TOD1014</t>
  </si>
  <si>
    <t>#1171694</t>
  </si>
  <si>
    <t>doc#169</t>
  </si>
  <si>
    <t>https://search.corpuskiparla.it/corpus/player/player.cgi?code=TOD1014&amp;begin=1259055&amp;end=1260779</t>
  </si>
  <si>
    <t>TO068</t>
  </si>
  <si>
    <t>https://search.corpuskiparla.it/corpus/conversations/TOD1014.html</t>
  </si>
  <si>
    <t>https://search.corpuskiparla.it/corpus/conversations/TOD1014_jefferson.html</t>
  </si>
  <si>
    <t>sono al secondo anno del dams // non ho nessuna conoscenza particolare però // mi interessava questo corso // va bene</t>
  </si>
  <si>
    <t>che siamo xxx // l'' aula // il livello xxx omogeno per fortuna // sì // io sono arianna sono anch'' io del terzo anno del dams</t>
  </si>
  <si>
    <t>#1181501</t>
  </si>
  <si>
    <t>https://search.corpuskiparla.it/corpus/player/player.cgi?code=TOD1014&amp;begin=5296614&amp;end=5299682</t>
  </si>
  <si>
    <t>quindi da necessità di vestirsi // ma anche // la dimensione di // decoro // cioè la moda // è legata anche e soprattutto</t>
  </si>
  <si>
    <t>// i vestiti e poi anche la moda // alla tenuta della società // cioè è le~ se c'' è una società // moderna // c'' è la moda //</t>
  </si>
  <si>
    <t>#1183843</t>
  </si>
  <si>
    <t>https://search.corpuskiparla.it/corpus/player/player.cgi?code=TOD1014&amp;begin=6225797&amp;end=6229329</t>
  </si>
  <si>
    <t>// la novità // dov'' è la moda? la moda chiaramente ha anche un aspetto distributivo // molto importante // fondamentale</t>
  </si>
  <si>
    <t>l'' accessibilità alla moda // dov'' è? // innanzitto dov'' è dove la possiamo guardare // sempre più sugli schermi //</t>
  </si>
  <si>
    <t>#1191333</t>
  </si>
  <si>
    <t>https://search.corpuskiparla.it/corpus/player/player.cgi?code=TOD1014&amp;begin=9858649&amp;end=9864604</t>
  </si>
  <si>
    <t>xxx protagoniste sono molto importanti per influenzare // xxx influenzano la moda // alla stregua dei designer // anzi</t>
  </si>
  <si>
    <t>che sono più importanti le serie i personaggi delle serie o le celebrity su instagram // che i designer ormai // infatti i</t>
  </si>
  <si>
    <t>PBB022</t>
  </si>
  <si>
    <t>#1218472</t>
  </si>
  <si>
    <t>doc#175</t>
  </si>
  <si>
    <t>https://search.corpuskiparla.it/corpus/player/player.cgi?code=PBB022&amp;begin=3530&amp;end=7980</t>
  </si>
  <si>
    <t>BOI086</t>
  </si>
  <si>
    <t>https://search.corpuskiparla.it/corpus/conversations/PBB022.html</t>
  </si>
  <si>
    <t>https://search.corpuskiparla.it/corpus/conversations/PBB022_jefferson.html</t>
  </si>
  <si>
    <t>// si // xx x xx xx // erano buoni poi questi mandarini // okay // allora in che zona di bologna vivi? // eh dunque nord ovest</t>
  </si>
  <si>
    <t>eh vicino alla san~ basta? // no no no no // // no no no no no spengo solo lo schermo perchè mi dà fastidio // di già ha già</t>
  </si>
  <si>
    <t>PBB025</t>
  </si>
  <si>
    <t>#1237196</t>
  </si>
  <si>
    <t>doc#177</t>
  </si>
  <si>
    <t>https://search.corpuskiparla.it/corpus/player/player.cgi?code=PBB025&amp;begin=253780&amp;end=256550</t>
  </si>
  <si>
    <t>https://search.corpuskiparla.it/corpus/conversations/PBB025.html</t>
  </si>
  <si>
    <t>https://search.corpuskiparla.it/corpus/conversations/PBB025_jefferson.html</t>
  </si>
  <si>
    <t>cioè mh no~ non so rispondere esattamente a questa domanda perchè // non è un problema non è un problema // eh eh // allora e</t>
  </si>
  <si>
    <t>invece // per quanto riguarda e bologna sempre // sappiamo che è ricca di manifestazioni ed eventi generalmente no?</t>
  </si>
  <si>
    <t>#1239844</t>
  </si>
  <si>
    <t>https://search.corpuskiparla.it/corpus/player/player.cgi?code=PBB025&amp;begin=1230233&amp;end=1231233</t>
  </si>
  <si>
    <t>BOI092</t>
  </si>
  <si>
    <t>quando posso // okay // faccio un po'' su e giù // e pensi sia dovuto al fatto che anche il clima sia cambiato ultimamente //</t>
  </si>
  <si>
    <t>di sì // e io scappo dalla pianura perchè // c''è un gran caldo qui // e tutta esposta a sud // quindi ho una casa veramente</t>
  </si>
  <si>
    <t>PBB009</t>
  </si>
  <si>
    <t>#1249111</t>
  </si>
  <si>
    <t>doc#178</t>
  </si>
  <si>
    <t>https://search.corpuskiparla.it/corpus/player/player.cgi?code=PBB009&amp;begin=1967947&amp;end=1969487</t>
  </si>
  <si>
    <t>BOI027</t>
  </si>
  <si>
    <t>https://search.corpuskiparla.it/corpus/conversations/PBB009.html</t>
  </si>
  <si>
    <t>https://search.corpuskiparla.it/corpus/conversations/PBB009_jefferson.html</t>
  </si>
  <si>
    <t>sono gli aspetti proprio più quello dell''orgoglio personale è un aspetto che incide molto // sì // sì sì // eh tantissimo</t>
  </si>
  <si>
    <t>// e okay quindi mi hai detto che visto lavori qua a bologna cioè vivi a bologna sostanzialmente // sì sì vivo a bologna //</t>
  </si>
  <si>
    <t>PBC009</t>
  </si>
  <si>
    <t>#1285669</t>
  </si>
  <si>
    <t>doc#183</t>
  </si>
  <si>
    <t>https://search.corpuskiparla.it/corpus/player/player.cgi?code=PBC009&amp;begin=693294&amp;end=699157</t>
  </si>
  <si>
    <t>BOI023</t>
  </si>
  <si>
    <t>https://search.corpuskiparla.it/corpus/conversations/PBC009.html</t>
  </si>
  <si>
    <t>https://search.corpuskiparla.it/corpus/conversations/PBC009_jefferson.html</t>
  </si>
  <si>
    <t>71-75</t>
  </si>
  <si>
    <t>quindi di quei trent''anni credo di saperne il sape~ il sapibile // ah // // quindi faccio una somma insomma comunque sì</t>
  </si>
  <si>
    <t>di conoscere bologna molto // mhmh // xx // io direi che // anche per me il centro è un riferimento che ho cominciato a</t>
  </si>
  <si>
    <t>#1285680</t>
  </si>
  <si>
    <t>https://search.corpuskiparla.it/corpus/player/player.cgi?code=PBC009&amp;begin=702824&amp;end=703882</t>
  </si>
  <si>
    <t>BOI022</t>
  </si>
  <si>
    <t>il sapibile // ah // // quindi faccio una somma insomma comunque sì direi di conoscere bologna molto // mhmh // xx // io</t>
  </si>
  <si>
    <t>che // anche per me il centro è un riferimento che ho cominciato a conoscere // mano a mano che dalle medie sono andato alle</t>
  </si>
  <si>
    <t>#1290796</t>
  </si>
  <si>
    <t>https://search.corpuskiparla.it/corpus/player/player.cgi?code=PBC009&amp;begin=2904120&amp;end=2912160</t>
  </si>
  <si>
    <t>sua attività è il lavoro con le scuole // mh // legato proprio però al territorio e ai luoghi di cui eh parlavamo prima ecco</t>
  </si>
  <si>
    <t>che // poi abbiamo avuto come sempre ci vuole fortuna abbiamo // delle insegnanti stupende // xxx delle insegnanti con</t>
  </si>
  <si>
    <t>#1297714</t>
  </si>
  <si>
    <t>https://search.corpuskiparla.it/corpus/player/player.cgi?code=PBC009&amp;begin=5790890&amp;end=5792520</t>
  </si>
  <si>
    <t>BOR002</t>
  </si>
  <si>
    <t>volontà quella firma // n~ non // però i problemi ci sono c~ si vedono un po'' anche adesso i problemi ecco // bene io</t>
  </si>
  <si>
    <t>che // xx // per però non si finisce davvero di studiare che bello // xxx // xxx // allora // inizio subito chiedendole in</t>
  </si>
  <si>
    <t>PBC007</t>
  </si>
  <si>
    <t>#1297809</t>
  </si>
  <si>
    <t>doc#184</t>
  </si>
  <si>
    <t>https://search.corpuskiparla.it/corpus/player/player.cgi?code=PBC007&amp;begin=27910&amp;end=31541</t>
  </si>
  <si>
    <t>BOI019</t>
  </si>
  <si>
    <t>https://search.corpuskiparla.it/corpus/conversations/PBC007.html</t>
  </si>
  <si>
    <t>https://search.corpuskiparla.it/corpus/conversations/PBC007_jefferson.html</t>
  </si>
  <si>
    <t>son cinquant''anni che abi~ sessant''anni // che abito in questo quartiere // mhmh // un quartiere che è diventato anche</t>
  </si>
  <si>
    <t>// eh più abitato di quando io abitavo qui // perché son state costruite poi tante case eh // quando sono arrivata questa</t>
  </si>
  <si>
    <t>#1298115</t>
  </si>
  <si>
    <t>https://search.corpuskiparla.it/corpus/player/player.cgi?code=PBC007&amp;begin=144178&amp;end=146888</t>
  </si>
  <si>
    <t>le ancora ce ne sono // sì // quindi ecco è una cosa più legata qua al quartiere più che a questa via anzi // sì sì sì sì // sì sì</t>
  </si>
  <si>
    <t>un po'' di meno da noi un po'' di meno // comunque è un un quartiere molto vivo perchè // eh coi portici // sì // diventa una una</t>
  </si>
  <si>
    <t>#1298176</t>
  </si>
  <si>
    <t>https://search.corpuskiparla.it/corpus/player/player.cgi?code=PBC007&amp;begin=170950&amp;end=172030</t>
  </si>
  <si>
    <t>mhmh // con con la città // anche xx // con la città da da dal dal dal centro // alla periferia // dal centro abitato // alla //</t>
  </si>
  <si>
    <t>quasi // anche alla collina la co~ la campagna // però adesso che ha parlato di portici lei scusi da quanti anni è che abita</t>
  </si>
  <si>
    <t>PBA002</t>
  </si>
  <si>
    <t>#1307712</t>
  </si>
  <si>
    <t>doc#185</t>
  </si>
  <si>
    <t>https://search.corpuskiparla.it/corpus/player/player.cgi?code=PBA002&amp;begin=292750&amp;end=295010</t>
  </si>
  <si>
    <t>https://search.corpuskiparla.it/corpus/conversations/PBA002.html</t>
  </si>
  <si>
    <t>https://search.corpuskiparla.it/corpus/conversations/PBA002_jefferson.html</t>
  </si>
  <si>
    <t>// e invece // bologna è piccolina adesso // beh rispetto ad altre sì // sì in effetti // mh sì // quindi beh siete contenti</t>
  </si>
  <si>
    <t>qui // e ecco una cosa che volevo che volevo chiedervi visto che comunque siete anche diciamo avete più o meno la mia la mia</t>
  </si>
  <si>
    <t>#1308596</t>
  </si>
  <si>
    <t>https://search.corpuskiparla.it/corpus/player/player.cgi?code=PBA002&amp;begin=594130&amp;end=595773</t>
  </si>
  <si>
    <t>sono i portici // cioè andrebbero più // sponsorizzati // sai tipo con la spazzatura di sicuro // sì // non non è il massimo</t>
  </si>
  <si>
    <t>// ecco eh // infatti mi chiedevo anche proprio perchè sapevo che erano diventati patrimonio dell''unesco quindi //</t>
  </si>
  <si>
    <t>#1310068</t>
  </si>
  <si>
    <t>https://search.corpuskiparla.it/corpus/player/player.cgi?code=PBA002&amp;begin=1110690&amp;end=1113544</t>
  </si>
  <si>
    <t>va bene così // vecchino // // io non c''entro // // e niente quindi // beh dai eh // vabbè lavori in proprio sei un dipendete</t>
  </si>
  <si>
    <t>che // sì è abbastanza evidente // sì direi // sì // è che non sono ancora diventata proprietaria // della pizzeria // s~ so</t>
  </si>
  <si>
    <t>#1310077</t>
  </si>
  <si>
    <t>https://search.corpuskiparla.it/corpus/player/player.cgi?code=PBA002&amp;begin=1115210&amp;end=1115947</t>
  </si>
  <si>
    <t>BOI053</t>
  </si>
  <si>
    <t>// // e niente quindi // beh dai eh // vabbè lavori in proprio sei un dipendete direi che // sì è abbastanza evidente // sì</t>
  </si>
  <si>
    <t>// sì // è che non sono ancora diventata proprietaria // della pizzeria // s~ so che vorresti però // invitare tutti i</t>
  </si>
  <si>
    <t>#1310371</t>
  </si>
  <si>
    <t>https://search.corpuskiparla.it/corpus/player/player.cgi?code=PBA002&amp;begin=1219110&amp;end=1220378</t>
  </si>
  <si>
    <t>con dei cioè in italia ma // o comunque tutte e due a bologna o // in altre città // mh // non so // se posso // no comunque</t>
  </si>
  <si>
    <t>// a bologna // o in zona // in provincia // è che ci sono affezionata // ho sempre vissuto qua // ah ci sta // ho tutti i</t>
  </si>
  <si>
    <t>#1310944</t>
  </si>
  <si>
    <t>https://search.corpuskiparla.it/corpus/player/player.cgi?code=PBA002&amp;begin=1412170&amp;end=1413794</t>
  </si>
  <si>
    <t>vedo i miei compagni tutti eh ragazzi devo cercare una casa aiuto // praticamente // vabbè poi // domande sugli studi</t>
  </si>
  <si>
    <t>che // ah beh ecco una cosa che // non vi ho mai cioè // no~ non so voi // parte~ pa~ eh partecipate molto alla anche movida //</t>
  </si>
  <si>
    <t>PBA029</t>
  </si>
  <si>
    <t>#1359894</t>
  </si>
  <si>
    <t>doc#191</t>
  </si>
  <si>
    <t>https://search.corpuskiparla.it/corpus/player/player.cgi?code=PBA029&amp;begin=3018630&amp;end=3022990</t>
  </si>
  <si>
    <t>BOR028</t>
  </si>
  <si>
    <t>https://search.corpuskiparla.it/corpus/conversations/PBA029.html</t>
  </si>
  <si>
    <t>https://search.corpuskiparla.it/corpus/conversations/PBA029_jefferson.html</t>
  </si>
  <si>
    <t>è inquinata quest''aria // senti senti le microplastiche che mi entrano // mh cioè no // no // x ragazzi io vi ringrazio</t>
  </si>
  <si>
    <t>che possiamo chiudere // // amen basta // allora // in che quartiere di bologna vivi? e come ti trovi? // dunque io vivo</t>
  </si>
  <si>
    <t>PBC005</t>
  </si>
  <si>
    <t>#1365189</t>
  </si>
  <si>
    <t>doc#192</t>
  </si>
  <si>
    <t>https://search.corpuskiparla.it/corpus/player/player.cgi?code=PBC005&amp;begin=1933800&amp;end=1934500</t>
  </si>
  <si>
    <t>BOI014</t>
  </si>
  <si>
    <t>https://search.corpuskiparla.it/corpus/conversations/PBC005.html</t>
  </si>
  <si>
    <t>https://search.corpuskiparla.it/corpus/conversations/PBC005_jefferson.html</t>
  </si>
  <si>
    <t>76-80</t>
  </si>
  <si>
    <t>// moltissimo // invece quando sono arrivati i nipoti? // quando sono arrivati i nipoti è stata la gioia // //</t>
  </si>
  <si>
    <t>// quasi più grande di avere dei figli perchè io la maternità l''ho vissuta con molto // mh // timore // perchè il primo</t>
  </si>
  <si>
    <t>PTD013</t>
  </si>
  <si>
    <t>#1371972</t>
  </si>
  <si>
    <t>doc#193</t>
  </si>
  <si>
    <t>https://search.corpuskiparla.it/corpus/player/player.cgi?code=PTD013&amp;begin=840787&amp;end=846109</t>
  </si>
  <si>
    <t>TOI111</t>
  </si>
  <si>
    <t>https://search.corpuskiparla.it/corpus/conversations/PTD013.html</t>
  </si>
  <si>
    <t>https://search.corpuskiparla.it/corpus/conversations/PTD013_jefferson.html</t>
  </si>
  <si>
    <t>costruttivo bisogna in ogni caso // sempre discutere a un certo liv~ a un certo modoe rispettarsi a vicenda // quindi io</t>
  </si>
  <si>
    <t>che ho un buon rapporto con i miei colleghi vera amicizia forse non tanto // ho avuto rapporti di vera amicizia // però è</t>
  </si>
  <si>
    <t>PBA015</t>
  </si>
  <si>
    <t>#1373874</t>
  </si>
  <si>
    <t>doc#194</t>
  </si>
  <si>
    <t>https://search.corpuskiparla.it/corpus/player/player.cgi?code=PBA015&amp;begin=315149&amp;end=318304</t>
  </si>
  <si>
    <t>BOI077</t>
  </si>
  <si>
    <t>https://search.corpuskiparla.it/corpus/conversations/PBA015.html</t>
  </si>
  <si>
    <t>https://search.corpuskiparla.it/corpus/conversations/PBA015_jefferson.html</t>
  </si>
  <si>
    <t>16-20</t>
  </si>
  <si>
    <t>e i frutti di bosco // ho capito bene // ehm secondo te // a bologna adesso ci sono troppi turisti // oppure no // troppi non</t>
  </si>
  <si>
    <t>cioè poi dipende anche molto dalla zona // diciamo che mh // in alcun~ ad esempio verso le sette chiese già si concentrano</t>
  </si>
  <si>
    <t>#1377061</t>
  </si>
  <si>
    <t>https://search.corpuskiparla.it/corpus/player/player.cgi?code=PBA015&amp;begin=1324518&amp;end=1327440</t>
  </si>
  <si>
    <t>BOR019</t>
  </si>
  <si>
    <t>// poi con tutte le prove fatte prima mh // sì // bene e quanto ventun minuti // e ti chiedo giusto anche un''altra roba // poi</t>
  </si>
  <si>
    <t>che possiamo chiudere // ahm // mhmh mh // e // ah giusto // ehm // col fatto che qua ci sono i portici dappertutto // quando</t>
  </si>
  <si>
    <t>#1377322</t>
  </si>
  <si>
    <t>https://search.corpuskiparla.it/corpus/player/player.cgi?code=PBA015&amp;begin=1410768&amp;end=1411649</t>
  </si>
  <si>
    <t>voler fare chimica // ho capito che non era una grande idea far la persino in una lingua che non era la mia // no // mh no // //</t>
  </si>
  <si>
    <t>proprio di no // ehm // tuttora // mh non è la città che preferisco // nel se~ // mh // però io sono molto // io ho visitato</t>
  </si>
  <si>
    <t>PTA001</t>
  </si>
  <si>
    <t>#1386647</t>
  </si>
  <si>
    <t>doc#196</t>
  </si>
  <si>
    <t>https://search.corpuskiparla.it/corpus/player/player.cgi?code=PTA001&amp;begin=1773900&amp;end=1775205</t>
  </si>
  <si>
    <t>TOR002</t>
  </si>
  <si>
    <t>https://search.corpuskiparla.it/corpus/conversations/PTA001.html</t>
  </si>
  <si>
    <t>https://search.corpuskiparla.it/corpus/conversations/PTA001_jefferson.html</t>
  </si>
  <si>
    <t>tu hai presente un sedicienne che entra a casa di uno a far suonare la chitarra la domenica mattina alle otto // //</t>
  </si>
  <si>
    <t>di no // mamma mia gli ho fatto delle cose in quella casa che // // // però comunque mi sarebbe sempre piaciu~ // è già tanto</t>
  </si>
  <si>
    <t>KPN001</t>
  </si>
  <si>
    <t>#1416328</t>
  </si>
  <si>
    <t>doc#198</t>
  </si>
  <si>
    <t>https://search.corpuskiparla.it/corpus/player/player.cgi?code=KPN001&amp;begin=12961&amp;end=15955</t>
  </si>
  <si>
    <t>PKP135</t>
  </si>
  <si>
    <t>https://search.corpuskiparla.it/corpus/conversations/KPN001.html</t>
  </si>
  <si>
    <t>https://search.corpuskiparla.it/corpus/conversations/KPN001_jefferson.html</t>
  </si>
  <si>
    <t>ditemi pure diciamo // vi è tutto chiaro? // emh // tu non hai mai fatto queste foto quando sei andata in barca // no</t>
  </si>
  <si>
    <t>di no // o queste foto non l''abbiam mai fatte // tu non le vuoi fare // sempre che non ti vuoi far taggare da nessuna parte //</t>
  </si>
  <si>
    <t>#1420826</t>
  </si>
  <si>
    <t>https://search.corpuskiparla.it/corpus/player/player.cgi?code=KPN001&amp;begin=1461772&amp;end=1463337</t>
  </si>
  <si>
    <t>lei era figlia di un parlamentare inglese // mhmh // quindi probabilmente aveva abbastanza soldi ereditati // beh eh</t>
  </si>
  <si>
    <t>// mh // ehm // e lei era fissata con la cucin~ con col mangiare // mh // e quindi ogni vacanza che faceva aveva comunque</t>
  </si>
  <si>
    <t>PTD004</t>
  </si>
  <si>
    <t>#1444692</t>
  </si>
  <si>
    <t>doc#201</t>
  </si>
  <si>
    <t>https://search.corpuskiparla.it/corpus/player/player.cgi?code=PTD004&amp;begin=290011&amp;end=292225</t>
  </si>
  <si>
    <t>TOI043</t>
  </si>
  <si>
    <t>https://search.corpuskiparla.it/corpus/conversations/PTD004.html</t>
  </si>
  <si>
    <t>https://search.corpuskiparla.it/corpus/conversations/PTD004_jefferson.html</t>
  </si>
  <si>
    <t>// pozzo strada devo dire che ci sono tanti anziani // mh mh // però vabbè vedi anche comunque famiglie // con bambini</t>
  </si>
  <si>
    <t>che è abbastanza misto // okay // come immigrati pf mh // forse più immigrazione dall''est // mh mh // quindi // appunto non</t>
  </si>
  <si>
    <t>PTD009</t>
  </si>
  <si>
    <t>#1460468</t>
  </si>
  <si>
    <t>doc#202</t>
  </si>
  <si>
    <t>https://search.corpuskiparla.it/corpus/player/player.cgi?code=PTD009&amp;begin=16774&amp;end=19473</t>
  </si>
  <si>
    <t>TOI060</t>
  </si>
  <si>
    <t>https://search.corpuskiparla.it/corpus/conversations/PTD009.html</t>
  </si>
  <si>
    <t>https://search.corpuskiparla.it/corpus/conversations/PTD009_jefferson.html</t>
  </si>
  <si>
    <t>anno // okay // ma sono son nato a torino ma ho sempre vissuto a san mauro // okay // la barca è proprio lì vicino quindi</t>
  </si>
  <si>
    <t>che // non mi sono spostato di molto // okay // e quindi ehm // adesso p~ ti sta suonando il telefono o è da fuori che arriva?</t>
  </si>
  <si>
    <t>#1467864</t>
  </si>
  <si>
    <t>https://search.corpuskiparla.it/corpus/player/player.cgi?code=PTD009&amp;begin=2402928&amp;end=2407581</t>
  </si>
  <si>
    <t>e tutto quanto // non non è mia materia al momento però oggettivamente è è una bella piazza // ripeto la prima cosa che io</t>
  </si>
  <si>
    <t>a uno che a uneh a un turista che ha già visto // torino // e di uscire un po'' dalla lonely planet vai in piazza bodoni perché</t>
  </si>
  <si>
    <t>PBC011</t>
  </si>
  <si>
    <t>#1473905</t>
  </si>
  <si>
    <t>doc#203</t>
  </si>
  <si>
    <t>https://search.corpuskiparla.it/corpus/player/player.cgi?code=PBC011&amp;begin=912504&amp;end=919191</t>
  </si>
  <si>
    <t>BOI032</t>
  </si>
  <si>
    <t>https://search.corpuskiparla.it/corpus/conversations/PBC011.html</t>
  </si>
  <si>
    <t>https://search.corpuskiparla.it/corpus/conversations/PBC011_jefferson.html</t>
  </si>
  <si>
    <t>per cui // ecco questo è il il portico della morte ce l''ho ben presente // // gli altri era per fare una passeggiata e</t>
  </si>
  <si>
    <t>che li ho scoperti più dopo quando sono andata in pensione perché ho fatto un po'' la turista a bologna // certo // e allora</t>
  </si>
  <si>
    <t>#1479984</t>
  </si>
  <si>
    <t>https://search.corpuskiparla.it/corpus/player/player.cgi?code=PBC011&amp;begin=2897703&amp;end=2898735</t>
  </si>
  <si>
    <t>anche che le capacità // anche vengono fuori nel momento in cui ti senti responsabile di fare una roba // per cui adesso //</t>
  </si>
  <si>
    <t>che // e lui va avanti come è questo dà anche fastidio cioè il fatto che sia // un sindaco che dice no io penso così vado così</t>
  </si>
  <si>
    <t>TOD2006</t>
  </si>
  <si>
    <t>#1487222</t>
  </si>
  <si>
    <t>doc#204</t>
  </si>
  <si>
    <t>https://search.corpuskiparla.it/corpus/player/player.cgi?code=TOD2006&amp;begin=797581&amp;end=799060</t>
  </si>
  <si>
    <t>TO999</t>
  </si>
  <si>
    <t>https://search.corpuskiparla.it/corpus/conversations/TOD2006.html</t>
  </si>
  <si>
    <t>https://search.corpuskiparla.it/corpus/conversations/TOD2006_jefferson.html</t>
  </si>
  <si>
    <t>no sono tutti di solito contenti // certo // certo è fatto molto bene // okay cosa ti posso ancora chiedere? // basta così</t>
  </si>
  <si>
    <t>che siamo a posto // okay allora // voi abitate a bologna o in provincia? // provincia // e come si chiama il paese la città?</t>
  </si>
  <si>
    <t>PBB005</t>
  </si>
  <si>
    <t>#1505630</t>
  </si>
  <si>
    <t>doc#206</t>
  </si>
  <si>
    <t>https://search.corpuskiparla.it/corpus/player/player.cgi?code=PBB005&amp;begin=2806195&amp;end=2807155</t>
  </si>
  <si>
    <t>https://search.corpuskiparla.it/corpus/conversations/PBB005.html</t>
  </si>
  <si>
    <t>https://search.corpuskiparla.it/corpus/conversations/PBB005_jefferson.html</t>
  </si>
  <si>
    <t>del cielo non c''è nulla di male // sì // però intanto speri insomma che vada in quel senso ecco // sì sì // mh // okay dai io //</t>
  </si>
  <si>
    <t>che // ue // thank you // meglio col sale? // eh sì // verso? // sì grazie // // tu vuoi rosa un po'' di vi~? // no grazie amo'' // un</t>
  </si>
  <si>
    <t>BOA3017</t>
  </si>
  <si>
    <t>#1535597</t>
  </si>
  <si>
    <t>doc#210</t>
  </si>
  <si>
    <t>https://search.corpuskiparla.it/corpus/player/player.cgi?code=BOA3017&amp;begin=1237194&amp;end=1240008</t>
  </si>
  <si>
    <t>BO147</t>
  </si>
  <si>
    <t>https://search.corpuskiparla.it/corpus/conversations/BOA3017.html</t>
  </si>
  <si>
    <t>https://search.corpuskiparla.it/corpus/conversations/BOA3017_jefferson.html</t>
  </si>
  <si>
    <t>cosa no però // no ai cazzi no // // s'' aggrappa // // // te sei sicuro che vuoi presentare questa? // // // eh oh // // ah</t>
  </si>
  <si>
    <t>che ci ci stiamo pure a trattenere troppo secondo me // direi (di no) // // un bel bestemmione in coro // // // // mh // eh</t>
  </si>
  <si>
    <t>#1535609</t>
  </si>
  <si>
    <t>https://search.corpuskiparla.it/corpus/player/player.cgi?code=BOA3017&amp;begin=1237198&amp;end=1238765</t>
  </si>
  <si>
    <t>BO146</t>
  </si>
  <si>
    <t>sei sicuro che vuoi presentare questa? // // // eh oh // // ah direi che ci ci stiamo pure a trattenere troppo secondo me //</t>
  </si>
  <si>
    <t>(di no) // // un bel bestemmione in coro // // // // mh // eh quindi domani non fo fo fo un cazzo // io mi sveglio presto // io</t>
  </si>
  <si>
    <t>BOA1001</t>
  </si>
  <si>
    <t>#1538173</t>
  </si>
  <si>
    <t>doc#211</t>
  </si>
  <si>
    <t>https://search.corpuskiparla.it/corpus/player/player.cgi?code=BOA1001&amp;begin=235329&amp;end=241680</t>
  </si>
  <si>
    <t>BO020</t>
  </si>
  <si>
    <t>https://search.corpuskiparla.it/corpus/conversations/BOA1001.html</t>
  </si>
  <si>
    <t>https://search.corpuskiparla.it/corpus/conversations/BOA1001_jefferson.html</t>
  </si>
  <si>
    <t>sulla sulle mie sui miei ragazzi // mh // sì // eh quindi l'' argomento era questo ahmh non ben precisato ancora però mh io</t>
  </si>
  <si>
    <t>che // sì // sì provvisoriamente avevamo identif~ mh individuato quel diciamo // questo potrebbe svilupparsi // sì più</t>
  </si>
  <si>
    <t>#1538354</t>
  </si>
  <si>
    <t>https://search.corpuskiparla.it/corpus/player/player.cgi?code=BOA1001&amp;begin=295713&amp;end=297446</t>
  </si>
  <si>
    <t>// ehmh // quindi // ma mh in realtà anche al tecnico ci sono gli stranieri ora // la scelta tra l'' uno e l'' altro uhmh // io</t>
  </si>
  <si>
    <t>potrebbe dipendere // scusi solo un attimo mattia se vuoi puoi chiudere la porta perché c'' è molto rumore // eh // troppo</t>
  </si>
  <si>
    <t>#1538912</t>
  </si>
  <si>
    <t>https://search.corpuskiparla.it/corpus/player/player.cgi?code=BOA1001&amp;begin=502575&amp;end=505788</t>
  </si>
  <si>
    <t>quindi // lei lo conosce? // sì // son tre ore di inglese son tre ore di seconda lingua // sì // eh anche le ore di italiano</t>
  </si>
  <si>
    <t>che son le stesse // cioè da questo // da questa indagine può emergere quali lingue straniere e i tempi di di sì di della</t>
  </si>
  <si>
    <t>#1539105</t>
  </si>
  <si>
    <t>https://search.corpuskiparla.it/corpus/player/player.cgi?code=BOA1001&amp;begin=573991&amp;end=579200</t>
  </si>
  <si>
    <t>ambito turistico poi ehmh e poi eh chiaro dipende dagli indirizzi l'' economia però // mh mh // ehmh // primo e secondo anno</t>
  </si>
  <si>
    <t>di no siccome la maggior parte dei // mh // e quindi mh che tipo di domande porrebbe lei cioè qual è diciamo lo scopo di</t>
  </si>
  <si>
    <t>TOA1006</t>
  </si>
  <si>
    <t>#1562362</t>
  </si>
  <si>
    <t>doc#213</t>
  </si>
  <si>
    <t>https://search.corpuskiparla.it/corpus/player/player.cgi?code=TOA1006&amp;begin=2636614&amp;end=2641574</t>
  </si>
  <si>
    <t>TO079</t>
  </si>
  <si>
    <t>https://search.corpuskiparla.it/corpus/conversations/TOA1006.html</t>
  </si>
  <si>
    <t>https://search.corpuskiparla.it/corpus/conversations/TOA1006_jefferson.html</t>
  </si>
  <si>
    <t>un'' ultima cosa poi vado // sì // io ieri ho provato ho d~ ho fatto una ricerchina ho provato // ho preso questo testo quindi</t>
  </si>
  <si>
    <t>però perché per il discorso che ci siamo fatti questo sicuramente mi può servire // eh lei dia un'' occhiata all''</t>
  </si>
  <si>
    <t>PTA007</t>
  </si>
  <si>
    <t>#1569854</t>
  </si>
  <si>
    <t>doc#215</t>
  </si>
  <si>
    <t>https://search.corpuskiparla.it/corpus/player/player.cgi?code=PTA007&amp;begin=457333&amp;end=458920</t>
  </si>
  <si>
    <t>TOI007</t>
  </si>
  <si>
    <t>https://search.corpuskiparla.it/corpus/conversations/PTA007.html</t>
  </si>
  <si>
    <t>https://search.corpuskiparla.it/corpus/conversations/PTA007_jefferson.html</t>
  </si>
  <si>
    <t>molto dalla zona in cui vivi // mh mh // chiaramente in quella zona // va tutto bene è tutto molto bello quindi // mh mh //</t>
  </si>
  <si>
    <t>quasi di no // mi sembra tutto più o meno uguale // okay // bello tutto bellissimo poi so che in realtà // appena esci un po''</t>
  </si>
  <si>
    <t>PBC008</t>
  </si>
  <si>
    <t>#1577037</t>
  </si>
  <si>
    <t>doc#216</t>
  </si>
  <si>
    <t>https://search.corpuskiparla.it/corpus/player/player.cgi?code=PBC008&amp;begin=2391568&amp;end=2393442</t>
  </si>
  <si>
    <t>https://search.corpuskiparla.it/corpus/conversations/PBC008.html</t>
  </si>
  <si>
    <t>https://search.corpuskiparla.it/corpus/conversations/PBC008_jefferson.html</t>
  </si>
  <si>
    <t>spontaneo // e visto che comunque qua nel centro sociale de~ diciamo la fascia media d''età // comunque sono persone //</t>
  </si>
  <si>
    <t>dai settant''anni in su // no // cioè // principalmente adesso vedendo di là le persone che c''erano al momento //</t>
  </si>
  <si>
    <t>#1578365</t>
  </si>
  <si>
    <t>https://search.corpuskiparla.it/corpus/player/player.cgi?code=PBC008&amp;begin=2950390&amp;end=2952552</t>
  </si>
  <si>
    <t>BOI021</t>
  </si>
  <si>
    <t>non così fo~ cioè probabilmente però // insomma andrebbero indagate // mhmh // anche quelle probabilmente // // questa</t>
  </si>
  <si>
    <t>che è la cosa che più ho // eh mia suocera eh fino all''ultimo giorno ne ha parlato // in maniera sempre // compulsiva</t>
  </si>
  <si>
    <t>#1579875</t>
  </si>
  <si>
    <t>https://search.corpuskiparla.it/corpus/player/player.cgi?code=PBC008&amp;begin=3536937&amp;end=3539562</t>
  </si>
  <si>
    <t>rassegni su t~ // boh vabbè // sarà stato perchè era sotto natale ed era // // // tutti impegnati in altro // va bene // beh //</t>
  </si>
  <si>
    <t>che ci ha dato veramente tantissime informazioni // va bene // okay // allora intanto ti chiedo che ehm che lavoro fai tu</t>
  </si>
  <si>
    <t>TOD1016</t>
  </si>
  <si>
    <t>#1613819</t>
  </si>
  <si>
    <t>doc#221</t>
  </si>
  <si>
    <t>https://search.corpuskiparla.it/corpus/player/player.cgi?code=TOD1016&amp;begin=5782060&amp;end=5784649</t>
  </si>
  <si>
    <t>TO070</t>
  </si>
  <si>
    <t>https://search.corpuskiparla.it/corpus/conversations/TOD1016.html</t>
  </si>
  <si>
    <t>https://search.corpuskiparla.it/corpus/conversations/TOD1016_jefferson.html</t>
  </si>
  <si>
    <t>vari botta e risposta nella musicalità del verso intero // che però si suddivide sulla bocca di più personaggi // va bene</t>
  </si>
  <si>
    <t>che per questa settimana vi ho // martellato abbastanza // ci vediamo la prossima eh? // se rileggendo i vostri appunti</t>
  </si>
  <si>
    <t>PBB032</t>
  </si>
  <si>
    <t>#1638673</t>
  </si>
  <si>
    <t>doc#224</t>
  </si>
  <si>
    <t>https://search.corpuskiparla.it/corpus/player/player.cgi?code=PBB032&amp;begin=2826710&amp;end=2829282</t>
  </si>
  <si>
    <t>https://search.corpuskiparla.it/corpus/conversations/PBB032.html</t>
  </si>
  <si>
    <t>https://search.corpuskiparla.it/corpus/conversations/PBB032_jefferson.html</t>
  </si>
  <si>
    <t>eh lì mh // mh // sì // però se dev~ secondo me è molto bello // okay // mh una bella esperienza da fare // bene bene // okay ah io</t>
  </si>
  <si>
    <t>che siamo a posto // sì non mi vien niente a posto // okay cosa hai studiato te? // ho studiato // lingue all'' università di</t>
  </si>
  <si>
    <t>TOD2008</t>
  </si>
  <si>
    <t>#1644525</t>
  </si>
  <si>
    <t>doc#225</t>
  </si>
  <si>
    <t>https://search.corpuskiparla.it/corpus/player/player.cgi?code=TOD2008&amp;begin=1743220&amp;end=1748023</t>
  </si>
  <si>
    <t>TO044</t>
  </si>
  <si>
    <t>https://search.corpuskiparla.it/corpus/conversations/TOD2008.html</t>
  </si>
  <si>
    <t>https://search.corpuskiparla.it/corpus/conversations/TOD2008_jefferson.html</t>
  </si>
  <si>
    <t>sere // mhmh // e e io gli ho detto ma no guarda // non non ti do il mio numero perché è stato figo così // okay // e quindi io</t>
  </si>
  <si>
    <t>di mantenerlo così come è stato lui fa ma io abito laggiù xx xx // // no no no ma gli ho detto non dirmelo facciamo così se ci</t>
  </si>
  <si>
    <t>KPN015</t>
  </si>
  <si>
    <t>#1649149</t>
  </si>
  <si>
    <t>doc#226</t>
  </si>
  <si>
    <t>https://search.corpuskiparla.it/corpus/player/player.cgi?code=KPN015&amp;begin=1647827&amp;end=1649133</t>
  </si>
  <si>
    <t>PKP062</t>
  </si>
  <si>
    <t>https://search.corpuskiparla.it/corpus/conversations/KPN015.html</t>
  </si>
  <si>
    <t>https://search.corpuskiparla.it/corpus/conversations/KPN015_jefferson.html</t>
  </si>
  <si>
    <t>che non gli abbia interesse poi a // mah se te fossi fuori da cioè se se io fossi fuori dal vino e te avessi passione allora //</t>
  </si>
  <si>
    <t>che val la pena // se se se io posso passarti qualche cosa // eh forse ti converrebbe farti // e e te non e te non sei</t>
  </si>
  <si>
    <t>PBA026</t>
  </si>
  <si>
    <t>#1658396</t>
  </si>
  <si>
    <t>doc#227</t>
  </si>
  <si>
    <t>https://search.corpuskiparla.it/corpus/player/player.cgi?code=PBA026&amp;begin=2898747&amp;end=2901995</t>
  </si>
  <si>
    <t>BOI105</t>
  </si>
  <si>
    <t>https://search.corpuskiparla.it/corpus/conversations/PBA026.html</t>
  </si>
  <si>
    <t>https://search.corpuskiparla.it/corpus/conversations/PBA026_jefferson.html</t>
  </si>
  <si>
    <t>la festa // c~ la cosa che festeggiate di più è il natale? o ci sono delle altre occasioni durante l''anno // natale e pasqua</t>
  </si>
  <si>
    <t>// mhmh okay // anche // sì // se no a marzo facciamo // facciamo i compleanni // perché c''è ehm // // il ciccio che è il</t>
  </si>
  <si>
    <t>TOC1004</t>
  </si>
  <si>
    <t>#1671265</t>
  </si>
  <si>
    <t>doc#231</t>
  </si>
  <si>
    <t>https://search.corpuskiparla.it/corpus/player/player.cgi?code=TOC1004&amp;begin=1968938&amp;end=1971973</t>
  </si>
  <si>
    <t>TO018</t>
  </si>
  <si>
    <t>https://search.corpuskiparla.it/corpus/conversations/TOC1004.html</t>
  </si>
  <si>
    <t>https://search.corpuskiparla.it/corpus/conversations/TOC1004_jefferson.html</t>
  </si>
  <si>
    <t>// che ha una quantità di suinetti incredibile e quindi ne spara una quantità veramente // sì // mh che cos'' è che che che //</t>
  </si>
  <si>
    <t>atipico che caratterizza proprio lala // la // la nascita dei suinetti // rispetto ad altremh // non abbiamo molte altre</t>
  </si>
  <si>
    <t>#1673567</t>
  </si>
  <si>
    <t>https://search.corpuskiparla.it/corpus/player/player.cgi?code=TOC1004&amp;begin=2742625&amp;end=2753906</t>
  </si>
  <si>
    <t>cosa // ehmh // beh grazie a lei per la presentazione // ilmh allora lei ha affrontato questi argomenti che sono legati</t>
  </si>
  <si>
    <t>a cioè sono una condizione intermedia tra la fisiologia e la fisiopatologia no dell'' allevamento // sì // dal punto di</t>
  </si>
  <si>
    <t>#1675983</t>
  </si>
  <si>
    <t>https://search.corpuskiparla.it/corpus/player/player.cgi?code=TOC1004&amp;begin=3575640&amp;end=3576421</t>
  </si>
  <si>
    <t>al quale bisogna prestare attenzione perché non venga // non venga danneggiato // eh il pe~ // nel tacchino // il petto //</t>
  </si>
  <si>
    <t>proprio di sì // // vada tranquilla su tutto il resto // perché // mhlei ha detto prima giustamente bisogna fare</t>
  </si>
  <si>
    <t>PBB029</t>
  </si>
  <si>
    <t>#1692831</t>
  </si>
  <si>
    <t>doc#233</t>
  </si>
  <si>
    <t>https://search.corpuskiparla.it/corpus/player/player.cgi?code=PBB029&amp;begin=2282426&amp;end=2284013</t>
  </si>
  <si>
    <t>BOI101</t>
  </si>
  <si>
    <t>https://search.corpuskiparla.it/corpus/conversations/PBB029.html</t>
  </si>
  <si>
    <t>https://search.corpuskiparla.it/corpus/conversations/PBB029_jefferson.html</t>
  </si>
  <si>
    <t>portarci la cena e cenare su un telo sui colli // mhmh // sempre una cosa che mi piace fare // be ne // mhmh // vabbè si ci sta //</t>
  </si>
  <si>
    <t>colli come forse // ci sta ci sta // se devo adesso identificare forse i colli // mhmh // sono la cosa di bologna che più mi</t>
  </si>
  <si>
    <t>TOD1005</t>
  </si>
  <si>
    <t>#1697406</t>
  </si>
  <si>
    <t>doc#234</t>
  </si>
  <si>
    <t>https://search.corpuskiparla.it/corpus/player/player.cgi?code=TOD1005&amp;begin=1790040&amp;end=1791220</t>
  </si>
  <si>
    <t>https://search.corpuskiparla.it/corpus/conversations/TOD1005.html</t>
  </si>
  <si>
    <t>https://search.corpuskiparla.it/corpus/conversations/TOD1005_jefferson.html</t>
  </si>
  <si>
    <t>di quel paese // okay // cioè in altre parole tutte le lingue sono dialetti tutti i dialetti sono lingue // e un caso</t>
  </si>
  <si>
    <t>// esemplare ce l'' abbiamo davanti in questo momento io // non io in quanto persona ma io che sto parlando italiano // ma l''</t>
  </si>
  <si>
    <t>KPN017</t>
  </si>
  <si>
    <t>#1703515</t>
  </si>
  <si>
    <t>doc#235</t>
  </si>
  <si>
    <t>https://search.corpuskiparla.it/corpus/player/player.cgi?code=KPN017&amp;begin=235436&amp;end=237577</t>
  </si>
  <si>
    <t>https://search.corpuskiparla.it/corpus/conversations/KPN017.html</t>
  </si>
  <si>
    <t>https://search.corpuskiparla.it/corpus/conversations/KPN017_jefferson.html</t>
  </si>
  <si>
    <t>// ma guarda le lascio al papà così le sente bene // // tu ne hai presa una una eh? perchè qua eran due mh // una una sì // beh</t>
  </si>
  <si>
    <t>che non c''è paragone // beh insomma è una cosa diversa eh giada anche // stefano ieri sera m''ha chiesto la ricetta della</t>
  </si>
  <si>
    <t>#1706101</t>
  </si>
  <si>
    <t>https://search.corpuskiparla.it/corpus/player/player.cgi?code=KPN017&amp;begin=1487008&amp;end=1490542</t>
  </si>
  <si>
    <t>PKP061</t>
  </si>
  <si>
    <t>non-qualif</t>
  </si>
  <si>
    <t>ti pago però perché tu non eri in regola quindi // mhmh // invece abbiamo tolto quella cosa lì capito? // sì // gli ho detto</t>
  </si>
  <si>
    <t>che non mh // beh direi che // cioè // mh assolutamente pero'' // visto che comunque la cifra era una cosa // mah sì // poi</t>
  </si>
  <si>
    <t>#1706107</t>
  </si>
  <si>
    <t>https://search.corpuskiparla.it/corpus/player/player.cgi?code=KPN017&amp;begin=1488497&amp;end=1490257</t>
  </si>
  <si>
    <t>non eri in regola quindi // mhmh // invece abbiamo tolto quella cosa lì capito? // sì // gli ho detto direi che non mh // beh</t>
  </si>
  <si>
    <t>che // cioè // mh assolutamente pero'' // visto che comunque la cifra era una cosa // mah sì // poi ''spetta qual è l''altra che</t>
  </si>
  <si>
    <t>PTA005</t>
  </si>
  <si>
    <t>#1717850</t>
  </si>
  <si>
    <t>doc#238</t>
  </si>
  <si>
    <t>https://search.corpuskiparla.it/corpus/player/player.cgi?code=PTA005&amp;begin=605974&amp;end=608806</t>
  </si>
  <si>
    <t>TOI005</t>
  </si>
  <si>
    <t>https://search.corpuskiparla.it/corpus/conversations/PTA005.html</t>
  </si>
  <si>
    <t>https://search.corpuskiparla.it/corpus/conversations/PTA005_jefferson.html</t>
  </si>
  <si>
    <t>s~ ci impegniamo // non abbiamo ciò che ci meritiamo te l''ho detto proprio sinceramente // mh mh mh mh mh mh mh // quindi ti</t>
  </si>
  <si>
    <t>io dovrei // lavorare in un altro posto // ma non per il tipo di lavoro // sì sì okay // che in mano non ti rimane quello che tu</t>
  </si>
  <si>
    <t>KPS005</t>
  </si>
  <si>
    <t>#1743067</t>
  </si>
  <si>
    <t>doc#239</t>
  </si>
  <si>
    <t>https://search.corpuskiparla.it/corpus/player/player.cgi?code=KPS005&amp;begin=2043940&amp;end=2046780</t>
  </si>
  <si>
    <t>PKP001</t>
  </si>
  <si>
    <t>https://search.corpuskiparla.it/corpus/conversations/KPS005.html</t>
  </si>
  <si>
    <t>https://search.corpuskiparla.it/corpus/conversations/KPS005_jefferson.html</t>
  </si>
  <si>
    <t>MT</t>
  </si>
  <si>
    <t>// no // sì sì mamma dietro la porta c''è il tu entri nel bagno c''è il termosifone qua // poi c''è un coso per i panni sporchi che</t>
  </si>
  <si>
    <t>di tenere // pe~ non per i panni sporchi propri ma per quelli della casa // eh // poi c''è la lavatrice la doccia lavello</t>
  </si>
  <si>
    <t>PBB008</t>
  </si>
  <si>
    <t>#1745638</t>
  </si>
  <si>
    <t>doc#240</t>
  </si>
  <si>
    <t>https://search.corpuskiparla.it/corpus/player/player.cgi?code=PBB008&amp;begin=890990&amp;end=896280</t>
  </si>
  <si>
    <t>https://search.corpuskiparla.it/corpus/conversations/PBB008.html</t>
  </si>
  <si>
    <t>https://search.corpuskiparla.it/corpus/conversations/PBB008_jefferson.html</t>
  </si>
  <si>
    <t>lo so mh // ok // passiamo // sì sì // se // ok // perchè noi volevamo proprio portarla sull''argomento portici così quindi</t>
  </si>
  <si>
    <t>che // ha già risposto // abbiamo abbiamo abbiamo dato // sì // visto che avevate nominato i portici // // sì con questo</t>
  </si>
  <si>
    <t>TOA1005</t>
  </si>
  <si>
    <t>#1754483</t>
  </si>
  <si>
    <t>doc#241</t>
  </si>
  <si>
    <t>https://search.corpuskiparla.it/corpus/player/player.cgi?code=TOA1005&amp;begin=731116&amp;end=735407</t>
  </si>
  <si>
    <t>TO075</t>
  </si>
  <si>
    <t>https://search.corpuskiparla.it/corpus/conversations/TOA1005.html</t>
  </si>
  <si>
    <t>https://search.corpuskiparla.it/corpus/conversations/TOA1005_jefferson.html</t>
  </si>
  <si>
    <t>che una cosa lo prendiamo per l~ poi io le do qualche qualche libretto in più che lei si legge con tutta la sua calma // ah //</t>
  </si>
  <si>
    <t>che poi quando lei ha dei problemi mi contatta e ne ne parliamo // okay // se non può venire fa anche su skype non è un grosso</t>
  </si>
  <si>
    <t>#1754933</t>
  </si>
  <si>
    <t>https://search.corpuskiparla.it/corpus/player/player.cgi?code=TOA1005&amp;begin=953878&amp;end=955472</t>
  </si>
  <si>
    <t>mh // io vado // sì // the eternal xx // questo potrebbe esse~ // questo // va bene e via // allora // no questo uh // no questo</t>
  </si>
  <si>
    <t>di no // mi dica pure se torni ava~ vada indietro vada così // xxxx questo ci sta // questo // allora // poi indian xxx // xxx</t>
  </si>
  <si>
    <t>#1755208</t>
  </si>
  <si>
    <t>https://search.corpuskiparla.it/corpus/player/player.cgi?code=TOA1005&amp;begin=1074024&amp;end=1077471</t>
  </si>
  <si>
    <t>// questo // lanciamolo lì // allora cosmic order xx // asso~ mah vediamo vedia~ mh // vediamo // sei e uno // xxxxxx //</t>
  </si>
  <si>
    <t>di no perché è m~ è abbastanza tecnico magari // okay // gone to the xx vabbè // questo è sui cani // no questo direi di no //</t>
  </si>
  <si>
    <t>#1755234</t>
  </si>
  <si>
    <t>https://search.corpuskiparla.it/corpus/player/player.cgi?code=TOA1005&amp;begin=1081545&amp;end=1083138</t>
  </si>
  <si>
    <t>xxxxxx // direi di no perché è m~ è abbastanza tecnico magari // okay // gone to the xx vabbè // questo è sui cani // no questo</t>
  </si>
  <si>
    <t>di no // questo // su cose coloniali non lo so se // eh no // direi anche di no anche ques~ // okay // queste qua sono cose un po''</t>
  </si>
  <si>
    <t>#1755251</t>
  </si>
  <si>
    <t>https://search.corpuskiparla.it/corpus/player/player.cgi?code=TOA1005&amp;begin=1087928&amp;end=1089251</t>
  </si>
  <si>
    <t>okay // gone to the xx vabbè // questo è sui cani // no questo direi di no // questo // su cose coloniali non lo so se // eh no //</t>
  </si>
  <si>
    <t>anche di no anche ques~ // okay // queste qua sono cose un po'' più specifiche chissene frega // xxx questo potrebbe essere</t>
  </si>
  <si>
    <t>#1755418</t>
  </si>
  <si>
    <t>https://search.corpuskiparla.it/corpus/player/player.cgi?code=TOA1005&amp;begin=1143185&amp;end=1145944</t>
  </si>
  <si>
    <t>// se mi dice il titolo melo segno infatti // sì glielo do glielo glielo glielo mh // glielo dico subito due cose io</t>
  </si>
  <si>
    <t>di // che lei sulle quali io trovo che // come introduzione sia molto fatto bene // da una parte e come primo testo da</t>
  </si>
  <si>
    <t>#1755523</t>
  </si>
  <si>
    <t>https://search.corpuskiparla.it/corpus/player/player.cgi?code=TOA1005&amp;begin=1193054&amp;end=1194541</t>
  </si>
  <si>
    <t>francese lo lo capisco qu~ se lo leggo ma // un po'' meno // allora // perdon // niente niente è la mia rubrica // allora io le</t>
  </si>
  <si>
    <t>// questo libro qua cioè stefano piano // mh mh // sanatana // dharma // un incontro // con l'' induismo // forse delle</t>
  </si>
  <si>
    <t>#1756111</t>
  </si>
  <si>
    <t>https://search.corpuskiparla.it/corpus/player/player.cgi?code=TOA1005&amp;begin=1430245&amp;end=1434206</t>
  </si>
  <si>
    <t>torino // purtroppo magnanelli è una casa editrice che fa tante cose belle // però non è molto distribuita // okay // io le</t>
  </si>
  <si>
    <t>di scrivere direttamente alla casa editrice se vuole compra~ // alla casa editrice // okay // perfetto // perché // per</t>
  </si>
  <si>
    <t>#1756604</t>
  </si>
  <si>
    <t>https://search.corpuskiparla.it/corpus/player/player.cgi?code=TOA1005&amp;begin=1744780&amp;end=1746645</t>
  </si>
  <si>
    <t>// perfetto // lei ha fatto studi classici ines? // io ho fatto lingue // lingue linguistico // ho fatto il linguistico //</t>
  </si>
  <si>
    <t>che questo // può andare // non mi sembra che quello era quello che mi interessava vabè ma questo è un po'' troppo tecnico //</t>
  </si>
  <si>
    <t>#1756633</t>
  </si>
  <si>
    <t>https://search.corpuskiparla.it/corpus/player/player.cgi?code=TOA1005&amp;begin=1755256&amp;end=1757535</t>
  </si>
  <si>
    <t>// può andare // non mi sembra che quello era quello che mi interessava vabè ma questo è un po'' troppo tecnico // già già già</t>
  </si>
  <si>
    <t>che // questo può deve tanto poi non // questo può darle qualche aiuto in p~ futuro // mh mh // xxxx senza dubbio no // questo</t>
  </si>
  <si>
    <t>#1756674</t>
  </si>
  <si>
    <t>https://search.corpuskiparla.it/corpus/player/player.cgi?code=TOA1005&amp;begin=1778957&amp;end=1782829</t>
  </si>
  <si>
    <t>aiuto in p~ futuro // mh mh // xxxx senza dubbio no // questo melanges d'' indianisme // xxx no questi no // xxxx // xxxx no</t>
  </si>
  <si>
    <t>che // sì è questa // // ah eccoci qua // bene direi che // adesso vediamo facciamo questa cosina // e nel caso per l'' esame //</t>
  </si>
  <si>
    <t>#1756687</t>
  </si>
  <si>
    <t>https://search.corpuskiparla.it/corpus/player/player.cgi?code=TOA1005&amp;begin=1797587&amp;end=1799823</t>
  </si>
  <si>
    <t>no // questo melanges d'' indianisme // xxx no questi no // xxxx // xxxx no direi che // sì è questa // // ah eccoci qua // bene</t>
  </si>
  <si>
    <t>che // adesso vediamo facciamo questa cosina // e nel caso per l'' esame // facciamo questa cosa qua noi // c'' è qualcosa //</t>
  </si>
  <si>
    <t>BOA3018</t>
  </si>
  <si>
    <t>#1762304</t>
  </si>
  <si>
    <t>doc#242</t>
  </si>
  <si>
    <t>https://search.corpuskiparla.it/corpus/player/player.cgi?code=BOA3018&amp;begin=1623600&amp;end=1627440</t>
  </si>
  <si>
    <t>BO139</t>
  </si>
  <si>
    <t>https://search.corpuskiparla.it/corpus/conversations/BOA3018.html</t>
  </si>
  <si>
    <t>https://search.corpuskiparla.it/corpus/conversations/BOA3018_jefferson.html</t>
  </si>
  <si>
    <t>po~mh cioè // mancava l~ manca la gente che che osi // cercare di essere quella // fare quella cosa in più // vabbè niente</t>
  </si>
  <si>
    <t>che possiamo chiudere questa conversazione su questa nota altissima // sì dai adesso devo guardare i costumi da</t>
  </si>
  <si>
    <t>BOA3001</t>
  </si>
  <si>
    <t>#1763422</t>
  </si>
  <si>
    <t>doc#243</t>
  </si>
  <si>
    <t>https://search.corpuskiparla.it/corpus/player/player.cgi?code=BOA3001&amp;begin=382814&amp;end=383747</t>
  </si>
  <si>
    <t>BO002</t>
  </si>
  <si>
    <t>https://search.corpuskiparla.it/corpus/conversations/BOA3001.html</t>
  </si>
  <si>
    <t>https://search.corpuskiparla.it/corpus/conversations/BOA3001_jefferson.html</t>
  </si>
  <si>
    <t>li ha azzurri lui dice son verdi vabbè lasciamo stare // vabbè lì ognuno poi questo chi è? gino? // ah boh ehm fa vede'' // io</t>
  </si>
  <si>
    <t>di sì // sì sì // come ti pare? // vabbè a me non piace // no meglio io? // come // sì oh // // come si chiama quello lì pier // ah</t>
  </si>
  <si>
    <t>#1769238</t>
  </si>
  <si>
    <t>https://search.corpuskiparla.it/corpus/player/player.cgi?code=BOA3001&amp;begin=2467810&amp;end=2469776</t>
  </si>
  <si>
    <t>BO003</t>
  </si>
  <si>
    <t>// william turn~ // però anche lui è un idiota nel film // sìa parte che l~ // william turn~ will turner si chiamava //</t>
  </si>
  <si>
    <t>di sì william turner // è belloccio perché vabbè orlando bloom è figo // sì sì // sì però lì appun~ c'' è jack sparrow che ti</t>
  </si>
  <si>
    <t>#1769652</t>
  </si>
  <si>
    <t>https://search.corpuskiparla.it/corpus/player/player.cgi?code=BOA3001&amp;begin=2605514&amp;end=2609551</t>
  </si>
  <si>
    <t>nino frassica // // è vero // sì sì sì ho presente qual è // anche lì è perché lì è normale // sì lì socci // eh sì // è quello // sì</t>
  </si>
  <si>
    <t>di sì ma anche quel film blow quello sulla droga // sì // anche lì quando fa quella parte che perché a un certo punto nel film</t>
  </si>
  <si>
    <t>PTD017</t>
  </si>
  <si>
    <t>#1775536</t>
  </si>
  <si>
    <t>doc#244</t>
  </si>
  <si>
    <t>https://search.corpuskiparla.it/corpus/player/player.cgi?code=PTD017&amp;begin=572822&amp;end=574302</t>
  </si>
  <si>
    <t>TOI078</t>
  </si>
  <si>
    <t>https://search.corpuskiparla.it/corpus/conversations/PTD017.html</t>
  </si>
  <si>
    <t>https://search.corpuskiparla.it/corpus/conversations/PTD017_jefferson.html</t>
  </si>
  <si>
    <t>impr</t>
  </si>
  <si>
    <t>mh mh // in realtà // questi ultimi anni c''è gente anche più giovane di noi però la mia ragazza ha la mia stessa età // mh mh //</t>
  </si>
  <si>
    <t>più anziani forse // più sopra i questo anche fa tanto x chiaramente essendo eh così // // sono più vivono più il quartiere</t>
  </si>
  <si>
    <t>#1778274</t>
  </si>
  <si>
    <t>https://search.corpuskiparla.it/corpus/player/player.cgi?code=PTD017&amp;begin=1314039&amp;end=1314654</t>
  </si>
  <si>
    <t>con lo~ bellissimo questo // // e ti sembra che invece qui ci sia meno rispetto rispetto che a milano? // proprio be~ // eh</t>
  </si>
  <si>
    <t>di sì // sì sì // cioè qua se vedi comunque appunto le persone che noi definiamo come neri // eh o o stranieri sono comunque</t>
  </si>
  <si>
    <t>#1779650</t>
  </si>
  <si>
    <t>https://search.corpuskiparla.it/corpus/player/player.cgi?code=PTD017&amp;begin=1709809&amp;end=1711922</t>
  </si>
  <si>
    <t>// piazza rivoli // però adesso chiaramente ho una vita un po'' diversa quindi mi muovo in base a // quindi sì forse // ti</t>
  </si>
  <si>
    <t>assolutamente mh // forse sai che // corso belgio è il quartiere che essendo anche più giovane è il quartiere che poi di</t>
  </si>
  <si>
    <t>#1780230</t>
  </si>
  <si>
    <t>https://search.corpuskiparla.it/corpus/player/player.cgi?code=PTD017&amp;begin=1862998&amp;end=1866789</t>
  </si>
  <si>
    <t>// mh // non saprei // non saprei dirti // okay // no chiaro però non saprei dirti cioè se ti dicessi diversamente mh</t>
  </si>
  <si>
    <t>frottole // okay okay okay // va bene va bene // cioè // i due quar~ il quartiere che ho visto cambiare proprio l''ho visto</t>
  </si>
  <si>
    <t>#1780324</t>
  </si>
  <si>
    <t>https://search.corpuskiparla.it/corpus/player/player.cgi?code=PTD017&amp;begin=1895065&amp;end=1897810</t>
  </si>
  <si>
    <t>negli ultimi anni? // bah allora // essendo cambiato io e la mia vita il mio modo di lavorare tutto il resto // // eh // ti</t>
  </si>
  <si>
    <t>sì nel meglio diciamo no? // mh mh // al netto delle ultime discorsi politici anche a torino però qui non c''entra con</t>
  </si>
  <si>
    <t>TOD2001</t>
  </si>
  <si>
    <t>#1797048</t>
  </si>
  <si>
    <t>doc#246</t>
  </si>
  <si>
    <t>https://search.corpuskiparla.it/corpus/player/player.cgi?code=TOD2001&amp;begin=1237579&amp;end=1238686</t>
  </si>
  <si>
    <t>TO082</t>
  </si>
  <si>
    <t>https://search.corpuskiparla.it/corpus/conversations/TOD2001.html</t>
  </si>
  <si>
    <t>https://search.corpuskiparla.it/corpus/conversations/TOD2001_jefferson.html</t>
  </si>
  <si>
    <t>stare a casa vicino a casa dei miei ma anche mi permettesse di andare in centro facilmente e e questo è capitata // mhmh //</t>
  </si>
  <si>
    <t>molto bene // eh poi vabbè no mh mi ero xx un budget // tramite agenzia però l'' hai trovata? // sì // sì sì ho visto no cioè in</t>
  </si>
  <si>
    <t>TOA1002</t>
  </si>
  <si>
    <t>#1798004</t>
  </si>
  <si>
    <t>doc#247</t>
  </si>
  <si>
    <t>https://search.corpuskiparla.it/corpus/player/player.cgi?code=TOA1002&amp;begin=234095&amp;end=234778</t>
  </si>
  <si>
    <t>TO026</t>
  </si>
  <si>
    <t>https://search.corpuskiparla.it/corpus/conversations/TOA1002.html</t>
  </si>
  <si>
    <t>https://search.corpuskiparla.it/corpus/conversations/TOA1002_jefferson.html</t>
  </si>
  <si>
    <t>sa che rinuncio se non io // agli ultimi quattro mesi // sì sì sì sì // eh quindi no io compilo con quanti crediti voglio // io</t>
  </si>
  <si>
    <t>di sì // okay perfetto // poi però appunto lei diciamo formalmente risulta al~ dov'' è che va? non mi ricordo più // eh alla</t>
  </si>
  <si>
    <t>#1799274</t>
  </si>
  <si>
    <t>https://search.corpuskiparla.it/corpus/player/player.cgi?code=TOA1002&amp;begin=607428&amp;end=619977</t>
  </si>
  <si>
    <t>da nessuna parte che l'' altra università deve fornire delle competenze per cui lo studente possa fare l'' erasmus no</t>
  </si>
  <si>
    <t>di no non possono chiederlo no diciamo nè da madrid nè xx // no c'' è scritto sarà ehm onere non è onere sarà a responsabilità</t>
  </si>
  <si>
    <t>PTB001</t>
  </si>
  <si>
    <t>#1814289</t>
  </si>
  <si>
    <t>doc#248</t>
  </si>
  <si>
    <t>https://search.corpuskiparla.it/corpus/player/player.cgi?code=PTB001&amp;begin=3784759&amp;end=3789899</t>
  </si>
  <si>
    <t>TOI022</t>
  </si>
  <si>
    <t>https://search.corpuskiparla.it/corpus/conversations/PTB001.html</t>
  </si>
  <si>
    <t>https://search.corpuskiparla.it/corpus/conversations/PTB001_jefferson.html</t>
  </si>
  <si>
    <t>// ma p~ proprio perché per me stanno rovinando la città // però // poi ognuno ha le sue idee politiche // e non è questo // le</t>
  </si>
  <si>
    <t>solo vieni pure perché torino è una città splendida è una città bellissima basta che tu che vieni // cominci a varcare la</t>
  </si>
  <si>
    <t>PTA018</t>
  </si>
  <si>
    <t>#1822457</t>
  </si>
  <si>
    <t>doc#249</t>
  </si>
  <si>
    <t>https://search.corpuskiparla.it/corpus/player/player.cgi?code=PTA018&amp;begin=1700600&amp;end=1702429</t>
  </si>
  <si>
    <t>TOI031</t>
  </si>
  <si>
    <t>https://search.corpuskiparla.it/corpus/conversations/PTA018.html</t>
  </si>
  <si>
    <t>https://search.corpuskiparla.it/corpus/conversations/PTA018_jefferson.html</t>
  </si>
  <si>
    <t>sinistra in genere // ehm // ci son dei giardini // quindi de xxx dei lavori eseguiti da noi // brillantemente eseguiti</t>
  </si>
  <si>
    <t>// oppure // comunque delle // de~ spettacoli naturalistici // no? // come questi che non abbiamo eseguito ma che</t>
  </si>
  <si>
    <t>#1823801</t>
  </si>
  <si>
    <t>https://search.corpuskiparla.it/corpus/player/player.cgi?code=PTA018&amp;begin=2135960&amp;end=2137870</t>
  </si>
  <si>
    <t>altro // che qua // ho capito // e in che zona di chieri vivi? // in che senso? // cioè in centro in periferia // ah // fuo~ mh //</t>
  </si>
  <si>
    <t>più in periferia però mh // a due passi dal centro cioè nel senso // non in mezzo alle campagne però // e hai sempre vissuto</t>
  </si>
  <si>
    <t>#1827300</t>
  </si>
  <si>
    <t>https://search.corpuskiparla.it/corpus/player/player.cgi?code=PTA018&amp;begin=3434285&amp;end=3438110</t>
  </si>
  <si>
    <t>// quando racconti queste storie // // vabbè // c''è ancora qualcos''altro che vuoi raccontarmi o ci salutiamo qua? //</t>
  </si>
  <si>
    <t>che vedendo la voce che si sta abbassando sempre più // // se tu non hai altre domande // io no // e allora finiamo qui // ciao</t>
  </si>
  <si>
    <t>PTD008</t>
  </si>
  <si>
    <t>#1858985</t>
  </si>
  <si>
    <t>doc#253</t>
  </si>
  <si>
    <t>https://search.corpuskiparla.it/corpus/player/player.cgi?code=PTD008&amp;begin=1836623&amp;end=1838493</t>
  </si>
  <si>
    <t>TOI058</t>
  </si>
  <si>
    <t>https://search.corpuskiparla.it/corpus/conversations/PTD008.html</t>
  </si>
  <si>
    <t>https://search.corpuskiparla.it/corpus/conversations/PTD008_jefferson.html</t>
  </si>
  <si>
    <t>essere da un''altra parte? o magari in futuro andare da un''altra parte? // no da da buon torinese io // no // no no no //</t>
  </si>
  <si>
    <t>direi di no // direi di no // no // quando xxx xxx // cioè // torino e questa zona // comunque noi siamo proprio abbiamo le</t>
  </si>
  <si>
    <t>#1858986</t>
  </si>
  <si>
    <t>essere da un''altra parte? o magari in futuro andare da un''altra parte? // no da da buon torinese io // no // no no no // direi</t>
  </si>
  <si>
    <t>di no // direi di no // no // quando xxx xxx // cioè // torino e questa zona // comunque noi siamo proprio abbiamo le radici //</t>
  </si>
  <si>
    <t>#1858990</t>
  </si>
  <si>
    <t>https://search.corpuskiparla.it/corpus/player/player.cgi?code=PTD008&amp;begin=1838620&amp;end=1839303</t>
  </si>
  <si>
    <t>parte? o magari in futuro andare da un''altra parte? // no da da buon torinese io // no // no no no // direi direi di no //</t>
  </si>
  <si>
    <t>di no // no // quando xxx xxx // cioè // torino e questa zona // comunque noi siamo proprio abbiamo le radici // mh // ma un</t>
  </si>
  <si>
    <t>TOA3004</t>
  </si>
  <si>
    <t>#1871010</t>
  </si>
  <si>
    <t>doc#255</t>
  </si>
  <si>
    <t>https://search.corpuskiparla.it/corpus/player/player.cgi?code=TOA3004&amp;begin=703049&amp;end=708847</t>
  </si>
  <si>
    <t>TO038</t>
  </si>
  <si>
    <t>https://search.corpuskiparla.it/corpus/conversations/TOA3004.html</t>
  </si>
  <si>
    <t>https://search.corpuskiparla.it/corpus/conversations/TOA3004_jefferson.html</t>
  </si>
  <si>
    <t>tua // tanto io sarei il bosseh per cui vediamo poi come come ce la gestiamo questa cosa // ma io avrei i clienti in mano e ti</t>
  </si>
  <si>
    <t>a un mio segno scatenate l'' inferno contro il padrone // no ti prego ti preg~ sai? // no vabbè adesso a parte le battu~ no si</t>
  </si>
  <si>
    <t>BOA1016</t>
  </si>
  <si>
    <t>#1890666</t>
  </si>
  <si>
    <t>doc#257</t>
  </si>
  <si>
    <t>https://search.corpuskiparla.it/corpus/player/player.cgi?code=BOA1016&amp;begin=296370&amp;end=297940</t>
  </si>
  <si>
    <t>https://search.corpuskiparla.it/corpus/conversations/BOA1016.html</t>
  </si>
  <si>
    <t>https://search.corpuskiparla.it/corpus/conversations/BOA1016_jefferson.html</t>
  </si>
  <si>
    <t>// certo che sì // e xxxxx sul gergo cioè ho trovato davvero insomma una decina di fonti ce le ho // eh scherziamo // sì sì beh</t>
  </si>
  <si>
    <t>che sì // ehm più appunto si andava a sommare alla bibliografia che le avevo fatto vedere in cui c'' erano un sacco di cose //</t>
  </si>
  <si>
    <t>#1890696</t>
  </si>
  <si>
    <t>https://search.corpuskiparla.it/corpus/player/player.cgi?code=BOA1016&amp;begin=304442&amp;end=306170</t>
  </si>
  <si>
    <t>ehm più appunto si andava a sommare alla bibliografia che le avevo fatto vedere in cui c'' erano un sacco di cose // no no io</t>
  </si>
  <si>
    <t>assolutamente sì // quindi come come si potrebbe procedere? io inizio e con il primo capitolo? // m cosa tiene di quello</t>
  </si>
  <si>
    <t>#1891139</t>
  </si>
  <si>
    <t>https://search.corpuskiparla.it/corpus/player/player.cgi?code=BOA1016&amp;begin=455276&amp;end=459880</t>
  </si>
  <si>
    <t>un'' introduzione generale cioè fatta bene però è un'' introduzione generale per questo non è il caso di xx xx // ok~ no io</t>
  </si>
  <si>
    <t>di iniziare assolutamente a scrivere partirei magari dalla parte nuova // okay quindi mh la parte sul gergo //</t>
  </si>
  <si>
    <t>BOD2017</t>
  </si>
  <si>
    <t>#1908631</t>
  </si>
  <si>
    <t>doc#261</t>
  </si>
  <si>
    <t>https://search.corpuskiparla.it/corpus/player/player.cgi?code=BOD2017&amp;begin=1493876&amp;end=1498816</t>
  </si>
  <si>
    <t>BO119</t>
  </si>
  <si>
    <t>https://search.corpuskiparla.it/corpus/conversations/BOD2017.html</t>
  </si>
  <si>
    <t>https://search.corpuskiparla.it/corpus/conversations/BOD2017_jefferson.html</t>
  </si>
  <si>
    <t>non lo so proprio spero di esserci // spero che le cose vadano bene ma come sarà? // eh senza sabrina // secondo me // okay io</t>
  </si>
  <si>
    <t>che abbiamo fatto un giro immenso partendo dall'' inizio // andando avanti e indietro e ritornando più o meno lì // quindi</t>
  </si>
  <si>
    <t>KPN007</t>
  </si>
  <si>
    <t>#1914471</t>
  </si>
  <si>
    <t>doc#262</t>
  </si>
  <si>
    <t>https://search.corpuskiparla.it/corpus/player/player.cgi?code=KPN007&amp;begin=1813998&amp;end=1816075</t>
  </si>
  <si>
    <t>PKP017</t>
  </si>
  <si>
    <t>https://search.corpuskiparla.it/corpus/conversations/KPN007.html</t>
  </si>
  <si>
    <t>https://search.corpuskiparla.it/corpus/conversations/KPN007_jefferson.html</t>
  </si>
  <si>
    <t>guardo io se guardo su internet // ci guardo io // dopo ci guardiamo // cosa gradite? // niente // cosa possiamo avere? //</t>
  </si>
  <si>
    <t>che qui era tutto molto buono eh // niente voglio // compreso il whiskey // compresi gli avanzi allora quando venite su //</t>
  </si>
  <si>
    <t>TOA1001</t>
  </si>
  <si>
    <t>#1933337</t>
  </si>
  <si>
    <t>doc#264</t>
  </si>
  <si>
    <t>https://search.corpuskiparla.it/corpus/player/player.cgi?code=TOA1001&amp;begin=1371969&amp;end=1375086</t>
  </si>
  <si>
    <t>https://search.corpuskiparla.it/corpus/conversations/TOA1001.html</t>
  </si>
  <si>
    <t>https://search.corpuskiparla.it/corpus/conversations/TOA1001_jefferson.html</t>
  </si>
  <si>
    <t>in europa l'' america latina no? per fatti anche politici ma oggi è ancora così? // sì // mah? // // eh non lo so // // d~</t>
  </si>
  <si>
    <t>così anch~ xx segnavo qui // eh // una fonte diciamo che può essere utile consultare nel tentativo di rendere attuali</t>
  </si>
  <si>
    <t>#1934311</t>
  </si>
  <si>
    <t>https://search.corpuskiparla.it/corpus/player/player.cgi?code=TOA1001&amp;begin=1848510&amp;end=1851460</t>
  </si>
  <si>
    <t>in italiano giovanile degli anni ottanta // sì // anche qui si colga come esempio le espressioni di qualche anno fa</t>
  </si>
  <si>
    <t>// e questo lo eliminerei cioè // si riferisce veramente aleh periodo eh pre caduta del muro e non ha veramente nessun</t>
  </si>
  <si>
    <t>#1934552</t>
  </si>
  <si>
    <t>https://search.corpuskiparla.it/corpus/player/player.cgi?code=TOA1001&amp;begin=1931223&amp;end=1933399</t>
  </si>
  <si>
    <t>scritto prima no? quindi risente ancora di quei problemi lì // sì era un po'' sì // intervenga un po'' in questa direzione</t>
  </si>
  <si>
    <t>no? // e quindi devo cioè // eliminare le osservazioni che non sono più attuali questo l'' avrei già fatto // posso // sì // e</t>
  </si>
  <si>
    <t>PBB002</t>
  </si>
  <si>
    <t>#1941431</t>
  </si>
  <si>
    <t>doc#265</t>
  </si>
  <si>
    <t>https://search.corpuskiparla.it/corpus/player/player.cgi?code=PBB002&amp;begin=2114820&amp;end=2115840</t>
  </si>
  <si>
    <t>BOI003</t>
  </si>
  <si>
    <t>https://search.corpuskiparla.it/corpus/conversations/PBB002.html</t>
  </si>
  <si>
    <t>https://search.corpuskiparla.it/corpus/conversations/PBB002_jefferson.html</t>
  </si>
  <si>
    <t>// no eh // ti sei stancata magari // non lo so // del traffico del // no // beh si a volte quado sei nel mezzo del traffico // //</t>
  </si>
  <si>
    <t>xxxx // pensieri temporanei // preferirei essere da un''altra parte così // però tutto sommato mettendo insieme tutte</t>
  </si>
  <si>
    <t>PBC021</t>
  </si>
  <si>
    <t>#1946599</t>
  </si>
  <si>
    <t>doc#267</t>
  </si>
  <si>
    <t>https://search.corpuskiparla.it/corpus/player/player.cgi?code=PBC021&amp;begin=109665&amp;end=110685</t>
  </si>
  <si>
    <t>BOI051</t>
  </si>
  <si>
    <t>https://search.corpuskiparla.it/corpus/conversations/PBC021.html</t>
  </si>
  <si>
    <t>https://search.corpuskiparla.it/corpus/conversations/PBC021_jefferson.html</t>
  </si>
  <si>
    <t>più accogliente per esempio calderara rispetto alla bolognina tipo anche rispetto al giorno d''oggi dico // beh sì // sì</t>
  </si>
  <si>
    <t>di sì // sì sì sì senz''altro // ehm // una differenza principale per esempio rispetto calderara del~ // di adesso // e</t>
  </si>
  <si>
    <t>#1951379</t>
  </si>
  <si>
    <t>https://search.corpuskiparla.it/corpus/player/player.cgi?code=PBC021&amp;begin=1644070&amp;end=1646170</t>
  </si>
  <si>
    <t>BOR012</t>
  </si>
  <si>
    <t>buono ma tutti e due sia la zia che marcello erano tutti e due norma~ diciamo normali bambini normali ecco // mh eh ora non</t>
  </si>
  <si>
    <t>però // no perchè beh // no è p~ // di~ // cioè è una battuta // lo zio non era non era teppista era iperattivo // che arg~ // era</t>
  </si>
  <si>
    <t>PBA028</t>
  </si>
  <si>
    <t>#1970703</t>
  </si>
  <si>
    <t>doc#268</t>
  </si>
  <si>
    <t>https://search.corpuskiparla.it/corpus/player/player.cgi?code=PBA028&amp;begin=3936060&amp;end=3940700</t>
  </si>
  <si>
    <t>https://search.corpuskiparla.it/corpus/conversations/PBA028.html</t>
  </si>
  <si>
    <t>https://search.corpuskiparla.it/corpus/conversations/PBA028_jefferson.html</t>
  </si>
  <si>
    <t>ci credo // è come chi abita cioè nel senso senti tutto // va bene // sente tutto // oka~ // vabbè niente io vi vi ringrazio</t>
  </si>
  <si>
    <t>che possiamo fare basta eh // grazie a te // okay // visto? // fallo sulla parte intervista eh // eh? // vabbè // andiamo il</t>
  </si>
  <si>
    <t>PBB003</t>
  </si>
  <si>
    <t>#1978790</t>
  </si>
  <si>
    <t>doc#269</t>
  </si>
  <si>
    <t>https://search.corpuskiparla.it/corpus/player/player.cgi?code=PBB003&amp;begin=2971767&amp;end=2974490</t>
  </si>
  <si>
    <t>https://search.corpuskiparla.it/corpus/conversations/PBB003.html</t>
  </si>
  <si>
    <t>https://search.corpuskiparla.it/corpus/conversations/PBB003_jefferson.html</t>
  </si>
  <si>
    <t>con la lamborghini eccetera quindi // è è un po'' cambiata secondo me sia la domanda che l''offerta ecco // mhmh // beh</t>
  </si>
  <si>
    <t>che son state abbastanza // esaustive come // risposte // come domande sì come conversazione // quanto c''abbiam messo?</t>
  </si>
  <si>
    <t>#1978814</t>
  </si>
  <si>
    <t>https://search.corpuskiparla.it/corpus/player/player.cgi?code=PBB003&amp;begin=2982955&amp;end=2984055</t>
  </si>
  <si>
    <t>abbastanza // esaustive come // risposte // come domande sì come conversazione // quanto c''abbiam messo? // mh // mah</t>
  </si>
  <si>
    <t>che // mezz''ora // va bene così insomma // un''intro nome cognome qualcosa? // dove sei nata? // a bologna // non su in via</t>
  </si>
  <si>
    <t>PBC003</t>
  </si>
  <si>
    <t>#1998038</t>
  </si>
  <si>
    <t>doc#271</t>
  </si>
  <si>
    <t>https://search.corpuskiparla.it/corpus/player/player.cgi?code=PBC003&amp;begin=3521989&amp;end=3522477</t>
  </si>
  <si>
    <t>https://search.corpuskiparla.it/corpus/conversations/PBC003.html</t>
  </si>
  <si>
    <t>https://search.corpuskiparla.it/corpus/conversations/PBC003_jefferson.html</t>
  </si>
  <si>
    <t>dopo a tavola con lui era impossibile starci // mh // non potevi dire è insipido ma perchè ti immagini? // mh // eh beh //</t>
  </si>
  <si>
    <t>// ti immagini? // però di guerra non ne ha mai parlato si vede che // no // no // io quello lì penso che sia una forma che la</t>
  </si>
  <si>
    <t>PTD019</t>
  </si>
  <si>
    <t>#2025592</t>
  </si>
  <si>
    <t>doc#275</t>
  </si>
  <si>
    <t>https://search.corpuskiparla.it/corpus/player/player.cgi?code=PTD019&amp;begin=297626&amp;end=301144</t>
  </si>
  <si>
    <t>TOI011</t>
  </si>
  <si>
    <t>https://search.corpuskiparla.it/corpus/conversations/PTD019.html</t>
  </si>
  <si>
    <t>https://search.corpuskiparla.it/corpus/conversations/PTD019_jefferson.html</t>
  </si>
  <si>
    <t>// tredici scusami sì // // // xx duemilaetredici // quindi cinque più un paio d''anni prima sei se~ sette ti</t>
  </si>
  <si>
    <t>// okay // va bene // ehm lavorate in proprio o siete dipendenti? // come? // sì siamo // lavorate in proprio o siete</t>
  </si>
  <si>
    <t>#2028810</t>
  </si>
  <si>
    <t>https://search.corpuskiparla.it/corpus/player/player.cgi?code=PTD019&amp;begin=1272453&amp;end=1274380</t>
  </si>
  <si>
    <t>a cork per fare serata no da limerick cosa c''è xx cosa // eh sì beh anche perchè intorno eh sì infatti // centodiciannove ti</t>
  </si>
  <si>
    <t>come parma // ma come parma // vediamo parma // a centodiciannove cos''è asti forse? // ma asti meno xxx // no no xxx parma ne</t>
  </si>
  <si>
    <t>PBB006</t>
  </si>
  <si>
    <t>#2036247</t>
  </si>
  <si>
    <t>doc#276</t>
  </si>
  <si>
    <t>https://search.corpuskiparla.it/corpus/player/player.cgi?code=PBB006&amp;begin=68460&amp;end=71510</t>
  </si>
  <si>
    <t>BOI020</t>
  </si>
  <si>
    <t>https://search.corpuskiparla.it/corpus/conversations/PBB006.html</t>
  </si>
  <si>
    <t>https://search.corpuskiparla.it/corpus/conversations/PBB006_jefferson.html</t>
  </si>
  <si>
    <t>// e ho lavorato per molti anni a @nomeluogo appunto // ah // @nomedipartimento // ah okay // e sono arrivato</t>
  </si>
  <si>
    <t>per caso // nel senso che // sono arrivato come tutti tramite concorso pubblico // ma io ho fatto un concorso pubblico per</t>
  </si>
  <si>
    <t>PBB023</t>
  </si>
  <si>
    <t>#2060062</t>
  </si>
  <si>
    <t>doc#279</t>
  </si>
  <si>
    <t>https://search.corpuskiparla.it/corpus/player/player.cgi?code=PBB023&amp;begin=958650&amp;end=963170</t>
  </si>
  <si>
    <t>BOI087</t>
  </si>
  <si>
    <t>https://search.corpuskiparla.it/corpus/conversations/PBB023.html</t>
  </si>
  <si>
    <t>https://search.corpuskiparla.it/corpus/conversations/PBB023_jefferson.html</t>
  </si>
  <si>
    <t>viaggio di nozze noi siamo andati allora abbiamo fatto il viaggio di nozze in quattro // sì // mh // ah sì // nel senso che io</t>
  </si>
  <si>
    <t>il mio migliore amico che è di milano // mhmh // ci conosciamo da una vita nel senso ci siam conosciuti su in montagna fai</t>
  </si>
  <si>
    <t>#2061753</t>
  </si>
  <si>
    <t>https://search.corpuskiparla.it/corpus/player/player.cgi?code=PBB023&amp;begin=1454340&amp;end=1456239</t>
  </si>
  <si>
    <t>BOR026</t>
  </si>
  <si>
    <t>sardegna</t>
  </si>
  <si>
    <t>particolari o personaggi particolari so che adesso diciamo forse qualche problema di discorso di droga non lo so //</t>
  </si>
  <si>
    <t>// non c''eran quei problemi // quindi si stava anche molto più tranquilli a andare in giro // mhmh // cioè io non ho mai</t>
  </si>
  <si>
    <t>PBA025</t>
  </si>
  <si>
    <t>#2077202</t>
  </si>
  <si>
    <t>doc#283</t>
  </si>
  <si>
    <t>https://search.corpuskiparla.it/corpus/player/player.cgi?code=PBA025&amp;begin=101860&amp;end=103319</t>
  </si>
  <si>
    <t>BOI096</t>
  </si>
  <si>
    <t>https://search.corpuskiparla.it/corpus/conversations/PBA025.html</t>
  </si>
  <si>
    <t>https://search.corpuskiparla.it/corpus/conversations/PBA025_jefferson.html</t>
  </si>
  <si>
    <t>però mia madre è venuta in italia // quando aveva diciannove anni // e a bologna a bologna c''è da // trent''anni e passa</t>
  </si>
  <si>
    <t>// mh // e in che zona dell''india? // in particolare? // sud nel tera è tipo vicino al mare // ah // è // quasi sulla punta però</t>
  </si>
  <si>
    <t>#2078127</t>
  </si>
  <si>
    <t>https://search.corpuskiparla.it/corpus/player/player.cgi?code=PBA025&amp;begin=450951&amp;end=452103</t>
  </si>
  <si>
    <t>eh // l''albero di natale'' // sì // sempre come dolce // ah sì il mascarpone con e // con il pandro va un sacco // mh // questo</t>
  </si>
  <si>
    <t>// e per il e cenone di capodanno? // eh // per il cenone di capodanno sono cotechino e lenticchie direi // primo non lo so</t>
  </si>
  <si>
    <t>#2078148</t>
  </si>
  <si>
    <t>https://search.corpuskiparla.it/corpus/player/player.cgi?code=PBA025&amp;begin=455192&amp;end=459036</t>
  </si>
  <si>
    <t>// mh // questo direi // e per il e cenone di capodanno? // eh // per il cenone di capodanno sono cotechino e lenticchie</t>
  </si>
  <si>
    <t>// primo non lo so come si fa // come primo // ma il primo // niente di parti~ eh il primo sì // si sta a dieta per eh smaltire //</t>
  </si>
  <si>
    <t>#2080445</t>
  </si>
  <si>
    <t>https://search.corpuskiparla.it/corpus/player/player.cgi?code=PBA025&amp;begin=1245091&amp;end=1245867</t>
  </si>
  <si>
    <t>x x // ah vabbè poi abbiamo i tortelloni sì appunto i balanzoni che ti mh che dicevamo prima // mhmh // mh // questi</t>
  </si>
  <si>
    <t>// altri cibi tipici // ah dolce c''è la torta di riso // che è molto buona // un sacco di gente non ha idea di cosa sia // però sì</t>
  </si>
  <si>
    <t>#2081244</t>
  </si>
  <si>
    <t>https://search.corpuskiparla.it/corpus/player/player.cgi?code=PBA025&amp;begin=1531682&amp;end=1537217</t>
  </si>
  <si>
    <t>// mhmh // partecipo sempre al friday for future // mhmh // ehm non lo so // poi ho partecipato vabbé al gay pride</t>
  </si>
  <si>
    <t>che è una manifestazione // mhmh // s~ ehm // poi basta ultimamente nell''ultimo mese da quest''estate ho partecipato a</t>
  </si>
  <si>
    <t>BOC1008</t>
  </si>
  <si>
    <t>#2081926</t>
  </si>
  <si>
    <t>doc#284</t>
  </si>
  <si>
    <t>https://search.corpuskiparla.it/corpus/player/player.cgi?code=BOC1008&amp;begin=14610&amp;end=20020</t>
  </si>
  <si>
    <t>BO117</t>
  </si>
  <si>
    <t>https://search.corpuskiparla.it/corpus/conversations/BOC1008.html</t>
  </si>
  <si>
    <t>https://search.corpuskiparla.it/corpus/conversations/BOC1008_jefferson.html</t>
  </si>
  <si>
    <t>questo // posto // x x // quasi mezz~ // okay // allora // ehm dunque mi ricordo che lei ha frequentato ehm // sì esatto // le</t>
  </si>
  <si>
    <t>di eh cominciare con una definizione di eh cortesia // mh? // eh e poi ehm facciamo un esempio di fenomeno linguistico che</t>
  </si>
  <si>
    <t>KPC009</t>
  </si>
  <si>
    <t>#2098788</t>
  </si>
  <si>
    <t>doc#285</t>
  </si>
  <si>
    <t>https://search.corpuskiparla.it/corpus/player/player.cgi?code=KPC009&amp;begin=3674247&amp;end=3683900</t>
  </si>
  <si>
    <t>PKP090</t>
  </si>
  <si>
    <t>https://search.corpuskiparla.it/corpus/conversations/KPC009.html</t>
  </si>
  <si>
    <t>https://search.corpuskiparla.it/corpus/conversations/KPC009_jefferson.html</t>
  </si>
  <si>
    <t>PG</t>
  </si>
  <si>
    <t>di di'' il pensiero di di'' oddio questo non glielo dire perchè comunque uno cioè nel senso n~ cioè mi sta simpatico mh gli</t>
  </si>
  <si>
    <t>tutto // no // ah // ma // tranquilla // guarda questo l''abbiamo capito quando già uscivi con elio // non so perchè // che</t>
  </si>
  <si>
    <t>PBA003</t>
  </si>
  <si>
    <t>#2100627</t>
  </si>
  <si>
    <t>doc#286</t>
  </si>
  <si>
    <t>https://search.corpuskiparla.it/corpus/player/player.cgi?code=PBA003&amp;begin=643566&amp;end=644983</t>
  </si>
  <si>
    <t>BOI056</t>
  </si>
  <si>
    <t>https://search.corpuskiparla.it/corpus/conversations/PBA003.html</t>
  </si>
  <si>
    <t>https://search.corpuskiparla.it/corpus/conversations/PBA003_jefferson.html</t>
  </si>
  <si>
    <t>dell''anno che preferisci // cioè in cui preferisci // passare del tempo a bologna? // mh un periodo dell''anno // mh //</t>
  </si>
  <si>
    <t>forse la primavera // l''inverno non molto e neanche l''autunno perchè fa molto freddo ed è molto umido // la nebbia // e //</t>
  </si>
  <si>
    <t>BOD1003</t>
  </si>
  <si>
    <t>#2129493</t>
  </si>
  <si>
    <t>doc#289</t>
  </si>
  <si>
    <t>https://search.corpuskiparla.it/corpus/player/player.cgi?code=BOD1003&amp;begin=5046619&amp;end=5050149</t>
  </si>
  <si>
    <t>BO092</t>
  </si>
  <si>
    <t>https://search.corpuskiparla.it/corpus/conversations/BOD1003.html</t>
  </si>
  <si>
    <t>https://search.corpuskiparla.it/corpus/conversations/BOD1003_jefferson.html</t>
  </si>
  <si>
    <t>parte questo che dipende dal problema eh mh // e lo affrontiam domani il resto // spero che sia a posto se avete problemi ma</t>
  </si>
  <si>
    <t>di no // e allora ti volevo inizialmente chiedere // insomma dove abiti qual è la tua zona in città se vivi in città? //</t>
  </si>
  <si>
    <t>PBA007</t>
  </si>
  <si>
    <t>#2132171</t>
  </si>
  <si>
    <t>doc#290</t>
  </si>
  <si>
    <t>https://search.corpuskiparla.it/corpus/player/player.cgi?code=PBA007&amp;begin=913765&amp;end=917845</t>
  </si>
  <si>
    <t>https://search.corpuskiparla.it/corpus/conversations/PBA007.html</t>
  </si>
  <si>
    <t>https://search.corpuskiparla.it/corpus/conversations/PBA007_jefferson.html</t>
  </si>
  <si>
    <t>che non è proprio il mio stile di vita io sono più una persona da città // piuttosto della campagna // eh infatti // beh la~</t>
  </si>
  <si>
    <t>che siamo in un un buon posto nel senso che anche bologna // anche vista da fuori è una città molto cioè sebbene sia // densa</t>
  </si>
  <si>
    <t>KPN013</t>
  </si>
  <si>
    <t>#2144178</t>
  </si>
  <si>
    <t>doc#292</t>
  </si>
  <si>
    <t>https://search.corpuskiparla.it/corpus/player/player.cgi?code=KPN013&amp;begin=1060777&amp;end=1062781</t>
  </si>
  <si>
    <t>https://search.corpuskiparla.it/corpus/conversations/KPN013.html</t>
  </si>
  <si>
    <t>https://search.corpuskiparla.it/corpus/conversations/KPN013_jefferson.html</t>
  </si>
  <si>
    <t>abbastanza // belli però // però ha detto che a lui le piace quindi // mi sono proposta con questo lui ha detto che va bene //</t>
  </si>
  <si>
    <t>che siamo a cavallo // top // sai già qualcosa? // devo prendere accordo con lui su cosa usare com~ // xx xx semplice? //</t>
  </si>
  <si>
    <t>#2145984</t>
  </si>
  <si>
    <t>https://search.corpuskiparla.it/corpus/player/player.cgi?code=KPN013&amp;begin=1762451&amp;end=1763344</t>
  </si>
  <si>
    <t>PKP059</t>
  </si>
  <si>
    <t>là // cioè c''è tutta la sua famiglia // e poi quando nasci in sicilia secondo me l''emilia romagna ti fa un po'' schifo //</t>
  </si>
  <si>
    <t>// ehm // no si sta tanto bene soprattutto quando c''è la nebbia // è una // cioè sai nascere a a catania che c''hai il mare ad un</t>
  </si>
  <si>
    <t>BOD1006</t>
  </si>
  <si>
    <t>#2160765</t>
  </si>
  <si>
    <t>doc#293</t>
  </si>
  <si>
    <t>https://search.corpuskiparla.it/corpus/player/player.cgi?code=BOD1006&amp;begin=4684966&amp;end=4689713</t>
  </si>
  <si>
    <t>BO099</t>
  </si>
  <si>
    <t>https://search.corpuskiparla.it/corpus/conversations/BOD1006.html</t>
  </si>
  <si>
    <t>https://search.corpuskiparla.it/corpus/conversations/BOD1006_jefferson.html</t>
  </si>
  <si>
    <t>che fecero per noi mh? // quindi cè sempre questo aspetto di prospettiva che torna continuamente in tutto pirandello</t>
  </si>
  <si>
    <t>// ehm // ed è questo questo discorso torna per esempio nella novella famosissima // xxx personaggi xx centoquindici xx</t>
  </si>
  <si>
    <t>TOD2012</t>
  </si>
  <si>
    <t>#2188881</t>
  </si>
  <si>
    <t>doc#297</t>
  </si>
  <si>
    <t>https://search.corpuskiparla.it/corpus/player/player.cgi?code=TOD2012&amp;begin=2726929&amp;end=2728149</t>
  </si>
  <si>
    <t>https://search.corpuskiparla.it/corpus/conversations/TOD2012.html</t>
  </si>
  <si>
    <t>https://search.corpuskiparla.it/corpus/conversations/TOD2012_jefferson.html</t>
  </si>
  <si>
    <t>// c'' era spazio ecco forse ho preso da mia madre anch'' io che voglio le case spaziose // spaziose enormi // ehmh // io</t>
  </si>
  <si>
    <t>che va bene così // grazie // prego // // #proprio una turineisa // // u~ una delle pochissime // mhmh // mh è vero // eh // //</t>
  </si>
  <si>
    <t>PTB009</t>
  </si>
  <si>
    <t>#2189300</t>
  </si>
  <si>
    <t>doc#298</t>
  </si>
  <si>
    <t>https://search.corpuskiparla.it/corpus/player/player.cgi?code=PTB009&amp;begin=127803&amp;end=130057</t>
  </si>
  <si>
    <t>https://search.corpuskiparla.it/corpus/conversations/PTB009.html</t>
  </si>
  <si>
    <t>https://search.corpuskiparla.it/corpus/conversations/PTB009_jefferson.html</t>
  </si>
  <si>
    <t>// lo parla lo parla un po'' // un po'' mi faccio capire ecco // eh sì dai // mh // beh che già mi sembra // non male // allora basta</t>
  </si>
  <si>
    <t>con le domande abbiam fini~ // okay // perfetto grazie mille // questo lo mettiamo // è tutto qui? // no no no adesso questo</t>
  </si>
  <si>
    <t>BOA3003</t>
  </si>
  <si>
    <t>#2202752</t>
  </si>
  <si>
    <t>doc#299</t>
  </si>
  <si>
    <t>https://search.corpuskiparla.it/corpus/player/player.cgi?code=BOA3003&amp;begin=1457412&amp;end=1460410</t>
  </si>
  <si>
    <t>BO019</t>
  </si>
  <si>
    <t>https://search.corpuskiparla.it/corpus/conversations/BOA3003.html</t>
  </si>
  <si>
    <t>https://search.corpuskiparla.it/corpus/conversations/BOA3003_jefferson.html</t>
  </si>
  <si>
    <t>m'' ha rotto proprio // cespo // complesso di stemini di semi di rami di foglie o anche di fiori // caspo d'' insalata</t>
  </si>
  <si>
    <t>dilei xxxx // quindi caspo o caspio // caspo caspio si dice in tutti e due i modi // l'' è uguèl perfetto // l'' è uguèl // l'' è</t>
  </si>
  <si>
    <t>#2208138</t>
  </si>
  <si>
    <t>https://search.corpuskiparla.it/corpus/player/player.cgi?code=BOA3003&amp;begin=3627631&amp;end=3632470</t>
  </si>
  <si>
    <t>che è successo col nazismo quindi negativo ebrei positivo eh la germania // cioè lei la sì xxxxx proprio esposizione</t>
  </si>
  <si>
    <t>da trenta e lode // il pregiudizio dici? ah sì // cioè positivo negativo gli ebrei positivo le germania // // pensando di</t>
  </si>
  <si>
    <t>PTD010</t>
  </si>
  <si>
    <t>#2210097</t>
  </si>
  <si>
    <t>doc#300</t>
  </si>
  <si>
    <t>https://search.corpuskiparla.it/corpus/player/player.cgi?code=PTD010&amp;begin=322157&amp;end=326540</t>
  </si>
  <si>
    <t>TOI064</t>
  </si>
  <si>
    <t>https://search.corpuskiparla.it/corpus/conversations/PTD010.html</t>
  </si>
  <si>
    <t>https://search.corpuskiparla.it/corpus/conversations/PTD010_jefferson.html</t>
  </si>
  <si>
    <t>alla popolazione di torino // qui~ eh quindi quella quella parte lì è cambiata parecchio cioè prima era // mh mh // mh //</t>
  </si>
  <si>
    <t>più s~ anche quella molto più residenz~ molto più residenziale più vicina al centro quindi magari // diciamo un pochino</t>
  </si>
  <si>
    <t>#2222065</t>
  </si>
  <si>
    <t>https://search.corpuskiparla.it/corpus/player/player.cgi?code=PTD010&amp;begin=3464174&amp;end=3467776</t>
  </si>
  <si>
    <t>TOI065</t>
  </si>
  <si>
    <t>quella quella voglia di investire // invece secondo me // è bellissimo e la e anche la qualità della vita è // medio alta io</t>
  </si>
  <si>
    <t>sinceramente non c''è un altro posto in cui credo potrei stare // no esatto cioè vi vedreste mai a vivere in un altro posto?</t>
  </si>
  <si>
    <t>TOD1017</t>
  </si>
  <si>
    <t>#2224991</t>
  </si>
  <si>
    <t>doc#301</t>
  </si>
  <si>
    <t>https://search.corpuskiparla.it/corpus/player/player.cgi?code=TOD1017&amp;begin=1345468&amp;end=1346626</t>
  </si>
  <si>
    <t>TO077</t>
  </si>
  <si>
    <t>https://search.corpuskiparla.it/corpus/conversations/TOD1017.html</t>
  </si>
  <si>
    <t>https://search.corpuskiparla.it/corpus/conversations/TOD1017_jefferson.html</t>
  </si>
  <si>
    <t>con un sistema eh proporzionale puro // e che diedero un un risultato che fu veramente una specie di pietra tombale //</t>
  </si>
  <si>
    <t>su // tutte le fantasie e le eh // aspira~ vaghe aspirazioni di // fare della guerra quell'' elemento di // rinnovamento</t>
  </si>
  <si>
    <t>#2229224</t>
  </si>
  <si>
    <t>https://search.corpuskiparla.it/corpus/player/player.cgi?code=TOD1017&amp;begin=3764661&amp;end=3768832</t>
  </si>
  <si>
    <t>trattativa // eh con i i leader liberali e con lo stesso re // diciamo tant'' è vero che mussolini // notoriamente questo</t>
  </si>
  <si>
    <t>immagino lo sappiate tutti // la marcia su roma l'' ha seguita da milano // ehm perché aveva anche lui come usa dire il piano</t>
  </si>
  <si>
    <t>#2229272</t>
  </si>
  <si>
    <t>https://search.corpuskiparla.it/corpus/player/player.cgi?code=TOD1017&amp;begin=3782956&amp;end=3786842</t>
  </si>
  <si>
    <t>dire il piano bi // il piano bi era quello di scappare in svizzera se le cose andavano male // cioè vuoi fargliene un torto?</t>
  </si>
  <si>
    <t>proprio di no se uno deve fare // il colpo di x si prepara il il piano bi // diciamo ma a parte gli scherzi le cose sono andate</t>
  </si>
  <si>
    <t>#2233578</t>
  </si>
  <si>
    <t>https://search.corpuskiparla.it/corpus/player/player.cgi?code=TOD1017&amp;begin=6051839&amp;end=6054617</t>
  </si>
  <si>
    <t>già capito l'' ho già detto prima è che // tenendo presenti tutte le complessità e le contradditorietà di quella cosa //</t>
  </si>
  <si>
    <t>che l'' orientamento // del governo mussolini fosse inequivoco ci sono degli esempi che ho citato // provvedimenti</t>
  </si>
  <si>
    <t>PBC002</t>
  </si>
  <si>
    <t>#2250326</t>
  </si>
  <si>
    <t>doc#305</t>
  </si>
  <si>
    <t>https://search.corpuskiparla.it/corpus/player/player.cgi?code=PBC002&amp;begin=49770&amp;end=50139</t>
  </si>
  <si>
    <t>BOI008</t>
  </si>
  <si>
    <t>https://search.corpuskiparla.it/corpus/conversations/PBC002.html</t>
  </si>
  <si>
    <t>https://search.corpuskiparla.it/corpus/conversations/PBC002_jefferson.html</t>
  </si>
  <si>
    <t>cambiato // beh è cambiata molto in bene perchè si è sviluppata // ci son molte molti insediamenti di di cittadini //</t>
  </si>
  <si>
    <t>// migliorato // è una zona molto a posto // un quartiere nuovo // mhmh // nuovo // nuovo degli anni settanta // ah beh // e</t>
  </si>
  <si>
    <t>#2250622</t>
  </si>
  <si>
    <t>https://search.corpuskiparla.it/corpus/player/player.cgi?code=PBC002&amp;begin=140920&amp;end=146240</t>
  </si>
  <si>
    <t>BOI007</t>
  </si>
  <si>
    <t>studenti perchè // ci sono famiglie // per le famiglie // ah ah okay quindi sempre di qua no fuorisede // sempre di qua // eh</t>
  </si>
  <si>
    <t>che quasi in totale a parte un appartamento sono tutti proprietari // ah okay okay // ah okay // noi siamo noi poi nella</t>
  </si>
  <si>
    <t>#2253263</t>
  </si>
  <si>
    <t>https://search.corpuskiparla.it/corpus/player/player.cgi?code=PBC002&amp;begin=1087650&amp;end=1091180</t>
  </si>
  <si>
    <t>di bologna // che // in cui portereste un vostro amico il vostro posto del cuore a cui siete più legati in assoluto // io</t>
  </si>
  <si>
    <t>il centro storico sicuramente piazza maggiore // e anche lo stadio // anche lo stadio // ci sono andato // cinquant''anni</t>
  </si>
  <si>
    <t>PBB024</t>
  </si>
  <si>
    <t>#2259902</t>
  </si>
  <si>
    <t>doc#306</t>
  </si>
  <si>
    <t>https://search.corpuskiparla.it/corpus/player/player.cgi?code=PBB024&amp;begin=1556207&amp;end=1564669</t>
  </si>
  <si>
    <t>BOI091</t>
  </si>
  <si>
    <t>https://search.corpuskiparla.it/corpus/conversations/PBB024.html</t>
  </si>
  <si>
    <t>https://search.corpuskiparla.it/corpus/conversations/PBB024_jefferson.html</t>
  </si>
  <si>
    <t>persona ehm // che non ama tanto i cambiamenti quindi la paura di affrontare un cambiamento del genere così grande eh ti</t>
  </si>
  <si>
    <t>no // poi è chiaro che eh se c''è la necessità come al @nomeluogo un po'' sai non è che // cioè per carità niente di male a</t>
  </si>
  <si>
    <t>#2260405</t>
  </si>
  <si>
    <t>https://search.corpuskiparla.it/corpus/player/player.cgi?code=PBB024&amp;begin=1745595&amp;end=1753274</t>
  </si>
  <si>
    <t>che giocavano che tiravano pallonate assurde mi sono un po'' spaventata e non sono più tornata // eh // basta quindi ti</t>
  </si>
  <si>
    <t>so~ ti dico softball pallamano e calcetto a livello proprio sportivo nelle varie società // poi adesso che sono un po''</t>
  </si>
  <si>
    <t>#2261689</t>
  </si>
  <si>
    <t>https://search.corpuskiparla.it/corpus/player/player.cgi?code=PBB024&amp;begin=2175131&amp;end=2180154</t>
  </si>
  <si>
    <t>come adesso che la vedi tutte dove vuoi e quindi andavi // adesso stai comodo sul divano col tuo plaid te la guardi quindi</t>
  </si>
  <si>
    <t>adesso come adesso a casa // va bene // poi magari ogni tanto andare allo stadio è sempre bello eh perché // d''accordo //</t>
  </si>
  <si>
    <t>BOD2019</t>
  </si>
  <si>
    <t>#2272129</t>
  </si>
  <si>
    <t>doc#308</t>
  </si>
  <si>
    <t>https://search.corpuskiparla.it/corpus/player/player.cgi?code=BOD2019&amp;begin=861686&amp;end=862720</t>
  </si>
  <si>
    <t>BO122</t>
  </si>
  <si>
    <t>https://search.corpuskiparla.it/corpus/conversations/BOD2019.html</t>
  </si>
  <si>
    <t>https://search.corpuskiparla.it/corpus/conversations/BOD2019_jefferson.html</t>
  </si>
  <si>
    <t>e me so più o meno stabilizzato sulla quindicina di giorni più o meno // che xxx me fermavo a bologna // e quindi ecco //</t>
  </si>
  <si>
    <t>che è questo // eh living room comune stanza singola più al centro di modo che posso vivere un po'' // la città magari anche</t>
  </si>
  <si>
    <t>#2273412</t>
  </si>
  <si>
    <t>https://search.corpuskiparla.it/corpus/player/player.cgi?code=BOD2019&amp;begin=1238280&amp;end=1239146</t>
  </si>
  <si>
    <t>e invece // un po'' magari il rapporto con *nomepaese o con la famiglia tua è cambiato da quando sei andato a bologna? // beh</t>
  </si>
  <si>
    <t>proprio de sì // anche parecchio // è una cosa che non puoi mh // non puoi fare a meno di notare poi // ma soprattutto col</t>
  </si>
  <si>
    <t>#2275862</t>
  </si>
  <si>
    <t>https://search.corpuskiparla.it/corpus/player/player.cgi?code=BOD2019&amp;begin=1957311&amp;end=1959974</t>
  </si>
  <si>
    <t>// che son quelli quando tutto sarà finito // li passerei molto volentieri qua // sei fermo certo // esatto // sì // ma io</t>
  </si>
  <si>
    <t>che possiamo anche così almeno vado // yes // okay mi piacerebbe // non mi ricordo mica come è il suo nome // è mario rossi //</t>
  </si>
  <si>
    <t>PBC022</t>
  </si>
  <si>
    <t>#2284972</t>
  </si>
  <si>
    <t>doc#311</t>
  </si>
  <si>
    <t>https://search.corpuskiparla.it/corpus/player/player.cgi?code=PBC022&amp;begin=58207&amp;end=60262</t>
  </si>
  <si>
    <t>BOI055</t>
  </si>
  <si>
    <t>https://search.corpuskiparla.it/corpus/conversations/PBC022.html</t>
  </si>
  <si>
    <t>https://search.corpuskiparla.it/corpus/conversations/PBC022_jefferson.html</t>
  </si>
  <si>
    <t>andavi in treno giù a bologna? // andavo in treno prendevo l''autobus e tutto quanto sì // e com''era il treno al tempo // beh</t>
  </si>
  <si>
    <t>che funzionava molto bene // funzionava bene // mh sì sì erano in orario // senti un po'' però te non è che sei proprio</t>
  </si>
  <si>
    <t>#2290791</t>
  </si>
  <si>
    <t>https://search.corpuskiparla.it/corpus/player/player.cgi?code=PBC022&amp;begin=2188660&amp;end=2189660</t>
  </si>
  <si>
    <t>BOR014</t>
  </si>
  <si>
    <t>// noi c''è xx se cia~ ciacaremo in dialet // ah // mh // penso anch''io nonna // mh // bene senti // allora // posso andare? //</t>
  </si>
  <si>
    <t>che puoi andare // è ritornato tuo padre? // mio pa~? // tuo nonno? // mio nonno è di là // adesso vado a farmi fare un caffè //</t>
  </si>
  <si>
    <t>PBC020</t>
  </si>
  <si>
    <t>#2313301</t>
  </si>
  <si>
    <t>doc#316</t>
  </si>
  <si>
    <t>https://search.corpuskiparla.it/corpus/player/player.cgi?code=PBC020&amp;begin=153681&amp;end=162780</t>
  </si>
  <si>
    <t>BOI047</t>
  </si>
  <si>
    <t>https://search.corpuskiparla.it/corpus/conversations/PBC020.html</t>
  </si>
  <si>
    <t>https://search.corpuskiparla.it/corpus/conversations/PBC020_jefferson.html</t>
  </si>
  <si>
    <t>il tratto che va da piazza dell''unità fino al ponte sulla ferrovia è stato chiamato via matteotti // eh con gli anni</t>
  </si>
  <si>
    <t>s~ da quello che so con gli anni settanta ottanta // eh molte delle attività industriali artigianali eh eh sono o fallite</t>
  </si>
  <si>
    <t>#2313948</t>
  </si>
  <si>
    <t>https://search.corpuskiparla.it/corpus/player/player.cgi?code=PBC020&amp;begin=468946&amp;end=472181</t>
  </si>
  <si>
    <t>lavoravo fra l''altro // per cui ho questa mia impostazione // mh // su più sul piano politico che per il resto // no allora</t>
  </si>
  <si>
    <t>che possiamo parlare più del lato politico // ma anche anche roberto eh se è per quello che // ma non // forse dal punto di</t>
  </si>
  <si>
    <t>#2315293</t>
  </si>
  <si>
    <t>https://search.corpuskiparla.it/corpus/player/player.cgi?code=PBC020&amp;begin=1056524&amp;end=1059061</t>
  </si>
  <si>
    <t>eh ha contribuito a mantenere forte l''identità di sinistra eh della città? // rispetto ad altre realtà // a lume di naso</t>
  </si>
  <si>
    <t>che è rilevante la cosa // anzi sì direi che è rilevante proprio // non c''erano con~ da questo punto di vista non è che abbia</t>
  </si>
  <si>
    <t>#2315302</t>
  </si>
  <si>
    <t>https://search.corpuskiparla.it/corpus/player/player.cgi?code=PBC020&amp;begin=1061549&amp;end=1063688</t>
  </si>
  <si>
    <t>di sinistra eh della città? // rispetto ad altre realtà // a lume di naso direi che è rilevante la cosa // anzi sì</t>
  </si>
  <si>
    <t>che è rilevante proprio // non c''erano con~ da questo punto di vista non è che abbia influito sul tessuto politico e</t>
  </si>
  <si>
    <t>PTD011</t>
  </si>
  <si>
    <t>#2322986</t>
  </si>
  <si>
    <t>doc#319</t>
  </si>
  <si>
    <t>https://search.corpuskiparla.it/corpus/player/player.cgi?code=PTD011&amp;begin=29347&amp;end=29898</t>
  </si>
  <si>
    <t>TOI066</t>
  </si>
  <si>
    <t>https://search.corpuskiparla.it/corpus/conversations/PTD011.html</t>
  </si>
  <si>
    <t>https://search.corpuskiparla.it/corpus/conversations/PTD011_jefferson.html</t>
  </si>
  <si>
    <t>// tu invece sei nata qui // tu e tuo fratello siete nati qui // sì sì // sì // ti posso dare del tu vero? // eh certo // xxx //</t>
  </si>
  <si>
    <t>di sì // xxx // direi di sì // tu sei nata qui? // sì sì // sono nata qui // ehm // come s~ sei // hai sempre vissuto in barriera</t>
  </si>
  <si>
    <t>#2322992</t>
  </si>
  <si>
    <t>https://search.corpuskiparla.it/corpus/player/player.cgi?code=PTD011&amp;begin=30825&amp;end=31305</t>
  </si>
  <si>
    <t>nata qui // tu e tuo fratello siete nati qui // sì sì // sì // ti posso dare del tu vero? // eh certo // xxx // direi di sì // xxx //</t>
  </si>
  <si>
    <t>di sì // tu sei nata qui? // sì sì // sono nata qui // ehm // come s~ sei // hai sempre vissuto in barriera perché // sei</t>
  </si>
  <si>
    <t>I tortellini introdotti nel discorso solo adesso per la prima volta</t>
  </si>
  <si>
    <t>uso del DICIAMO</t>
  </si>
  <si>
    <t>riporta l’affermazione nell’ambito delle opinioni personali del parlante</t>
  </si>
  <si>
    <t>ERRORE DI ANNOTAZIONE. NON SENTO ALCUN DIREI</t>
  </si>
  <si>
    <t>https://search.corpuskiparla.it/corpus/player/player.cgi?code=PTD1021&amp;begin=4698536&amp;end=4703520</t>
  </si>
  <si>
    <t>COLLOCATO NELLA PERIFERIA DESTRA A FINE ENUNCIATO</t>
  </si>
  <si>
    <t>attenuativo</t>
  </si>
  <si>
    <t>ripresa anaforica</t>
  </si>
  <si>
    <t>Riempitivo, pausa piena</t>
  </si>
  <si>
    <t xml:space="preserve">Commento Generico: mi sembra che Strategie di cortesia e Modulazione del grado di confidenza del parlante spesso cooccorrino sembrando quasi sinonimiche tra loro nel caso di DIREI.                                                                   |||    Direi che e Dire di. Inoltre a volte più che RIformulazione sembra sia solo formulazione.      ||| Quando il SD è inserito in una proposizione/turno che assume una delle macrofunzioni in elenco, anche se il direi per sé sembra non essere conforme al contenuto semantico della frase, si adatta. (es caso 150, il NO? pesa più come SD per MARCATURA DI CONOSCENZA CONDIVISA e fa assumere anche a DIREI quella sfumatura.) |||           </t>
  </si>
  <si>
    <t>ne vuoi // sì // che stronza // abbastanza ci so'' rimasta un po'' male /+E152+X152</t>
  </si>
  <si>
    <t xml:space="preserve">Si potrebbe pensare che se prima di direi ci fosse un complemento di termine, allora il verbo terrebbe il condizionale, ma come si vede in questo esempio non sempre è così. </t>
  </si>
  <si>
    <t>Errore di annotazione nella frase precedente (dire al posto di direi)</t>
  </si>
  <si>
    <t>sì sì anche quello è un dolce sì sì sì // ah // quello è un dolce che è proprio tipico di ferrara // okay // mh // però cioè</t>
  </si>
  <si>
    <t>certe strutture della città quindi diciamo // signorina mi scusi ma ma // ah // ha ancora molto? da // ah e allora io</t>
  </si>
  <si>
    <t>o meno ho fatto più o meno comunque ho fatto più o meno ( molte domande // sì sì no perché sa io dovrei andar via // ah ok allora</t>
  </si>
  <si>
    <t>di aver fatto la maggior parte delle domande // delle domande che volevo farle // va bene allora posso andare? // ah beh ah</t>
  </si>
  <si>
    <t>c''é anche quell''aspetto l''altra faccia della medaglia sicuramente // che non è // eh sempre positivo // dunque mh</t>
  </si>
  <si>
    <t>a livello economico all''economia del paese sicuramente // sì sì // un incentivo cioè che non è non è da poco // quindi //</t>
  </si>
  <si>
    <t>è eviden~ cioè anche se non succede niente tra i due io sarei un po'' // un po'' bloccata // cioè non magari // restia // esatto</t>
  </si>
  <si>
    <t>come magazziniere // a giugno // eh nella stessa azienda che lavoro ora però come tecnico // sì // poi vabbè //</t>
  </si>
  <si>
    <t>vedere anche magari punti di vista differenti // ho capito bene // grazie // okay // ehm // allora // beh per iniziare io</t>
  </si>
  <si>
    <t>// mh mare tipo bora bora // sì però posti freddi tipo in svezia o in finlandia io la vorrei una casa // ma casa proprio io</t>
  </si>
  <si>
    <t>bruciato niente cioè // s~ c'' aveva le sue fisime diciamo // sì // un tantinello sì era molto particolare // okay // ma io</t>
  </si>
  <si>
    <t>provarle // allora io mo devo assolutamente scrivere // eh certo // mhmh // finire e inoltrare al prof // okay // ehm // poi</t>
  </si>
  <si>
    <t>che è sufficienteehmh direi che la sua è una buona preparazione mhmh // diciamo che semmai eh eh è il problema della sua</t>
  </si>
  <si>
    <t>che // eh mh e s~ secondo me dipende un po'' molto dalla volontà // di // ci sono un sacco di associazioni che a medicina sì</t>
  </si>
  <si>
    <t>boh vabbè okay cioè chi se ne frega // sì tu sei con quella là // dici chi lo sa se è la ragazza o se // sì o anche // cioè resta</t>
  </si>
  <si>
    <t>tipo il eh // l''evento clue della nostra // amicizia stretta è stato sicuramente il rally // sì // sì // siamo andati al</t>
  </si>
  <si>
    <t>tipo andiamo in vacanza con il nostro jet privato e fine // anche o tipo ma no casa che dev''essere per forza casa // cioè il</t>
  </si>
  <si>
    <t>che boh che ventisette minuti li abbiamo fatti vi posso liberare vi posso // xxx // eh no sì anche perchè devo andare io //</t>
  </si>
  <si>
    <t>verosimilmente il dieci per cento minori // mh paesi più diffusi // allora l''anno scorso passavano quasi tutti al primo</t>
  </si>
  <si>
    <t>non sento alcun direi</t>
  </si>
  <si>
    <t>errore di annotazione manca il direi</t>
  </si>
  <si>
    <t>Formulazione</t>
  </si>
  <si>
    <t>Pesa più il no? Che direi e direi assume la stessa funzione</t>
  </si>
  <si>
    <t>Stessa parlante stessi usi del SD</t>
  </si>
  <si>
    <t>Discorso riportato</t>
  </si>
  <si>
    <t>ERR 404</t>
  </si>
  <si>
    <t>Quel direi è un DICO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</si>
</sst>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family val="2"/>
      <scheme val="minor"/>
    </font>
    <font>
      <b/>
      <sz val="12"/>
      <color theme="1"/>
      <name val="Arial"/>
      <family val="2"/>
    </font>
    <font>
      <u/>
      <sz val="12"/>
      <color theme="10"/>
      <name val="Aptos Narrow"/>
      <family val="2"/>
      <scheme val="minor"/>
    </font>
    <font>
      <sz val="14"/>
      <color theme="1"/>
      <name val="Aptos Narrow"/>
      <family val="2"/>
      <scheme val="minor"/>
    </font>
    <font>
      <sz val="14"/>
      <color theme="1"/>
      <name val="Arial"/>
      <family val="2"/>
    </font>
  </fonts>
  <fills count="20">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B1C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5"/>
        <bgColor indexed="64"/>
      </patternFill>
    </fill>
    <fill>
      <patternFill patternType="solid">
        <fgColor theme="9"/>
        <bgColor indexed="64"/>
      </patternFill>
    </fill>
    <fill>
      <patternFill patternType="solid">
        <fgColor rgb="FF00B0F0"/>
        <bgColor indexed="64"/>
      </patternFill>
    </fill>
    <fill>
      <patternFill patternType="solid">
        <fgColor theme="2" tint="-0.499984740745262"/>
        <bgColor indexed="64"/>
      </patternFill>
    </fill>
    <fill>
      <patternFill patternType="solid">
        <fgColor rgb="FFFFFF00"/>
        <bgColor indexed="64"/>
      </patternFill>
    </fill>
    <fill>
      <patternFill patternType="solid">
        <fgColor theme="0"/>
        <bgColor indexed="64"/>
      </patternFill>
    </fill>
    <fill>
      <patternFill patternType="solid">
        <fgColor theme="0"/>
        <bgColor theme="0" tint="-0.14999847407452621"/>
      </patternFill>
    </fill>
  </fills>
  <borders count="11">
    <border>
      <left/>
      <right/>
      <top/>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diagonal/>
    </border>
    <border>
      <left style="thin">
        <color theme="1" tint="0.499984740745262"/>
      </left>
      <right style="thin">
        <color theme="1" tint="0.499984740745262"/>
      </right>
      <top/>
      <bottom/>
      <diagonal/>
    </border>
    <border>
      <left/>
      <right/>
      <top/>
      <bottom style="thin">
        <color theme="1"/>
      </bottom>
      <diagonal/>
    </border>
    <border>
      <left style="thin">
        <color theme="1" tint="0.499984740745262"/>
      </left>
      <right style="thin">
        <color theme="1" tint="0.499984740745262"/>
      </right>
      <top style="thin">
        <color theme="1" tint="0.499984740745262"/>
      </top>
      <bottom/>
      <diagonal/>
    </border>
  </borders>
  <cellStyleXfs count="2">
    <xf numFmtId="0" fontId="0" fillId="0" borderId="0"/>
    <xf numFmtId="0" fontId="2" fillId="0" borderId="0" applyNumberFormat="0" applyFill="0" applyBorder="0" applyAlignment="0" applyProtection="0"/>
  </cellStyleXfs>
  <cellXfs count="78">
    <xf numFmtId="0" fontId="0" fillId="0" borderId="0" xfId="0"/>
    <xf numFmtId="0" fontId="1" fillId="0" borderId="2" xfId="0" applyFont="1" applyBorder="1" applyAlignment="1">
      <alignment vertical="center" wrapText="1"/>
    </xf>
    <xf numFmtId="0" fontId="1" fillId="0" borderId="4" xfId="0" applyFont="1" applyBorder="1" applyAlignment="1">
      <alignment vertical="center" wrapText="1"/>
    </xf>
    <xf numFmtId="0" fontId="1" fillId="5" borderId="4"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8" borderId="4" xfId="0" applyFont="1" applyFill="1" applyBorder="1" applyAlignment="1">
      <alignment horizontal="center" vertical="center" wrapText="1"/>
    </xf>
    <xf numFmtId="0" fontId="1" fillId="9" borderId="4" xfId="0" applyFont="1" applyFill="1" applyBorder="1" applyAlignment="1">
      <alignment horizontal="center" vertical="center" wrapText="1"/>
    </xf>
    <xf numFmtId="0" fontId="1" fillId="10" borderId="4" xfId="0" applyFont="1" applyFill="1" applyBorder="1" applyAlignment="1">
      <alignment horizontal="center" vertical="center" wrapText="1"/>
    </xf>
    <xf numFmtId="0" fontId="1" fillId="11" borderId="4" xfId="0" applyFont="1" applyFill="1" applyBorder="1" applyAlignment="1">
      <alignment horizontal="center" vertical="center" wrapText="1"/>
    </xf>
    <xf numFmtId="0" fontId="1" fillId="12" borderId="4" xfId="0" applyFont="1" applyFill="1" applyBorder="1" applyAlignment="1">
      <alignment horizontal="center" vertical="center" wrapText="1"/>
    </xf>
    <xf numFmtId="0" fontId="1" fillId="13" borderId="4" xfId="0" applyFont="1" applyFill="1" applyBorder="1" applyAlignment="1">
      <alignment vertical="center" wrapText="1"/>
    </xf>
    <xf numFmtId="0" fontId="1" fillId="16" borderId="4" xfId="0" applyFont="1" applyFill="1" applyBorder="1" applyAlignment="1">
      <alignment vertical="center" wrapText="1"/>
    </xf>
    <xf numFmtId="0" fontId="1" fillId="0" borderId="6" xfId="0" applyFont="1" applyBorder="1" applyAlignment="1">
      <alignment horizontal="center" vertical="center" wrapText="1" shrinkToFit="1"/>
    </xf>
    <xf numFmtId="0" fontId="1" fillId="0" borderId="1" xfId="0" applyFont="1" applyBorder="1" applyAlignment="1">
      <alignment horizontal="center" vertical="center" wrapText="1" shrinkToFit="1"/>
    </xf>
    <xf numFmtId="0" fontId="1" fillId="7" borderId="8"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13" borderId="5" xfId="0" applyFont="1" applyFill="1" applyBorder="1" applyAlignment="1">
      <alignment horizontal="center" vertical="center" wrapText="1" shrinkToFit="1"/>
    </xf>
    <xf numFmtId="0" fontId="1" fillId="13" borderId="6" xfId="0" applyFont="1" applyFill="1" applyBorder="1" applyAlignment="1">
      <alignment horizontal="center" vertical="center" wrapText="1" shrinkToFit="1"/>
    </xf>
    <xf numFmtId="0" fontId="1" fillId="13" borderId="1" xfId="0" applyFont="1" applyFill="1" applyBorder="1" applyAlignment="1">
      <alignment horizontal="center" vertical="center" wrapText="1" shrinkToFit="1"/>
    </xf>
    <xf numFmtId="0" fontId="1" fillId="14" borderId="5" xfId="0" applyFont="1" applyFill="1" applyBorder="1" applyAlignment="1">
      <alignment horizontal="center" vertical="center" wrapText="1" shrinkToFit="1"/>
    </xf>
    <xf numFmtId="0" fontId="1" fillId="14" borderId="6" xfId="0" applyFont="1" applyFill="1" applyBorder="1" applyAlignment="1">
      <alignment horizontal="center" vertical="center" wrapText="1" shrinkToFit="1"/>
    </xf>
    <xf numFmtId="0" fontId="1" fillId="14" borderId="1" xfId="0" applyFont="1" applyFill="1" applyBorder="1" applyAlignment="1">
      <alignment horizontal="center" vertical="center" wrapText="1" shrinkToFit="1"/>
    </xf>
    <xf numFmtId="0" fontId="1" fillId="15" borderId="5" xfId="0" applyFont="1" applyFill="1" applyBorder="1" applyAlignment="1">
      <alignment horizontal="center" vertical="center" wrapText="1" shrinkToFit="1"/>
    </xf>
    <xf numFmtId="0" fontId="1" fillId="15" borderId="6" xfId="0" applyFont="1" applyFill="1" applyBorder="1" applyAlignment="1">
      <alignment horizontal="center" vertical="center" wrapText="1" shrinkToFit="1"/>
    </xf>
    <xf numFmtId="0" fontId="1" fillId="15" borderId="1" xfId="0" applyFont="1" applyFill="1" applyBorder="1" applyAlignment="1">
      <alignment horizontal="center" vertical="center" wrapText="1" shrinkToFit="1"/>
    </xf>
    <xf numFmtId="0" fontId="1" fillId="5" borderId="4" xfId="0" applyFont="1" applyFill="1" applyBorder="1" applyAlignment="1">
      <alignment horizontal="center" vertical="center" wrapText="1" shrinkToFit="1"/>
    </xf>
    <xf numFmtId="0" fontId="1" fillId="6" borderId="4" xfId="0" applyFont="1" applyFill="1" applyBorder="1" applyAlignment="1">
      <alignment horizontal="center" vertical="center" wrapText="1" shrinkToFit="1"/>
    </xf>
    <xf numFmtId="0" fontId="1" fillId="7" borderId="2" xfId="0" applyFont="1" applyFill="1" applyBorder="1" applyAlignment="1">
      <alignment horizontal="center" vertical="center" wrapText="1" shrinkToFit="1"/>
    </xf>
    <xf numFmtId="0" fontId="1" fillId="3" borderId="4" xfId="0" applyFont="1" applyFill="1" applyBorder="1" applyAlignment="1">
      <alignment horizontal="center" vertical="center" wrapText="1" shrinkToFit="1"/>
    </xf>
    <xf numFmtId="0" fontId="1" fillId="8" borderId="4" xfId="0" applyFont="1" applyFill="1" applyBorder="1" applyAlignment="1">
      <alignment horizontal="center" vertical="center" wrapText="1" shrinkToFit="1"/>
    </xf>
    <xf numFmtId="0" fontId="1" fillId="9" borderId="4" xfId="0" applyFont="1" applyFill="1" applyBorder="1" applyAlignment="1">
      <alignment horizontal="center" vertical="center" wrapText="1" shrinkToFit="1"/>
    </xf>
    <xf numFmtId="0" fontId="1" fillId="10" borderId="4" xfId="0" applyFont="1" applyFill="1" applyBorder="1" applyAlignment="1">
      <alignment horizontal="center" vertical="center" wrapText="1" shrinkToFit="1"/>
    </xf>
    <xf numFmtId="0" fontId="1" fillId="11" borderId="4" xfId="0" applyFont="1" applyFill="1" applyBorder="1" applyAlignment="1">
      <alignment horizontal="center" vertical="center" wrapText="1" shrinkToFit="1"/>
    </xf>
    <xf numFmtId="0" fontId="1" fillId="12" borderId="4" xfId="0" applyFont="1" applyFill="1" applyBorder="1" applyAlignment="1">
      <alignment horizontal="center" vertical="center" wrapText="1" shrinkToFit="1"/>
    </xf>
    <xf numFmtId="0" fontId="1" fillId="4" borderId="4" xfId="0" applyFont="1" applyFill="1" applyBorder="1" applyAlignment="1">
      <alignment horizontal="center" vertical="center" wrapText="1" shrinkToFit="1"/>
    </xf>
    <xf numFmtId="0" fontId="1" fillId="7" borderId="4"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16" borderId="4" xfId="0" applyFont="1" applyFill="1" applyBorder="1" applyAlignment="1">
      <alignment horizontal="center" vertical="center" wrapText="1" shrinkToFit="1"/>
    </xf>
    <xf numFmtId="0" fontId="1" fillId="13" borderId="4" xfId="0" applyFont="1" applyFill="1" applyBorder="1" applyAlignment="1">
      <alignment horizontal="center" vertical="center" wrapText="1" shrinkToFit="1"/>
    </xf>
    <xf numFmtId="0" fontId="1" fillId="17" borderId="4" xfId="0" applyFont="1" applyFill="1" applyBorder="1" applyAlignment="1">
      <alignment horizontal="center" vertical="center" wrapText="1" shrinkToFit="1"/>
    </xf>
    <xf numFmtId="0" fontId="1" fillId="17" borderId="4" xfId="0" applyFont="1" applyFill="1" applyBorder="1" applyAlignment="1">
      <alignment vertical="center" wrapText="1"/>
    </xf>
    <xf numFmtId="0" fontId="4" fillId="0" borderId="4" xfId="0" applyFont="1" applyBorder="1" applyAlignment="1">
      <alignment horizontal="center" vertical="center" wrapText="1"/>
    </xf>
    <xf numFmtId="0" fontId="0" fillId="18" borderId="0" xfId="0" applyFill="1" applyAlignment="1">
      <alignment horizontal="center" vertical="center" wrapText="1" shrinkToFit="1"/>
    </xf>
    <xf numFmtId="0" fontId="2" fillId="18" borderId="0" xfId="1" applyFill="1" applyAlignment="1">
      <alignment horizontal="center" vertical="center" wrapText="1" shrinkToFit="1"/>
    </xf>
    <xf numFmtId="0" fontId="3" fillId="18" borderId="0" xfId="0" applyFont="1" applyFill="1" applyAlignment="1">
      <alignment horizontal="center" vertical="center" wrapText="1" shrinkToFit="1"/>
    </xf>
    <xf numFmtId="0" fontId="0" fillId="19" borderId="0" xfId="0" applyFill="1" applyAlignment="1">
      <alignment horizontal="center" vertical="center" wrapText="1" shrinkToFit="1"/>
    </xf>
    <xf numFmtId="0" fontId="2" fillId="19" borderId="0" xfId="1" applyFill="1" applyAlignment="1">
      <alignment horizontal="center" vertical="center" wrapText="1" shrinkToFit="1"/>
    </xf>
    <xf numFmtId="0" fontId="3" fillId="19" borderId="0" xfId="0" applyFont="1" applyFill="1" applyAlignment="1">
      <alignment horizontal="center" vertical="center" wrapText="1" shrinkToFit="1"/>
    </xf>
    <xf numFmtId="0" fontId="1" fillId="18" borderId="4" xfId="0" applyFont="1" applyFill="1" applyBorder="1" applyAlignment="1">
      <alignment horizontal="center" vertical="center" wrapText="1" shrinkToFit="1"/>
    </xf>
    <xf numFmtId="0" fontId="1" fillId="18" borderId="4" xfId="0" applyFont="1" applyFill="1" applyBorder="1" applyAlignment="1">
      <alignment vertical="center" wrapText="1"/>
    </xf>
    <xf numFmtId="0" fontId="1" fillId="5" borderId="4" xfId="0" applyFont="1" applyFill="1" applyBorder="1" applyAlignment="1">
      <alignment vertical="center" wrapText="1"/>
    </xf>
    <xf numFmtId="0" fontId="1" fillId="5" borderId="5" xfId="0" applyFont="1" applyFill="1" applyBorder="1" applyAlignment="1">
      <alignment horizontal="center" vertical="center" wrapText="1" shrinkToFit="1"/>
    </xf>
    <xf numFmtId="0" fontId="4" fillId="5" borderId="4" xfId="0" applyFont="1" applyFill="1" applyBorder="1" applyAlignment="1">
      <alignment horizontal="center" vertical="center" wrapText="1"/>
    </xf>
    <xf numFmtId="0" fontId="4" fillId="7" borderId="4" xfId="0" applyFont="1" applyFill="1" applyBorder="1" applyAlignment="1">
      <alignment horizontal="center" vertical="center" wrapText="1"/>
    </xf>
    <xf numFmtId="0" fontId="1" fillId="18" borderId="0" xfId="0" applyFont="1" applyFill="1" applyAlignment="1">
      <alignment horizontal="center" vertical="center" wrapText="1" shrinkToFit="1"/>
    </xf>
    <xf numFmtId="0" fontId="1" fillId="18" borderId="7" xfId="0" applyFont="1" applyFill="1" applyBorder="1" applyAlignment="1">
      <alignment horizontal="center" vertical="center" wrapText="1" shrinkToFit="1"/>
    </xf>
    <xf numFmtId="0" fontId="4" fillId="18" borderId="8" xfId="0" applyFont="1" applyFill="1" applyBorder="1" applyAlignment="1">
      <alignment horizontal="center" vertical="center" wrapText="1" shrinkToFit="1"/>
    </xf>
    <xf numFmtId="0" fontId="1" fillId="18" borderId="6" xfId="0" applyFont="1" applyFill="1" applyBorder="1" applyAlignment="1">
      <alignment horizontal="center" vertical="center" wrapText="1" shrinkToFit="1"/>
    </xf>
    <xf numFmtId="0" fontId="1" fillId="18" borderId="1" xfId="0" applyFont="1" applyFill="1" applyBorder="1" applyAlignment="1">
      <alignment horizontal="center" vertical="center" wrapText="1" shrinkToFit="1"/>
    </xf>
    <xf numFmtId="0" fontId="4" fillId="18" borderId="2" xfId="0" applyFont="1" applyFill="1" applyBorder="1" applyAlignment="1">
      <alignment horizontal="center" vertical="center" wrapText="1" shrinkToFit="1"/>
    </xf>
    <xf numFmtId="21" fontId="0" fillId="19" borderId="0" xfId="0" applyNumberFormat="1" applyFill="1" applyAlignment="1">
      <alignment horizontal="center" vertical="center" wrapText="1" shrinkToFit="1"/>
    </xf>
    <xf numFmtId="21" fontId="0" fillId="18" borderId="0" xfId="0" applyNumberFormat="1" applyFill="1" applyAlignment="1">
      <alignment horizontal="center" vertical="center" wrapText="1" shrinkToFit="1"/>
    </xf>
    <xf numFmtId="0" fontId="0" fillId="18" borderId="9" xfId="0" applyFill="1" applyBorder="1" applyAlignment="1">
      <alignment horizontal="center" vertical="center" wrapText="1" shrinkToFit="1"/>
    </xf>
    <xf numFmtId="21" fontId="0" fillId="18" borderId="9" xfId="0" applyNumberFormat="1" applyFill="1" applyBorder="1" applyAlignment="1">
      <alignment horizontal="center" vertical="center" wrapText="1" shrinkToFit="1"/>
    </xf>
    <xf numFmtId="0" fontId="3" fillId="18" borderId="9" xfId="0" applyFont="1" applyFill="1" applyBorder="1" applyAlignment="1">
      <alignment horizontal="center" vertical="center" wrapText="1" shrinkToFit="1"/>
    </xf>
    <xf numFmtId="0" fontId="1" fillId="18" borderId="3" xfId="0" applyFont="1" applyFill="1" applyBorder="1" applyAlignment="1">
      <alignment horizontal="center" vertical="center" wrapText="1"/>
    </xf>
    <xf numFmtId="0" fontId="1" fillId="18" borderId="4" xfId="0" applyFont="1" applyFill="1" applyBorder="1" applyAlignment="1">
      <alignment horizontal="center" vertical="center" wrapText="1"/>
    </xf>
    <xf numFmtId="0" fontId="4" fillId="18" borderId="4" xfId="0" applyFont="1" applyFill="1" applyBorder="1" applyAlignment="1">
      <alignment horizontal="center" vertical="center" wrapText="1"/>
    </xf>
    <xf numFmtId="0" fontId="1" fillId="18" borderId="2" xfId="0" applyFont="1" applyFill="1" applyBorder="1" applyAlignment="1">
      <alignment vertical="center" wrapText="1" shrinkToFit="1"/>
    </xf>
    <xf numFmtId="0" fontId="1" fillId="18" borderId="8" xfId="0" applyFont="1" applyFill="1" applyBorder="1" applyAlignment="1">
      <alignment horizontal="center" vertical="center" wrapText="1" shrinkToFit="1"/>
    </xf>
    <xf numFmtId="0" fontId="1" fillId="18" borderId="10" xfId="0" applyFont="1" applyFill="1" applyBorder="1" applyAlignment="1">
      <alignment horizontal="center" vertical="center" wrapText="1" shrinkToFit="1"/>
    </xf>
    <xf numFmtId="0" fontId="1" fillId="18" borderId="8" xfId="0" applyFont="1" applyFill="1" applyBorder="1" applyAlignment="1">
      <alignment horizontal="center" vertical="center" wrapText="1" shrinkToFit="1"/>
    </xf>
    <xf numFmtId="0" fontId="1" fillId="18" borderId="2" xfId="0" applyFont="1" applyFill="1" applyBorder="1" applyAlignment="1">
      <alignment horizontal="center" vertical="center" wrapText="1" shrinkToFit="1"/>
    </xf>
    <xf numFmtId="0" fontId="1" fillId="18" borderId="2" xfId="0" applyFont="1" applyFill="1" applyBorder="1" applyAlignment="1">
      <alignment vertical="center" wrapText="1"/>
    </xf>
  </cellXfs>
  <cellStyles count="2">
    <cellStyle name="Collegamento ipertestuale" xfId="1" builtinId="8"/>
    <cellStyle name="Normale" xfId="0" builtinId="0"/>
  </cellStyles>
  <dxfs count="0"/>
  <tableStyles count="0" defaultTableStyle="TableStyleMedium2" defaultPivotStyle="PivotStyleLight16"/>
  <colors>
    <mruColors>
      <color rgb="FFFFB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search.corpuskiparla.it/corpus/player/player.cgi?code=PBC016&amp;begin=2469230&amp;end=2470960" TargetMode="External"/><Relationship Id="rId299" Type="http://schemas.openxmlformats.org/officeDocument/2006/relationships/hyperlink" Target="https://search.corpuskiparla.it/corpus/player/player.cgi?code=BOA3003&amp;begin=3627631&amp;end=3632470" TargetMode="External"/><Relationship Id="rId21" Type="http://schemas.openxmlformats.org/officeDocument/2006/relationships/hyperlink" Target="https://search.corpuskiparla.it/corpus/player/player.cgi?code=PBC014&amp;begin=2702630&amp;end=2707510" TargetMode="External"/><Relationship Id="rId63" Type="http://schemas.openxmlformats.org/officeDocument/2006/relationships/hyperlink" Target="https://search.corpuskiparla.it/corpus/player/player.cgi?code=TOD2015&amp;begin=18268&amp;end=24850" TargetMode="External"/><Relationship Id="rId159" Type="http://schemas.openxmlformats.org/officeDocument/2006/relationships/hyperlink" Target="https://search.corpuskiparla.it/corpus/player/player.cgi?code=PBA025&amp;begin=1245091&amp;end=1245867" TargetMode="External"/><Relationship Id="rId170" Type="http://schemas.openxmlformats.org/officeDocument/2006/relationships/hyperlink" Target="https://search.corpuskiparla.it/corpus/player/player.cgi?code=BOA1017&amp;begin=501889&amp;end=504635" TargetMode="External"/><Relationship Id="rId226" Type="http://schemas.openxmlformats.org/officeDocument/2006/relationships/hyperlink" Target="https://search.corpuskiparla.it/corpus/player/player.cgi?code=PTA007&amp;begin=457333&amp;end=458920" TargetMode="External"/><Relationship Id="rId268" Type="http://schemas.openxmlformats.org/officeDocument/2006/relationships/hyperlink" Target="https://search.corpuskiparla.it/corpus/player/player.cgi?code=PTD008&amp;begin=1836623&amp;end=1838493" TargetMode="External"/><Relationship Id="rId32" Type="http://schemas.openxmlformats.org/officeDocument/2006/relationships/hyperlink" Target="https://search.corpuskiparla.it/corpus/player/player.cgi?code=PBC019&amp;begin=2030387&amp;end=2031893" TargetMode="External"/><Relationship Id="rId74" Type="http://schemas.openxmlformats.org/officeDocument/2006/relationships/hyperlink" Target="https://search.corpuskiparla.it/corpus/player/player.cgi?code=TOD2014&amp;begin=614210&amp;end=615118" TargetMode="External"/><Relationship Id="rId128" Type="http://schemas.openxmlformats.org/officeDocument/2006/relationships/hyperlink" Target="https://search.corpuskiparla.it/corpus/player/player.cgi?code=PBA005&amp;begin=117144&amp;end=121939" TargetMode="External"/><Relationship Id="rId5" Type="http://schemas.openxmlformats.org/officeDocument/2006/relationships/hyperlink" Target="https://search.corpuskiparla.it/corpus/conversations/PBC010.html" TargetMode="External"/><Relationship Id="rId181" Type="http://schemas.openxmlformats.org/officeDocument/2006/relationships/hyperlink" Target="https://search.corpuskiparla.it/corpus/player/player.cgi?code=BOC1002&amp;begin=150393&amp;end=153532" TargetMode="External"/><Relationship Id="rId237" Type="http://schemas.openxmlformats.org/officeDocument/2006/relationships/hyperlink" Target="https://search.corpuskiparla.it/corpus/player/player.cgi?code=TOC1004&amp;begin=3575640&amp;end=3576421" TargetMode="External"/><Relationship Id="rId279" Type="http://schemas.openxmlformats.org/officeDocument/2006/relationships/hyperlink" Target="https://search.corpuskiparla.it/corpus/player/player.cgi?code=PBC021&amp;begin=1644070&amp;end=1646170" TargetMode="External"/><Relationship Id="rId43" Type="http://schemas.openxmlformats.org/officeDocument/2006/relationships/hyperlink" Target="https://search.corpuskiparla.it/corpus/player/player.cgi?code=BOA3013&amp;begin=696722&amp;end=699866" TargetMode="External"/><Relationship Id="rId139" Type="http://schemas.openxmlformats.org/officeDocument/2006/relationships/hyperlink" Target="https://search.corpuskiparla.it/corpus/player/player.cgi?code=BOA3004&amp;begin=2825884&amp;end=2828259" TargetMode="External"/><Relationship Id="rId290" Type="http://schemas.openxmlformats.org/officeDocument/2006/relationships/hyperlink" Target="https://search.corpuskiparla.it/corpus/player/player.cgi?code=PBA025&amp;begin=1531682&amp;end=1537217" TargetMode="External"/><Relationship Id="rId304" Type="http://schemas.openxmlformats.org/officeDocument/2006/relationships/hyperlink" Target="https://search.corpuskiparla.it/corpus/player/player.cgi?code=TOD1017&amp;begin=3782956&amp;end=3786842" TargetMode="External"/><Relationship Id="rId85" Type="http://schemas.openxmlformats.org/officeDocument/2006/relationships/hyperlink" Target="https://search.corpuskiparla.it/corpus/player/player.cgi?code=BOC1005&amp;begin=1479221&amp;end=1483370" TargetMode="External"/><Relationship Id="rId150" Type="http://schemas.openxmlformats.org/officeDocument/2006/relationships/hyperlink" Target="https://search.corpuskiparla.it/corpus/player/player.cgi?code=TOA1003&amp;begin=383947&amp;end=385506" TargetMode="External"/><Relationship Id="rId192" Type="http://schemas.openxmlformats.org/officeDocument/2006/relationships/hyperlink" Target="https://search.corpuskiparla.it/corpus/player/player.cgi?code=PBC009&amp;begin=2904120&amp;end=2912160" TargetMode="External"/><Relationship Id="rId206" Type="http://schemas.openxmlformats.org/officeDocument/2006/relationships/hyperlink" Target="https://search.corpuskiparla.it/corpus/player/player.cgi?code=PBA015&amp;begin=315149&amp;end=318304" TargetMode="External"/><Relationship Id="rId248" Type="http://schemas.openxmlformats.org/officeDocument/2006/relationships/hyperlink" Target="https://search.corpuskiparla.it/corpus/player/player.cgi?code=TOA1005&amp;begin=1081545&amp;end=1083138" TargetMode="External"/><Relationship Id="rId12" Type="http://schemas.openxmlformats.org/officeDocument/2006/relationships/hyperlink" Target="https://search.corpuskiparla.it/corpus/player/player.cgi?code=TOA3003&amp;begin=691671&amp;end=692497" TargetMode="External"/><Relationship Id="rId108" Type="http://schemas.openxmlformats.org/officeDocument/2006/relationships/hyperlink" Target="https://search.corpuskiparla.it/corpus/player/player.cgi?code=BOD1010&amp;begin=3092748&amp;end=3096741" TargetMode="External"/><Relationship Id="rId315" Type="http://schemas.openxmlformats.org/officeDocument/2006/relationships/hyperlink" Target="https://search.corpuskiparla.it/corpus/player/player.cgi?code=PBC022&amp;begin=58207&amp;end=60262" TargetMode="External"/><Relationship Id="rId54" Type="http://schemas.openxmlformats.org/officeDocument/2006/relationships/hyperlink" Target="https://search.corpuskiparla.it/corpus/player/player.cgi?code=PBB016&amp;begin=1013926&amp;end=1016123" TargetMode="External"/><Relationship Id="rId96" Type="http://schemas.openxmlformats.org/officeDocument/2006/relationships/hyperlink" Target="https://search.corpuskiparla.it/corpus/player/player.cgi?code=PBC024&amp;begin=2931740&amp;end=2935530" TargetMode="External"/><Relationship Id="rId161" Type="http://schemas.openxmlformats.org/officeDocument/2006/relationships/hyperlink" Target="https://search.corpuskiparla.it/corpus/player/player.cgi?code=TOA1003&amp;begin=808793&amp;end=812914" TargetMode="External"/><Relationship Id="rId217" Type="http://schemas.openxmlformats.org/officeDocument/2006/relationships/hyperlink" Target="https://search.corpuskiparla.it/corpus/player/player.cgi?code=TOD2006&amp;begin=797581&amp;end=799060" TargetMode="External"/><Relationship Id="rId259" Type="http://schemas.openxmlformats.org/officeDocument/2006/relationships/hyperlink" Target="https://search.corpuskiparla.it/corpus/player/player.cgi?code=PTD017&amp;begin=1314039&amp;end=1314654" TargetMode="External"/><Relationship Id="rId23" Type="http://schemas.openxmlformats.org/officeDocument/2006/relationships/hyperlink" Target="https://search.corpuskiparla.it/corpus/player/player.cgi?code=PBC018&amp;begin=1569687&amp;end=1570807" TargetMode="External"/><Relationship Id="rId119" Type="http://schemas.openxmlformats.org/officeDocument/2006/relationships/hyperlink" Target="https://search.corpuskiparla.it/corpus/player/player.cgi?code=PBC016&amp;begin=2903880&amp;end=2907062" TargetMode="External"/><Relationship Id="rId270" Type="http://schemas.openxmlformats.org/officeDocument/2006/relationships/hyperlink" Target="https://search.corpuskiparla.it/corpus/player/player.cgi?code=BOA1016&amp;begin=304442&amp;end=306170" TargetMode="External"/><Relationship Id="rId65" Type="http://schemas.openxmlformats.org/officeDocument/2006/relationships/hyperlink" Target="https://search.corpuskiparla.it/corpus/player/player.cgi?code=PTD022&amp;begin=395643&amp;end=400240" TargetMode="External"/><Relationship Id="rId130" Type="http://schemas.openxmlformats.org/officeDocument/2006/relationships/hyperlink" Target="https://search.corpuskiparla.it/corpus/player/player.cgi?code=PBA005&amp;begin=737433&amp;end=738485" TargetMode="External"/><Relationship Id="rId172" Type="http://schemas.openxmlformats.org/officeDocument/2006/relationships/hyperlink" Target="https://search.corpuskiparla.it/corpus/player/player.cgi?code=PBA008&amp;begin=1271355&amp;end=1274887" TargetMode="External"/><Relationship Id="rId228" Type="http://schemas.openxmlformats.org/officeDocument/2006/relationships/hyperlink" Target="https://search.corpuskiparla.it/corpus/player/player.cgi?code=PBC008&amp;begin=2950390&amp;end=2952552" TargetMode="External"/><Relationship Id="rId281" Type="http://schemas.openxmlformats.org/officeDocument/2006/relationships/hyperlink" Target="https://search.corpuskiparla.it/corpus/player/player.cgi?code=PBB003&amp;begin=2971767&amp;end=2974490" TargetMode="External"/><Relationship Id="rId34" Type="http://schemas.openxmlformats.org/officeDocument/2006/relationships/hyperlink" Target="https://search.corpuskiparla.it/corpus/player/player.cgi?code=PBB018&amp;begin=3170640&amp;end=3173380" TargetMode="External"/><Relationship Id="rId55" Type="http://schemas.openxmlformats.org/officeDocument/2006/relationships/hyperlink" Target="https://search.corpuskiparla.it/corpus/player/player.cgi?code=PBC001&amp;begin=515846&amp;end=516357" TargetMode="External"/><Relationship Id="rId76" Type="http://schemas.openxmlformats.org/officeDocument/2006/relationships/hyperlink" Target="https://search.corpuskiparla.it/corpus/player/player.cgi?code=PTD012&amp;begin=348136&amp;end=351920" TargetMode="External"/><Relationship Id="rId97" Type="http://schemas.openxmlformats.org/officeDocument/2006/relationships/hyperlink" Target="https://search.corpuskiparla.it/corpus/player/player.cgi?code=BOD2006&amp;begin=466961&amp;end=467811" TargetMode="External"/><Relationship Id="rId120" Type="http://schemas.openxmlformats.org/officeDocument/2006/relationships/hyperlink" Target="https://search.corpuskiparla.it/corpus/player/player.cgi?code=PBB019&amp;begin=1821170&amp;end=1822674" TargetMode="External"/><Relationship Id="rId141" Type="http://schemas.openxmlformats.org/officeDocument/2006/relationships/hyperlink" Target="https://search.corpuskiparla.it/corpus/player/player.cgi?code=BOA3004&amp;begin=3833820&amp;end=3836623" TargetMode="External"/><Relationship Id="rId7" Type="http://schemas.openxmlformats.org/officeDocument/2006/relationships/hyperlink" Target="https://search.corpuskiparla.it/corpus/player/player.cgi?code=PBB026&amp;begin=3071558&amp;end=3075970" TargetMode="External"/><Relationship Id="rId162" Type="http://schemas.openxmlformats.org/officeDocument/2006/relationships/hyperlink" Target="https://search.corpuskiparla.it/corpus/conversations/TOA1003.html" TargetMode="External"/><Relationship Id="rId183" Type="http://schemas.openxmlformats.org/officeDocument/2006/relationships/hyperlink" Target="https://search.corpuskiparla.it/corpus/player/player.cgi?code=TOD1014&amp;begin=1259055&amp;end=1260779" TargetMode="External"/><Relationship Id="rId218" Type="http://schemas.openxmlformats.org/officeDocument/2006/relationships/hyperlink" Target="https://search.corpuskiparla.it/corpus/player/player.cgi?code=PBB005&amp;begin=2806195&amp;end=2807155" TargetMode="External"/><Relationship Id="rId239" Type="http://schemas.openxmlformats.org/officeDocument/2006/relationships/hyperlink" Target="https://search.corpuskiparla.it/corpus/player/player.cgi?code=TOD1005&amp;begin=1790040&amp;end=1791220" TargetMode="External"/><Relationship Id="rId250" Type="http://schemas.openxmlformats.org/officeDocument/2006/relationships/hyperlink" Target="https://search.corpuskiparla.it/corpus/player/player.cgi?code=TOA1005&amp;begin=1744780&amp;end=1746645" TargetMode="External"/><Relationship Id="rId271" Type="http://schemas.openxmlformats.org/officeDocument/2006/relationships/hyperlink" Target="https://search.corpuskiparla.it/corpus/player/player.cgi?code=BOA1016&amp;begin=455276&amp;end=459880" TargetMode="External"/><Relationship Id="rId292" Type="http://schemas.openxmlformats.org/officeDocument/2006/relationships/hyperlink" Target="https://search.corpuskiparla.it/corpus/player/player.cgi?code=PBA007&amp;begin=913765&amp;end=917845" TargetMode="External"/><Relationship Id="rId306" Type="http://schemas.openxmlformats.org/officeDocument/2006/relationships/hyperlink" Target="https://search.corpuskiparla.it/corpus/player/player.cgi?code=PBC002&amp;begin=49770&amp;end=50139" TargetMode="External"/><Relationship Id="rId24" Type="http://schemas.openxmlformats.org/officeDocument/2006/relationships/hyperlink" Target="https://search.corpuskiparla.it/corpus/player/player.cgi?code=PTA013&amp;begin=202072&amp;end=204430" TargetMode="External"/><Relationship Id="rId45" Type="http://schemas.openxmlformats.org/officeDocument/2006/relationships/hyperlink" Target="https://search.corpuskiparla.it/corpus/player/player.cgi?code=PBA017&amp;begin=418758&amp;end=421538" TargetMode="External"/><Relationship Id="rId66" Type="http://schemas.openxmlformats.org/officeDocument/2006/relationships/hyperlink" Target="https://search.corpuskiparla.it/corpus/player/player.cgi?code=PTB025&amp;begin=3274152&amp;end=3276234" TargetMode="External"/><Relationship Id="rId87" Type="http://schemas.openxmlformats.org/officeDocument/2006/relationships/hyperlink" Target="https://search.corpuskiparla.it/corpus/player/player.cgi?code=PBC015&amp;begin=1179952&amp;end=1183910" TargetMode="External"/><Relationship Id="rId110" Type="http://schemas.openxmlformats.org/officeDocument/2006/relationships/hyperlink" Target="https://search.corpuskiparla.it/corpus/player/player.cgi?code=BOD1010&amp;begin=5613975&amp;end=5621186" TargetMode="External"/><Relationship Id="rId131" Type="http://schemas.openxmlformats.org/officeDocument/2006/relationships/hyperlink" Target="https://search.corpuskiparla.it/corpus/player/player.cgi?code=PBA005&amp;begin=1686911&amp;end=1691279" TargetMode="External"/><Relationship Id="rId152" Type="http://schemas.openxmlformats.org/officeDocument/2006/relationships/hyperlink" Target="https://search.corpuskiparla.it/corpus/player/player.cgi?code=KPC009&amp;begin=3674247&amp;end=3683900" TargetMode="External"/><Relationship Id="rId173" Type="http://schemas.openxmlformats.org/officeDocument/2006/relationships/hyperlink" Target="https://search.corpuskiparla.it/corpus/player/player.cgi?code=PBA008&amp;begin=1443200&amp;end=1444246" TargetMode="External"/><Relationship Id="rId194" Type="http://schemas.openxmlformats.org/officeDocument/2006/relationships/hyperlink" Target="https://search.corpuskiparla.it/corpus/conversations/PBC009.html" TargetMode="External"/><Relationship Id="rId208" Type="http://schemas.openxmlformats.org/officeDocument/2006/relationships/hyperlink" Target="https://search.corpuskiparla.it/corpus/player/player.cgi?code=PBA015&amp;begin=1410768&amp;end=1411649" TargetMode="External"/><Relationship Id="rId229" Type="http://schemas.openxmlformats.org/officeDocument/2006/relationships/hyperlink" Target="https://search.corpuskiparla.it/corpus/player/player.cgi?code=PBC008&amp;begin=3536937&amp;end=3539562" TargetMode="External"/><Relationship Id="rId240" Type="http://schemas.openxmlformats.org/officeDocument/2006/relationships/hyperlink" Target="https://search.corpuskiparla.it/corpus/player/player.cgi?code=KPN017&amp;begin=235436&amp;end=237577" TargetMode="External"/><Relationship Id="rId261" Type="http://schemas.openxmlformats.org/officeDocument/2006/relationships/hyperlink" Target="https://search.corpuskiparla.it/corpus/player/player.cgi?code=PTD017&amp;begin=1862998&amp;end=1866789" TargetMode="External"/><Relationship Id="rId14" Type="http://schemas.openxmlformats.org/officeDocument/2006/relationships/hyperlink" Target="https://search.corpuskiparla.it/corpus/player/player.cgi?code=PTB020&amp;begin=2772700&amp;end=2780598" TargetMode="External"/><Relationship Id="rId35" Type="http://schemas.openxmlformats.org/officeDocument/2006/relationships/hyperlink" Target="https://search.corpuskiparla.it/corpus/player/player.cgi?code=PBB014&amp;begin=1907876&amp;end=1908341" TargetMode="External"/><Relationship Id="rId56" Type="http://schemas.openxmlformats.org/officeDocument/2006/relationships/hyperlink" Target="https://search.corpuskiparla.it/corpus/player/player.cgi?code=PBC001&amp;begin=1256007&amp;end=1257554" TargetMode="External"/><Relationship Id="rId77" Type="http://schemas.openxmlformats.org/officeDocument/2006/relationships/hyperlink" Target="https://search.corpuskiparla.it/corpus/player/player.cgi?code=PTD012&amp;begin=398706&amp;end=405255" TargetMode="External"/><Relationship Id="rId100" Type="http://schemas.openxmlformats.org/officeDocument/2006/relationships/hyperlink" Target="https://search.corpuskiparla.it/corpus/player/player.cgi?code=BOD2006&amp;begin=911700&amp;end=917130" TargetMode="External"/><Relationship Id="rId282" Type="http://schemas.openxmlformats.org/officeDocument/2006/relationships/hyperlink" Target="https://search.corpuskiparla.it/corpus/player/player.cgi?code=PBB003&amp;begin=2982955&amp;end=2984055" TargetMode="External"/><Relationship Id="rId317" Type="http://schemas.openxmlformats.org/officeDocument/2006/relationships/hyperlink" Target="https://search.corpuskiparla.it/corpus/player/player.cgi?code=PBC020&amp;begin=153681&amp;end=162780" TargetMode="External"/><Relationship Id="rId8" Type="http://schemas.openxmlformats.org/officeDocument/2006/relationships/hyperlink" Target="https://search.corpuskiparla.it/corpus/conversations/PBB026.html" TargetMode="External"/><Relationship Id="rId98" Type="http://schemas.openxmlformats.org/officeDocument/2006/relationships/hyperlink" Target="https://search.corpuskiparla.it/corpus/player/player.cgi?code=BOD2006&amp;begin=552671&amp;end=556011" TargetMode="External"/><Relationship Id="rId121" Type="http://schemas.openxmlformats.org/officeDocument/2006/relationships/hyperlink" Target="https://search.corpuskiparla.it/corpus/player/player.cgi?code=PBA021&amp;begin=101556&amp;end=105020" TargetMode="External"/><Relationship Id="rId142" Type="http://schemas.openxmlformats.org/officeDocument/2006/relationships/hyperlink" Target="https://search.corpuskiparla.it/corpus/player/player.cgi?code=BOA3004&amp;begin=4528449&amp;end=4529926" TargetMode="External"/><Relationship Id="rId163" Type="http://schemas.openxmlformats.org/officeDocument/2006/relationships/hyperlink" Target="https://search.corpuskiparla.it/corpus/player/player.cgi?code=TOA1003&amp;begin=830894&amp;end=833114" TargetMode="External"/><Relationship Id="rId184" Type="http://schemas.openxmlformats.org/officeDocument/2006/relationships/hyperlink" Target="https://search.corpuskiparla.it/corpus/player/player.cgi?code=TOD1014&amp;begin=5296614&amp;end=5299682" TargetMode="External"/><Relationship Id="rId219" Type="http://schemas.openxmlformats.org/officeDocument/2006/relationships/hyperlink" Target="https://search.corpuskiparla.it/corpus/player/player.cgi?code=BOA3017&amp;begin=1237194&amp;end=1240008" TargetMode="External"/><Relationship Id="rId230" Type="http://schemas.openxmlformats.org/officeDocument/2006/relationships/hyperlink" Target="https://search.corpuskiparla.it/corpus/player/player.cgi?code=TOD1016&amp;begin=5782060&amp;end=5784649" TargetMode="External"/><Relationship Id="rId251" Type="http://schemas.openxmlformats.org/officeDocument/2006/relationships/hyperlink" Target="https://search.corpuskiparla.it/corpus/player/player.cgi?code=TOA1005&amp;begin=1755256&amp;end=1757535" TargetMode="External"/><Relationship Id="rId25" Type="http://schemas.openxmlformats.org/officeDocument/2006/relationships/hyperlink" Target="https://search.corpuskiparla.it/corpus/player/player.cgi?code=PTB018&amp;begin=43229&amp;end=45308" TargetMode="External"/><Relationship Id="rId46" Type="http://schemas.openxmlformats.org/officeDocument/2006/relationships/hyperlink" Target="https://search.corpuskiparla.it/corpus/player/player.cgi?code=BOD2011&amp;begin=106040&amp;end=108690" TargetMode="External"/><Relationship Id="rId67" Type="http://schemas.openxmlformats.org/officeDocument/2006/relationships/hyperlink" Target="https://search.corpuskiparla.it/corpus/player/player.cgi?code=PBA010&amp;begin=99490&amp;end=108315" TargetMode="External"/><Relationship Id="rId272" Type="http://schemas.openxmlformats.org/officeDocument/2006/relationships/hyperlink" Target="https://search.corpuskiparla.it/corpus/player/player.cgi?code=BOD2017&amp;begin=1493876&amp;end=1498816" TargetMode="External"/><Relationship Id="rId293" Type="http://schemas.openxmlformats.org/officeDocument/2006/relationships/hyperlink" Target="https://search.corpuskiparla.it/corpus/player/player.cgi?code=KPN013&amp;begin=1060777&amp;end=1062781" TargetMode="External"/><Relationship Id="rId307" Type="http://schemas.openxmlformats.org/officeDocument/2006/relationships/hyperlink" Target="https://search.corpuskiparla.it/corpus/player/player.cgi?code=PBC002&amp;begin=140920&amp;end=146240" TargetMode="External"/><Relationship Id="rId88" Type="http://schemas.openxmlformats.org/officeDocument/2006/relationships/hyperlink" Target="https://search.corpuskiparla.it/corpus/player/player.cgi?code=PBC015&amp;begin=1258540&amp;end=1259330" TargetMode="External"/><Relationship Id="rId111" Type="http://schemas.openxmlformats.org/officeDocument/2006/relationships/hyperlink" Target="https://search.corpuskiparla.it/corpus/player/player.cgi?code=BOD1010&amp;begin=5625390&amp;end=5626170" TargetMode="External"/><Relationship Id="rId132" Type="http://schemas.openxmlformats.org/officeDocument/2006/relationships/hyperlink" Target="https://search.corpuskiparla.it/corpus/player/player.cgi?code=PBA005&amp;begin=1729330&amp;end=1735867" TargetMode="External"/><Relationship Id="rId153" Type="http://schemas.openxmlformats.org/officeDocument/2006/relationships/hyperlink" Target="https://search.corpuskiparla.it/corpus/player/player.cgi?code=TOD1014&amp;begin=6225797&amp;end=6229329" TargetMode="External"/><Relationship Id="rId174" Type="http://schemas.openxmlformats.org/officeDocument/2006/relationships/hyperlink" Target="https://search.corpuskiparla.it/corpus/player/player.cgi?code=TOD2010&amp;begin=1609452&amp;end=1618262" TargetMode="External"/><Relationship Id="rId195" Type="http://schemas.openxmlformats.org/officeDocument/2006/relationships/hyperlink" Target="https://search.corpuskiparla.it/corpus/player/player.cgi?code=PBC007&amp;begin=27910&amp;end=31541" TargetMode="External"/><Relationship Id="rId209" Type="http://schemas.openxmlformats.org/officeDocument/2006/relationships/hyperlink" Target="https://search.corpuskiparla.it/corpus/player/player.cgi?code=PTA001&amp;begin=1773900&amp;end=1775205" TargetMode="External"/><Relationship Id="rId220" Type="http://schemas.openxmlformats.org/officeDocument/2006/relationships/hyperlink" Target="https://search.corpuskiparla.it/corpus/player/player.cgi?code=BOA3017&amp;begin=1237198&amp;end=1238765" TargetMode="External"/><Relationship Id="rId241" Type="http://schemas.openxmlformats.org/officeDocument/2006/relationships/hyperlink" Target="https://search.corpuskiparla.it/corpus/player/player.cgi?code=KPN017&amp;begin=1487008&amp;end=1490542" TargetMode="External"/><Relationship Id="rId15" Type="http://schemas.openxmlformats.org/officeDocument/2006/relationships/hyperlink" Target="https://search.corpuskiparla.it/corpus/player/player.cgi?code=PTB020&amp;begin=2953307&amp;end=2957417" TargetMode="External"/><Relationship Id="rId36" Type="http://schemas.openxmlformats.org/officeDocument/2006/relationships/hyperlink" Target="https://search.corpuskiparla.it/corpus/player/player.cgi?code=BOD2010&amp;begin=833949&amp;end=837594" TargetMode="External"/><Relationship Id="rId57" Type="http://schemas.openxmlformats.org/officeDocument/2006/relationships/hyperlink" Target="https://search.corpuskiparla.it/corpus/player/player.cgi?code=PBC001&amp;begin=3329391&amp;end=3331595" TargetMode="External"/><Relationship Id="rId262" Type="http://schemas.openxmlformats.org/officeDocument/2006/relationships/hyperlink" Target="https://search.corpuskiparla.it/corpus/player/player.cgi?code=TOD2001&amp;begin=1237579&amp;end=1238686" TargetMode="External"/><Relationship Id="rId283" Type="http://schemas.openxmlformats.org/officeDocument/2006/relationships/hyperlink" Target="https://search.corpuskiparla.it/corpus/player/player.cgi?code=PBC003&amp;begin=3521989&amp;end=3522477" TargetMode="External"/><Relationship Id="rId318" Type="http://schemas.openxmlformats.org/officeDocument/2006/relationships/hyperlink" Target="https://search.corpuskiparla.it/corpus/player/player.cgi?code=PBC020&amp;begin=468946&amp;end=472181" TargetMode="External"/><Relationship Id="rId78" Type="http://schemas.openxmlformats.org/officeDocument/2006/relationships/hyperlink" Target="https://search.corpuskiparla.it/corpus/player/player.cgi?code=PTD012&amp;begin=3228272&amp;end=3230715" TargetMode="External"/><Relationship Id="rId99" Type="http://schemas.openxmlformats.org/officeDocument/2006/relationships/hyperlink" Target="https://search.corpuskiparla.it/corpus/conversations/BOD2006.html" TargetMode="External"/><Relationship Id="rId101" Type="http://schemas.openxmlformats.org/officeDocument/2006/relationships/hyperlink" Target="https://search.corpuskiparla.it/corpus/player/player.cgi?code=BOD2006&amp;begin=1127270&amp;end=1132260" TargetMode="External"/><Relationship Id="rId122" Type="http://schemas.openxmlformats.org/officeDocument/2006/relationships/hyperlink" Target="https://search.corpuskiparla.it/corpus/player/player.cgi?code=PBA021&amp;begin=383801&amp;end=385770" TargetMode="External"/><Relationship Id="rId143" Type="http://schemas.openxmlformats.org/officeDocument/2006/relationships/hyperlink" Target="https://search.corpuskiparla.it/corpus/player/player.cgi?code=PBA001&amp;begin=924660&amp;end=928378" TargetMode="External"/><Relationship Id="rId164" Type="http://schemas.openxmlformats.org/officeDocument/2006/relationships/hyperlink" Target="https://search.corpuskiparla.it/corpus/player/player.cgi?code=TOA1003&amp;begin=1673110&amp;end=1674608" TargetMode="External"/><Relationship Id="rId185" Type="http://schemas.openxmlformats.org/officeDocument/2006/relationships/hyperlink" Target="https://search.corpuskiparla.it/corpus/player/player.cgi?code=TOD1014&amp;begin=9858649&amp;end=9864604" TargetMode="External"/><Relationship Id="rId9" Type="http://schemas.openxmlformats.org/officeDocument/2006/relationships/hyperlink" Target="https://search.corpuskiparla.it/corpus/player/player.cgi?code=PBB026&amp;begin=3671590&amp;end=3674490" TargetMode="External"/><Relationship Id="rId210" Type="http://schemas.openxmlformats.org/officeDocument/2006/relationships/hyperlink" Target="https://search.corpuskiparla.it/corpus/player/player.cgi?code=KPN001&amp;begin=12961&amp;end=15955" TargetMode="External"/><Relationship Id="rId26" Type="http://schemas.openxmlformats.org/officeDocument/2006/relationships/hyperlink" Target="https://search.corpuskiparla.it/corpus/player/player.cgi?code=KPN020&amp;begin=951570&amp;end=953310" TargetMode="External"/><Relationship Id="rId231" Type="http://schemas.openxmlformats.org/officeDocument/2006/relationships/hyperlink" Target="https://search.corpuskiparla.it/corpus/player/player.cgi?code=PBB032&amp;begin=2826710&amp;end=2829282" TargetMode="External"/><Relationship Id="rId252" Type="http://schemas.openxmlformats.org/officeDocument/2006/relationships/hyperlink" Target="https://search.corpuskiparla.it/corpus/player/player.cgi?code=TOA1005&amp;begin=1778957&amp;end=1782829" TargetMode="External"/><Relationship Id="rId273" Type="http://schemas.openxmlformats.org/officeDocument/2006/relationships/hyperlink" Target="https://search.corpuskiparla.it/corpus/player/player.cgi?code=KPN007&amp;begin=1813998&amp;end=1816075" TargetMode="External"/><Relationship Id="rId294" Type="http://schemas.openxmlformats.org/officeDocument/2006/relationships/hyperlink" Target="https://search.corpuskiparla.it/corpus/player/player.cgi?code=KPN013&amp;begin=1762451&amp;end=1763344" TargetMode="External"/><Relationship Id="rId308" Type="http://schemas.openxmlformats.org/officeDocument/2006/relationships/hyperlink" Target="https://search.corpuskiparla.it/corpus/player/player.cgi?code=PBC002&amp;begin=1087650&amp;end=1091180" TargetMode="External"/><Relationship Id="rId47" Type="http://schemas.openxmlformats.org/officeDocument/2006/relationships/hyperlink" Target="https://search.corpuskiparla.it/corpus/player/player.cgi?code=TOD2005&amp;begin=922087&amp;end=926308" TargetMode="External"/><Relationship Id="rId68" Type="http://schemas.openxmlformats.org/officeDocument/2006/relationships/hyperlink" Target="https://search.corpuskiparla.it/corpus/player/player.cgi?code=PBA010&amp;begin=455503&amp;end=460813" TargetMode="External"/><Relationship Id="rId89" Type="http://schemas.openxmlformats.org/officeDocument/2006/relationships/hyperlink" Target="https://search.corpuskiparla.it/corpus/player/player.cgi?code=PBC015&amp;begin=1924470&amp;end=1926070" TargetMode="External"/><Relationship Id="rId112" Type="http://schemas.openxmlformats.org/officeDocument/2006/relationships/hyperlink" Target="https://search.corpuskiparla.it/corpus/player/player.cgi?code=PBC016&amp;begin=1720&amp;end=9130" TargetMode="External"/><Relationship Id="rId133" Type="http://schemas.openxmlformats.org/officeDocument/2006/relationships/hyperlink" Target="https://search.corpuskiparla.it/corpus/player/player.cgi?code=PBA005&amp;begin=2025576&amp;end=2027865" TargetMode="External"/><Relationship Id="rId154" Type="http://schemas.openxmlformats.org/officeDocument/2006/relationships/hyperlink" Target="https://search.corpuskiparla.it/corpus/player/player.cgi?code=PTB001&amp;begin=3784759&amp;end=3789899" TargetMode="External"/><Relationship Id="rId175" Type="http://schemas.openxmlformats.org/officeDocument/2006/relationships/hyperlink" Target="https://search.corpuskiparla.it/corpus/conversations/TOD2010.html" TargetMode="External"/><Relationship Id="rId196" Type="http://schemas.openxmlformats.org/officeDocument/2006/relationships/hyperlink" Target="https://search.corpuskiparla.it/corpus/player/player.cgi?code=PBC007&amp;begin=144178&amp;end=146888" TargetMode="External"/><Relationship Id="rId200" Type="http://schemas.openxmlformats.org/officeDocument/2006/relationships/hyperlink" Target="https://search.corpuskiparla.it/corpus/player/player.cgi?code=PBA002&amp;begin=1115210&amp;end=1115947" TargetMode="External"/><Relationship Id="rId16" Type="http://schemas.openxmlformats.org/officeDocument/2006/relationships/hyperlink" Target="https://search.corpuskiparla.it/corpus/player/player.cgi?code=PTB020&amp;begin=3300598&amp;end=3303417" TargetMode="External"/><Relationship Id="rId221" Type="http://schemas.openxmlformats.org/officeDocument/2006/relationships/hyperlink" Target="https://search.corpuskiparla.it/corpus/player/player.cgi?code=BOA1001&amp;begin=235329&amp;end=241680" TargetMode="External"/><Relationship Id="rId242" Type="http://schemas.openxmlformats.org/officeDocument/2006/relationships/hyperlink" Target="https://search.corpuskiparla.it/corpus/player/player.cgi?code=PTA005&amp;begin=605974&amp;end=608806" TargetMode="External"/><Relationship Id="rId263" Type="http://schemas.openxmlformats.org/officeDocument/2006/relationships/hyperlink" Target="https://search.corpuskiparla.it/corpus/player/player.cgi?code=TOA1002&amp;begin=234095&amp;end=234778" TargetMode="External"/><Relationship Id="rId284" Type="http://schemas.openxmlformats.org/officeDocument/2006/relationships/hyperlink" Target="https://search.corpuskiparla.it/corpus/player/player.cgi?code=PTD019&amp;begin=297626&amp;end=301144" TargetMode="External"/><Relationship Id="rId319" Type="http://schemas.openxmlformats.org/officeDocument/2006/relationships/hyperlink" Target="https://search.corpuskiparla.it/corpus/player/player.cgi?code=PBC020&amp;begin=1056524&amp;end=1059061" TargetMode="External"/><Relationship Id="rId37" Type="http://schemas.openxmlformats.org/officeDocument/2006/relationships/hyperlink" Target="https://search.corpuskiparla.it/corpus/player/player.cgi?code=BOD2010&amp;begin=1240481&amp;end=1246676" TargetMode="External"/><Relationship Id="rId58" Type="http://schemas.openxmlformats.org/officeDocument/2006/relationships/hyperlink" Target="https://search.corpuskiparla.it/corpus/player/player.cgi?code=PBA027&amp;begin=884487&amp;end=887198" TargetMode="External"/><Relationship Id="rId79" Type="http://schemas.openxmlformats.org/officeDocument/2006/relationships/hyperlink" Target="https://search.corpuskiparla.it/corpus/player/player.cgi?code=PBB033&amp;begin=2596054&amp;end=2598699" TargetMode="External"/><Relationship Id="rId102" Type="http://schemas.openxmlformats.org/officeDocument/2006/relationships/hyperlink" Target="https://search.corpuskiparla.it/corpus/player/player.cgi?code=TOC1002&amp;begin=1126870&amp;end=1134501" TargetMode="External"/><Relationship Id="rId123" Type="http://schemas.openxmlformats.org/officeDocument/2006/relationships/hyperlink" Target="https://search.corpuskiparla.it/corpus/player/player.cgi?code=PBA021&amp;begin=392095&amp;end=395384" TargetMode="External"/><Relationship Id="rId144" Type="http://schemas.openxmlformats.org/officeDocument/2006/relationships/hyperlink" Target="https://search.corpuskiparla.it/corpus/player/player.cgi?code=PBA013&amp;begin=1989389&amp;end=1991593" TargetMode="External"/><Relationship Id="rId90" Type="http://schemas.openxmlformats.org/officeDocument/2006/relationships/hyperlink" Target="https://search.corpuskiparla.it/corpus/player/player.cgi?code=PBC015&amp;begin=1930890&amp;end=1932203" TargetMode="External"/><Relationship Id="rId165" Type="http://schemas.openxmlformats.org/officeDocument/2006/relationships/hyperlink" Target="https://search.corpuskiparla.it/corpus/player/player.cgi?code=TOA1003&amp;begin=1759603&amp;end=1760603" TargetMode="External"/><Relationship Id="rId186" Type="http://schemas.openxmlformats.org/officeDocument/2006/relationships/hyperlink" Target="https://search.corpuskiparla.it/corpus/player/player.cgi?code=PBB022&amp;begin=3530&amp;end=7980" TargetMode="External"/><Relationship Id="rId211" Type="http://schemas.openxmlformats.org/officeDocument/2006/relationships/hyperlink" Target="https://search.corpuskiparla.it/corpus/player/player.cgi?code=KPN001&amp;begin=1461772&amp;end=1463337" TargetMode="External"/><Relationship Id="rId232" Type="http://schemas.openxmlformats.org/officeDocument/2006/relationships/hyperlink" Target="https://search.corpuskiparla.it/corpus/player/player.cgi?code=TOD2008&amp;begin=1743220&amp;end=1748023" TargetMode="External"/><Relationship Id="rId253" Type="http://schemas.openxmlformats.org/officeDocument/2006/relationships/hyperlink" Target="https://search.corpuskiparla.it/corpus/player/player.cgi?code=TOA1005&amp;begin=1797587&amp;end=1799823" TargetMode="External"/><Relationship Id="rId274" Type="http://schemas.openxmlformats.org/officeDocument/2006/relationships/hyperlink" Target="https://search.corpuskiparla.it/corpus/player/player.cgi?code=TOA1001&amp;begin=1371969&amp;end=1375086" TargetMode="External"/><Relationship Id="rId295" Type="http://schemas.openxmlformats.org/officeDocument/2006/relationships/hyperlink" Target="https://search.corpuskiparla.it/corpus/player/player.cgi?code=BOD1006&amp;begin=4684966&amp;end=4689713" TargetMode="External"/><Relationship Id="rId309" Type="http://schemas.openxmlformats.org/officeDocument/2006/relationships/hyperlink" Target="https://search.corpuskiparla.it/corpus/player/player.cgi?code=PBB024&amp;begin=1556207&amp;end=1564669" TargetMode="External"/><Relationship Id="rId27" Type="http://schemas.openxmlformats.org/officeDocument/2006/relationships/hyperlink" Target="https://search.corpuskiparla.it/corpus/player/player.cgi?code=TOD1005bis&amp;begin=1090141&amp;end=1094222" TargetMode="External"/><Relationship Id="rId48" Type="http://schemas.openxmlformats.org/officeDocument/2006/relationships/hyperlink" Target="https://search.corpuskiparla.it/corpus/player/player.cgi?code=PBB001&amp;begin=4723&amp;end=6205" TargetMode="External"/><Relationship Id="rId69" Type="http://schemas.openxmlformats.org/officeDocument/2006/relationships/hyperlink" Target="https://search.corpuskiparla.it/corpus/player/player.cgi?code=PTA006&amp;begin=643011&amp;end=648647" TargetMode="External"/><Relationship Id="rId113" Type="http://schemas.openxmlformats.org/officeDocument/2006/relationships/hyperlink" Target="https://search.corpuskiparla.it/corpus/player/player.cgi?code=PBC016&amp;begin=488180&amp;end=494620" TargetMode="External"/><Relationship Id="rId134" Type="http://schemas.openxmlformats.org/officeDocument/2006/relationships/hyperlink" Target="https://search.corpuskiparla.it/corpus/player/player.cgi?code=BOD1005&amp;begin=2673392&amp;end=2678522" TargetMode="External"/><Relationship Id="rId320" Type="http://schemas.openxmlformats.org/officeDocument/2006/relationships/hyperlink" Target="https://search.corpuskiparla.it/corpus/player/player.cgi?code=PTD011&amp;begin=29347&amp;end=29898" TargetMode="External"/><Relationship Id="rId80" Type="http://schemas.openxmlformats.org/officeDocument/2006/relationships/hyperlink" Target="https://search.corpuskiparla.it/corpus/player/player.cgi?code=PBB033&amp;begin=2889694&amp;end=2893735" TargetMode="External"/><Relationship Id="rId155" Type="http://schemas.openxmlformats.org/officeDocument/2006/relationships/hyperlink" Target="https://search.corpuskiparla.it/corpus/player/player.cgi?code=BOC1008&amp;begin=14610&amp;end=20020" TargetMode="External"/><Relationship Id="rId176" Type="http://schemas.openxmlformats.org/officeDocument/2006/relationships/hyperlink" Target="https://search.corpuskiparla.it/corpus/player/player.cgi?code=PBC023&amp;begin=416870&amp;end=418948" TargetMode="External"/><Relationship Id="rId197" Type="http://schemas.openxmlformats.org/officeDocument/2006/relationships/hyperlink" Target="https://search.corpuskiparla.it/corpus/player/player.cgi?code=PBC007&amp;begin=170950&amp;end=172030" TargetMode="External"/><Relationship Id="rId201" Type="http://schemas.openxmlformats.org/officeDocument/2006/relationships/hyperlink" Target="https://search.corpuskiparla.it/corpus/player/player.cgi?code=PBA002&amp;begin=1219110&amp;end=1220378" TargetMode="External"/><Relationship Id="rId222" Type="http://schemas.openxmlformats.org/officeDocument/2006/relationships/hyperlink" Target="https://search.corpuskiparla.it/corpus/player/player.cgi?code=BOA1001&amp;begin=295713&amp;end=297446" TargetMode="External"/><Relationship Id="rId243" Type="http://schemas.openxmlformats.org/officeDocument/2006/relationships/hyperlink" Target="https://search.corpuskiparla.it/corpus/player/player.cgi?code=KPS005&amp;begin=2043940&amp;end=2046780" TargetMode="External"/><Relationship Id="rId264" Type="http://schemas.openxmlformats.org/officeDocument/2006/relationships/hyperlink" Target="https://search.corpuskiparla.it/corpus/player/player.cgi?code=TOA1002&amp;begin=607428&amp;end=619977" TargetMode="External"/><Relationship Id="rId285" Type="http://schemas.openxmlformats.org/officeDocument/2006/relationships/hyperlink" Target="https://search.corpuskiparla.it/corpus/player/player.cgi?code=PBB006&amp;begin=68460&amp;end=71510" TargetMode="External"/><Relationship Id="rId17" Type="http://schemas.openxmlformats.org/officeDocument/2006/relationships/hyperlink" Target="https://search.corpuskiparla.it/corpus/player/player.cgi?code=PTD021&amp;begin=51796&amp;end=56121" TargetMode="External"/><Relationship Id="rId38" Type="http://schemas.openxmlformats.org/officeDocument/2006/relationships/hyperlink" Target="https://search.corpuskiparla.it/corpus/player/player.cgi?code=PBB031&amp;begin=1395030&amp;end=1398040" TargetMode="External"/><Relationship Id="rId59" Type="http://schemas.openxmlformats.org/officeDocument/2006/relationships/hyperlink" Target="https://search.corpuskiparla.it/corpus/player/player.cgi?code=PBB030&amp;begin=3643288&amp;end=3644759" TargetMode="External"/><Relationship Id="rId103" Type="http://schemas.openxmlformats.org/officeDocument/2006/relationships/hyperlink" Target="https://search.corpuskiparla.it/corpus/player/player.cgi?code=BOD2016&amp;begin=76368&amp;end=81020" TargetMode="External"/><Relationship Id="rId124" Type="http://schemas.openxmlformats.org/officeDocument/2006/relationships/hyperlink" Target="https://search.corpuskiparla.it/corpus/player/player.cgi?code=PBA021&amp;begin=1591244&amp;end=1593962" TargetMode="External"/><Relationship Id="rId310" Type="http://schemas.openxmlformats.org/officeDocument/2006/relationships/hyperlink" Target="https://search.corpuskiparla.it/corpus/player/player.cgi?code=PBB024&amp;begin=1745595&amp;end=1753274" TargetMode="External"/><Relationship Id="rId70" Type="http://schemas.openxmlformats.org/officeDocument/2006/relationships/hyperlink" Target="https://search.corpuskiparla.it/corpus/player/player.cgi?code=PTA006&amp;begin=1724912&amp;end=1731878" TargetMode="External"/><Relationship Id="rId91" Type="http://schemas.openxmlformats.org/officeDocument/2006/relationships/hyperlink" Target="https://search.corpuskiparla.it/corpus/player/player.cgi?code=BOD1001&amp;begin=5489782&amp;end=5494078" TargetMode="External"/><Relationship Id="rId145" Type="http://schemas.openxmlformats.org/officeDocument/2006/relationships/hyperlink" Target="https://search.corpuskiparla.it/corpus/player/player.cgi?code=PTD007&amp;begin=1879143&amp;end=1879979" TargetMode="External"/><Relationship Id="rId166" Type="http://schemas.openxmlformats.org/officeDocument/2006/relationships/hyperlink" Target="https://search.corpuskiparla.it/corpus/player/player.cgi?code=TOA1003&amp;begin=1878743&amp;end=1879798" TargetMode="External"/><Relationship Id="rId187" Type="http://schemas.openxmlformats.org/officeDocument/2006/relationships/hyperlink" Target="https://search.corpuskiparla.it/corpus/player/player.cgi?code=PBB025&amp;begin=253780&amp;end=256550" TargetMode="External"/><Relationship Id="rId1" Type="http://schemas.openxmlformats.org/officeDocument/2006/relationships/hyperlink" Target="https://search.corpuskiparla.it/corpus/conversations/KPN005.html" TargetMode="External"/><Relationship Id="rId212" Type="http://schemas.openxmlformats.org/officeDocument/2006/relationships/hyperlink" Target="https://search.corpuskiparla.it/corpus/player/player.cgi?code=PTD004&amp;begin=290011&amp;end=292225" TargetMode="External"/><Relationship Id="rId233" Type="http://schemas.openxmlformats.org/officeDocument/2006/relationships/hyperlink" Target="https://search.corpuskiparla.it/corpus/player/player.cgi?code=KPN015&amp;begin=1647827&amp;end=1649133" TargetMode="External"/><Relationship Id="rId254" Type="http://schemas.openxmlformats.org/officeDocument/2006/relationships/hyperlink" Target="https://search.corpuskiparla.it/corpus/player/player.cgi?code=BOA3018&amp;begin=1623600&amp;end=1627440" TargetMode="External"/><Relationship Id="rId28" Type="http://schemas.openxmlformats.org/officeDocument/2006/relationships/hyperlink" Target="https://search.corpuskiparla.it/corpus/player/player.cgi?code=KPN016&amp;begin=21193&amp;end=26632" TargetMode="External"/><Relationship Id="rId49" Type="http://schemas.openxmlformats.org/officeDocument/2006/relationships/hyperlink" Target="https://search.corpuskiparla.it/corpus/player/player.cgi?code=PBB001&amp;begin=3145901&amp;end=3147185" TargetMode="External"/><Relationship Id="rId114" Type="http://schemas.openxmlformats.org/officeDocument/2006/relationships/hyperlink" Target="https://search.corpuskiparla.it/corpus/player/player.cgi?code=PBC016&amp;begin=624683&amp;end=628683" TargetMode="External"/><Relationship Id="rId275" Type="http://schemas.openxmlformats.org/officeDocument/2006/relationships/hyperlink" Target="https://search.corpuskiparla.it/corpus/player/player.cgi?code=TOA1001&amp;begin=1848510&amp;end=1851460" TargetMode="External"/><Relationship Id="rId296" Type="http://schemas.openxmlformats.org/officeDocument/2006/relationships/hyperlink" Target="https://search.corpuskiparla.it/corpus/player/player.cgi?code=TOD2012&amp;begin=2726929&amp;end=2728149" TargetMode="External"/><Relationship Id="rId300" Type="http://schemas.openxmlformats.org/officeDocument/2006/relationships/hyperlink" Target="https://search.corpuskiparla.it/corpus/player/player.cgi?code=PTD010&amp;begin=322157&amp;end=326540" TargetMode="External"/><Relationship Id="rId60" Type="http://schemas.openxmlformats.org/officeDocument/2006/relationships/hyperlink" Target="https://search.corpuskiparla.it/corpus/player/player.cgi?code=BOA1013&amp;begin=191210&amp;end=203350" TargetMode="External"/><Relationship Id="rId81" Type="http://schemas.openxmlformats.org/officeDocument/2006/relationships/hyperlink" Target="https://search.corpuskiparla.it/corpus/player/player.cgi?code=PBB013&amp;begin=1007671&amp;end=1008847" TargetMode="External"/><Relationship Id="rId135" Type="http://schemas.openxmlformats.org/officeDocument/2006/relationships/hyperlink" Target="https://search.corpuskiparla.it/corpus/player/player.cgi?code=TOA3008&amp;begin=4148998&amp;end=4154095" TargetMode="External"/><Relationship Id="rId156" Type="http://schemas.openxmlformats.org/officeDocument/2006/relationships/hyperlink" Target="https://search.corpuskiparla.it/corpus/player/player.cgi?code=PBA002&amp;begin=292750&amp;end=295010" TargetMode="External"/><Relationship Id="rId177" Type="http://schemas.openxmlformats.org/officeDocument/2006/relationships/hyperlink" Target="https://search.corpuskiparla.it/corpus/player/player.cgi?code=PBC023&amp;begin=430163&amp;end=431471" TargetMode="External"/><Relationship Id="rId198" Type="http://schemas.openxmlformats.org/officeDocument/2006/relationships/hyperlink" Target="https://search.corpuskiparla.it/corpus/player/player.cgi?code=PBA002&amp;begin=594130&amp;end=595773" TargetMode="External"/><Relationship Id="rId321" Type="http://schemas.openxmlformats.org/officeDocument/2006/relationships/printerSettings" Target="../printerSettings/printerSettings1.bin"/><Relationship Id="rId202" Type="http://schemas.openxmlformats.org/officeDocument/2006/relationships/hyperlink" Target="https://search.corpuskiparla.it/corpus/player/player.cgi?code=PBA002&amp;begin=1412170&amp;end=1413794" TargetMode="External"/><Relationship Id="rId223" Type="http://schemas.openxmlformats.org/officeDocument/2006/relationships/hyperlink" Target="https://search.corpuskiparla.it/corpus/player/player.cgi?code=BOA1001&amp;begin=502575&amp;end=505788" TargetMode="External"/><Relationship Id="rId244" Type="http://schemas.openxmlformats.org/officeDocument/2006/relationships/hyperlink" Target="https://search.corpuskiparla.it/corpus/player/player.cgi?code=PBB008&amp;begin=890990&amp;end=896280" TargetMode="External"/><Relationship Id="rId18" Type="http://schemas.openxmlformats.org/officeDocument/2006/relationships/hyperlink" Target="https://search.corpuskiparla.it/corpus/player/player.cgi?code=PTD021&amp;begin=119930&amp;end=121305" TargetMode="External"/><Relationship Id="rId39" Type="http://schemas.openxmlformats.org/officeDocument/2006/relationships/hyperlink" Target="https://search.corpuskiparla.it/corpus/player/player.cgi?code=PBB031&amp;begin=1689560&amp;end=1690930" TargetMode="External"/><Relationship Id="rId265" Type="http://schemas.openxmlformats.org/officeDocument/2006/relationships/hyperlink" Target="https://search.corpuskiparla.it/corpus/player/player.cgi?code=PTA018&amp;begin=1700600&amp;end=1702429" TargetMode="External"/><Relationship Id="rId286" Type="http://schemas.openxmlformats.org/officeDocument/2006/relationships/hyperlink" Target="https://search.corpuskiparla.it/corpus/player/player.cgi?code=PBB023&amp;begin=1454340&amp;end=1456239" TargetMode="External"/><Relationship Id="rId50" Type="http://schemas.openxmlformats.org/officeDocument/2006/relationships/hyperlink" Target="https://search.corpuskiparla.it/corpus/player/player.cgi?code=PBB001&amp;begin=3154501&amp;end=3156202" TargetMode="External"/><Relationship Id="rId104" Type="http://schemas.openxmlformats.org/officeDocument/2006/relationships/hyperlink" Target="https://search.corpuskiparla.it/corpus/player/player.cgi?code=BOD2016&amp;begin=121061&amp;end=122817" TargetMode="External"/><Relationship Id="rId125" Type="http://schemas.openxmlformats.org/officeDocument/2006/relationships/hyperlink" Target="https://search.corpuskiparla.it/corpus/player/player.cgi?code=PBA021&amp;begin=2564281&amp;end=2567060" TargetMode="External"/><Relationship Id="rId146" Type="http://schemas.openxmlformats.org/officeDocument/2006/relationships/hyperlink" Target="https://search.corpuskiparla.it/corpus/player/player.cgi?code=PTD007&amp;begin=2006153&amp;end=2008120" TargetMode="External"/><Relationship Id="rId167" Type="http://schemas.openxmlformats.org/officeDocument/2006/relationships/hyperlink" Target="https://search.corpuskiparla.it/corpus/player/player.cgi?code=TOA1003&amp;begin=1944304&amp;end=1946205" TargetMode="External"/><Relationship Id="rId188" Type="http://schemas.openxmlformats.org/officeDocument/2006/relationships/hyperlink" Target="https://search.corpuskiparla.it/corpus/player/player.cgi?code=PBB025&amp;begin=1230233&amp;end=1231233" TargetMode="External"/><Relationship Id="rId311" Type="http://schemas.openxmlformats.org/officeDocument/2006/relationships/hyperlink" Target="https://search.corpuskiparla.it/corpus/player/player.cgi?code=PBB024&amp;begin=2175131&amp;end=2180154" TargetMode="External"/><Relationship Id="rId71" Type="http://schemas.openxmlformats.org/officeDocument/2006/relationships/hyperlink" Target="https://search.corpuskiparla.it/corpus/player/player.cgi?code=BOD1011&amp;begin=2329840&amp;end=2333981" TargetMode="External"/><Relationship Id="rId92" Type="http://schemas.openxmlformats.org/officeDocument/2006/relationships/hyperlink" Target="https://search.corpuskiparla.it/corpus/player/player.cgi?code=BOD1001&amp;begin=5709091&amp;end=5711582" TargetMode="External"/><Relationship Id="rId213" Type="http://schemas.openxmlformats.org/officeDocument/2006/relationships/hyperlink" Target="https://search.corpuskiparla.it/corpus/player/player.cgi?code=PTD009&amp;begin=16774&amp;end=19473" TargetMode="External"/><Relationship Id="rId234" Type="http://schemas.openxmlformats.org/officeDocument/2006/relationships/hyperlink" Target="https://search.corpuskiparla.it/corpus/player/player.cgi?code=PBA026&amp;begin=2898747&amp;end=2901995" TargetMode="External"/><Relationship Id="rId2" Type="http://schemas.openxmlformats.org/officeDocument/2006/relationships/hyperlink" Target="https://search.corpuskiparla.it/corpus/conversations/KPN005_jefferson.html" TargetMode="External"/><Relationship Id="rId29" Type="http://schemas.openxmlformats.org/officeDocument/2006/relationships/hyperlink" Target="https://search.corpuskiparla.it/corpus/player/player.cgi?code=KPN016&amp;begin=29198&amp;end=30300" TargetMode="External"/><Relationship Id="rId255" Type="http://schemas.openxmlformats.org/officeDocument/2006/relationships/hyperlink" Target="https://search.corpuskiparla.it/corpus/player/player.cgi?code=BOA3001&amp;begin=382814&amp;end=383747" TargetMode="External"/><Relationship Id="rId276" Type="http://schemas.openxmlformats.org/officeDocument/2006/relationships/hyperlink" Target="https://search.corpuskiparla.it/corpus/player/player.cgi?code=TOA1001&amp;begin=1931223&amp;end=1933399" TargetMode="External"/><Relationship Id="rId297" Type="http://schemas.openxmlformats.org/officeDocument/2006/relationships/hyperlink" Target="https://search.corpuskiparla.it/corpus/player/player.cgi?code=PTB009&amp;begin=127803&amp;end=130057" TargetMode="External"/><Relationship Id="rId40" Type="http://schemas.openxmlformats.org/officeDocument/2006/relationships/hyperlink" Target="https://search.corpuskiparla.it/corpus/player/player.cgi?code=PBB031&amp;begin=2198160&amp;end=2199380" TargetMode="External"/><Relationship Id="rId115" Type="http://schemas.openxmlformats.org/officeDocument/2006/relationships/hyperlink" Target="https://search.corpuskiparla.it/corpus/player/player.cgi?code=PBC016&amp;begin=1968160&amp;end=1971690" TargetMode="External"/><Relationship Id="rId136" Type="http://schemas.openxmlformats.org/officeDocument/2006/relationships/hyperlink" Target="https://search.corpuskiparla.it/corpus/player/player.cgi?code=PBA004&amp;begin=1504660&amp;end=1508340" TargetMode="External"/><Relationship Id="rId157" Type="http://schemas.openxmlformats.org/officeDocument/2006/relationships/hyperlink" Target="https://search.corpuskiparla.it/corpus/player/player.cgi?code=PTD017&amp;begin=1895065&amp;end=1897810" TargetMode="External"/><Relationship Id="rId178" Type="http://schemas.openxmlformats.org/officeDocument/2006/relationships/hyperlink" Target="https://search.corpuskiparla.it/corpus/player/player.cgi?code=PBC004&amp;begin=1332900&amp;end=1338494" TargetMode="External"/><Relationship Id="rId301" Type="http://schemas.openxmlformats.org/officeDocument/2006/relationships/hyperlink" Target="https://search.corpuskiparla.it/corpus/player/player.cgi?code=PTD010&amp;begin=3464174&amp;end=3467776" TargetMode="External"/><Relationship Id="rId61" Type="http://schemas.openxmlformats.org/officeDocument/2006/relationships/hyperlink" Target="https://search.corpuskiparla.it/corpus/player/player.cgi?code=BOA1013&amp;begin=216683&amp;end=218630" TargetMode="External"/><Relationship Id="rId82" Type="http://schemas.openxmlformats.org/officeDocument/2006/relationships/hyperlink" Target="https://search.corpuskiparla.it/corpus/player/player.cgi?code=KPS004&amp;begin=293021&amp;end=294050" TargetMode="External"/><Relationship Id="rId199" Type="http://schemas.openxmlformats.org/officeDocument/2006/relationships/hyperlink" Target="https://search.corpuskiparla.it/corpus/player/player.cgi?code=PBA002&amp;begin=1110690&amp;end=1113544" TargetMode="External"/><Relationship Id="rId203" Type="http://schemas.openxmlformats.org/officeDocument/2006/relationships/hyperlink" Target="https://search.corpuskiparla.it/corpus/player/player.cgi?code=PBA029&amp;begin=3018630&amp;end=3022990" TargetMode="External"/><Relationship Id="rId19" Type="http://schemas.openxmlformats.org/officeDocument/2006/relationships/hyperlink" Target="https://search.corpuskiparla.it/corpus/player/player.cgi?code=PTD1021&amp;begin=4698536&amp;end=4703520" TargetMode="External"/><Relationship Id="rId224" Type="http://schemas.openxmlformats.org/officeDocument/2006/relationships/hyperlink" Target="https://search.corpuskiparla.it/corpus/player/player.cgi?code=BOA1001&amp;begin=573991&amp;end=579200" TargetMode="External"/><Relationship Id="rId245" Type="http://schemas.openxmlformats.org/officeDocument/2006/relationships/hyperlink" Target="https://search.corpuskiparla.it/corpus/player/player.cgi?code=TOA1005&amp;begin=731116&amp;end=735407" TargetMode="External"/><Relationship Id="rId266" Type="http://schemas.openxmlformats.org/officeDocument/2006/relationships/hyperlink" Target="https://search.corpuskiparla.it/corpus/player/player.cgi?code=PTA018&amp;begin=2135960&amp;end=2137870" TargetMode="External"/><Relationship Id="rId287" Type="http://schemas.openxmlformats.org/officeDocument/2006/relationships/hyperlink" Target="https://search.corpuskiparla.it/corpus/player/player.cgi?code=PBA025&amp;begin=101860&amp;end=103319" TargetMode="External"/><Relationship Id="rId30" Type="http://schemas.openxmlformats.org/officeDocument/2006/relationships/hyperlink" Target="https://search.corpuskiparla.it/corpus/conversations/PBC019.html" TargetMode="External"/><Relationship Id="rId105" Type="http://schemas.openxmlformats.org/officeDocument/2006/relationships/hyperlink" Target="https://search.corpuskiparla.it/corpus/player/player.cgi?code=BOD2016&amp;begin=543541&amp;end=544608" TargetMode="External"/><Relationship Id="rId126" Type="http://schemas.openxmlformats.org/officeDocument/2006/relationships/hyperlink" Target="https://search.corpuskiparla.it/corpus/player/player.cgi?code=PBA021&amp;begin=2726394&amp;end=2728479" TargetMode="External"/><Relationship Id="rId147" Type="http://schemas.openxmlformats.org/officeDocument/2006/relationships/hyperlink" Target="https://search.corpuskiparla.it/corpus/player/player.cgi?code=PTD007&amp;begin=2345901&amp;end=2347509" TargetMode="External"/><Relationship Id="rId168" Type="http://schemas.openxmlformats.org/officeDocument/2006/relationships/hyperlink" Target="https://search.corpuskiparla.it/corpus/player/player.cgi?code=TOA1003&amp;begin=3687692&amp;end=3689302" TargetMode="External"/><Relationship Id="rId312" Type="http://schemas.openxmlformats.org/officeDocument/2006/relationships/hyperlink" Target="https://search.corpuskiparla.it/corpus/player/player.cgi?code=BOD2019&amp;begin=861686&amp;end=862720" TargetMode="External"/><Relationship Id="rId51" Type="http://schemas.openxmlformats.org/officeDocument/2006/relationships/hyperlink" Target="https://search.corpuskiparla.it/corpus/player/player.cgi?code=PBA014&amp;begin=763420&amp;end=764553" TargetMode="External"/><Relationship Id="rId72" Type="http://schemas.openxmlformats.org/officeDocument/2006/relationships/hyperlink" Target="https://search.corpuskiparla.it/corpus/player/player.cgi?code=KPN021&amp;begin=882479&amp;end=885739" TargetMode="External"/><Relationship Id="rId93" Type="http://schemas.openxmlformats.org/officeDocument/2006/relationships/hyperlink" Target="https://search.corpuskiparla.it/corpus/player/player.cgi?code=KPS007&amp;begin=2090749&amp;end=2094593" TargetMode="External"/><Relationship Id="rId189" Type="http://schemas.openxmlformats.org/officeDocument/2006/relationships/hyperlink" Target="https://search.corpuskiparla.it/corpus/player/player.cgi?code=PBB009&amp;begin=1967947&amp;end=1969487" TargetMode="External"/><Relationship Id="rId3" Type="http://schemas.openxmlformats.org/officeDocument/2006/relationships/hyperlink" Target="https://search.corpuskiparla.it/corpus/player/player.cgi?code=KPN005&amp;begin=263446&amp;end=264700" TargetMode="External"/><Relationship Id="rId214" Type="http://schemas.openxmlformats.org/officeDocument/2006/relationships/hyperlink" Target="https://search.corpuskiparla.it/corpus/player/player.cgi?code=PTD009&amp;begin=2402928&amp;end=2407581" TargetMode="External"/><Relationship Id="rId235" Type="http://schemas.openxmlformats.org/officeDocument/2006/relationships/hyperlink" Target="https://search.corpuskiparla.it/corpus/player/player.cgi?code=TOC1004&amp;begin=1968938&amp;end=1971973" TargetMode="External"/><Relationship Id="rId256" Type="http://schemas.openxmlformats.org/officeDocument/2006/relationships/hyperlink" Target="https://search.corpuskiparla.it/corpus/player/player.cgi?code=BOA3001&amp;begin=2467810&amp;end=2469776" TargetMode="External"/><Relationship Id="rId277" Type="http://schemas.openxmlformats.org/officeDocument/2006/relationships/hyperlink" Target="https://search.corpuskiparla.it/corpus/player/player.cgi?code=PBB002&amp;begin=2114820&amp;end=2115840" TargetMode="External"/><Relationship Id="rId298" Type="http://schemas.openxmlformats.org/officeDocument/2006/relationships/hyperlink" Target="https://search.corpuskiparla.it/corpus/player/player.cgi?code=BOA3003&amp;begin=1457412&amp;end=1460410" TargetMode="External"/><Relationship Id="rId116" Type="http://schemas.openxmlformats.org/officeDocument/2006/relationships/hyperlink" Target="https://search.corpuskiparla.it/corpus/player/player.cgi?code=PBC016&amp;begin=2276930&amp;end=2279750" TargetMode="External"/><Relationship Id="rId137" Type="http://schemas.openxmlformats.org/officeDocument/2006/relationships/hyperlink" Target="https://search.corpuskiparla.it/corpus/player/player.cgi?code=BOA3004&amp;begin=2510316&amp;end=2512339" TargetMode="External"/><Relationship Id="rId158" Type="http://schemas.openxmlformats.org/officeDocument/2006/relationships/hyperlink" Target="https://search.corpuskiparla.it/corpus/player/player.cgi?code=PTD019&amp;begin=1272453&amp;end=1274380" TargetMode="External"/><Relationship Id="rId302" Type="http://schemas.openxmlformats.org/officeDocument/2006/relationships/hyperlink" Target="https://search.corpuskiparla.it/corpus/player/player.cgi?code=TOD1017&amp;begin=1345468&amp;end=1346626" TargetMode="External"/><Relationship Id="rId20" Type="http://schemas.openxmlformats.org/officeDocument/2006/relationships/hyperlink" Target="https://search.corpuskiparla.it/corpus/player/player.cgi?code=PBC014&amp;begin=464510&amp;end=473850" TargetMode="External"/><Relationship Id="rId41" Type="http://schemas.openxmlformats.org/officeDocument/2006/relationships/hyperlink" Target="https://search.corpuskiparla.it/corpus/player/player.cgi?code=PBB031&amp;begin=2847850&amp;end=2850560" TargetMode="External"/><Relationship Id="rId62" Type="http://schemas.openxmlformats.org/officeDocument/2006/relationships/hyperlink" Target="https://search.corpuskiparla.it/corpus/player/player.cgi?code=PBA011&amp;begin=695000&amp;end=695644" TargetMode="External"/><Relationship Id="rId83" Type="http://schemas.openxmlformats.org/officeDocument/2006/relationships/hyperlink" Target="https://search.corpuskiparla.it/corpus/player/player.cgi?code=PTB022&amp;begin=1660722&amp;end=1665128" TargetMode="External"/><Relationship Id="rId179" Type="http://schemas.openxmlformats.org/officeDocument/2006/relationships/hyperlink" Target="https://search.corpuskiparla.it/corpus/player/player.cgi?code=PBC004&amp;begin=3519699&amp;end=3524147" TargetMode="External"/><Relationship Id="rId190" Type="http://schemas.openxmlformats.org/officeDocument/2006/relationships/hyperlink" Target="https://search.corpuskiparla.it/corpus/player/player.cgi?code=PBC009&amp;begin=693294&amp;end=699157" TargetMode="External"/><Relationship Id="rId204" Type="http://schemas.openxmlformats.org/officeDocument/2006/relationships/hyperlink" Target="https://search.corpuskiparla.it/corpus/player/player.cgi?code=PBC005&amp;begin=1933800&amp;end=1934500" TargetMode="External"/><Relationship Id="rId225" Type="http://schemas.openxmlformats.org/officeDocument/2006/relationships/hyperlink" Target="https://search.corpuskiparla.it/corpus/player/player.cgi?code=TOA1006&amp;begin=2636614&amp;end=2641574" TargetMode="External"/><Relationship Id="rId246" Type="http://schemas.openxmlformats.org/officeDocument/2006/relationships/hyperlink" Target="https://search.corpuskiparla.it/corpus/player/player.cgi?code=TOA1005&amp;begin=953878&amp;end=955472" TargetMode="External"/><Relationship Id="rId267" Type="http://schemas.openxmlformats.org/officeDocument/2006/relationships/hyperlink" Target="https://search.corpuskiparla.it/corpus/player/player.cgi?code=PTA018&amp;begin=3434285&amp;end=3438110" TargetMode="External"/><Relationship Id="rId288" Type="http://schemas.openxmlformats.org/officeDocument/2006/relationships/hyperlink" Target="https://search.corpuskiparla.it/corpus/player/player.cgi?code=PBA025&amp;begin=450951&amp;end=452103" TargetMode="External"/><Relationship Id="rId106" Type="http://schemas.openxmlformats.org/officeDocument/2006/relationships/hyperlink" Target="https://search.corpuskiparla.it/corpus/player/player.cgi?code=KPS001&amp;begin=2229933&amp;end=2234788" TargetMode="External"/><Relationship Id="rId127" Type="http://schemas.openxmlformats.org/officeDocument/2006/relationships/hyperlink" Target="https://search.corpuskiparla.it/corpus/player/player.cgi?code=PTB024&amp;begin=1379800&amp;end=1381940" TargetMode="External"/><Relationship Id="rId313" Type="http://schemas.openxmlformats.org/officeDocument/2006/relationships/hyperlink" Target="https://search.corpuskiparla.it/corpus/player/player.cgi?code=BOD2019&amp;begin=1238280&amp;end=1239146" TargetMode="External"/><Relationship Id="rId10" Type="http://schemas.openxmlformats.org/officeDocument/2006/relationships/hyperlink" Target="https://search.corpuskiparla.it/corpus/player/player.cgi?code=TOC1003&amp;begin=1004512&amp;end=1009261" TargetMode="External"/><Relationship Id="rId31" Type="http://schemas.openxmlformats.org/officeDocument/2006/relationships/hyperlink" Target="https://search.corpuskiparla.it/corpus/player/player.cgi?code=PBC019&amp;begin=2022480&amp;end=2025227" TargetMode="External"/><Relationship Id="rId52" Type="http://schemas.openxmlformats.org/officeDocument/2006/relationships/hyperlink" Target="https://search.corpuskiparla.it/corpus/player/player.cgi?code=PBB016&amp;begin=359236&amp;end=361774" TargetMode="External"/><Relationship Id="rId73" Type="http://schemas.openxmlformats.org/officeDocument/2006/relationships/hyperlink" Target="https://search.corpuskiparla.it/corpus/player/player.cgi?code=KPN021&amp;begin=1146289&amp;end=1148879" TargetMode="External"/><Relationship Id="rId94" Type="http://schemas.openxmlformats.org/officeDocument/2006/relationships/hyperlink" Target="https://search.corpuskiparla.it/corpus/player/player.cgi?code=BOD2013&amp;begin=888445&amp;end=890725" TargetMode="External"/><Relationship Id="rId148" Type="http://schemas.openxmlformats.org/officeDocument/2006/relationships/hyperlink" Target="https://search.corpuskiparla.it/corpus/player/player.cgi?code=TOA3013&amp;begin=326951&amp;end=328124" TargetMode="External"/><Relationship Id="rId169" Type="http://schemas.openxmlformats.org/officeDocument/2006/relationships/hyperlink" Target="https://search.corpuskiparla.it/corpus/player/player.cgi?code=BOA1017&amp;begin=190490&amp;end=197610" TargetMode="External"/><Relationship Id="rId4" Type="http://schemas.openxmlformats.org/officeDocument/2006/relationships/hyperlink" Target="https://search.corpuskiparla.it/corpus/player/player.cgi?code=PBC010&amp;begin=1567780&amp;end=1575940" TargetMode="External"/><Relationship Id="rId180" Type="http://schemas.openxmlformats.org/officeDocument/2006/relationships/hyperlink" Target="https://search.corpuskiparla.it/corpus/player/player.cgi?code=PBA020&amp;begin=713549&amp;end=716475" TargetMode="External"/><Relationship Id="rId215" Type="http://schemas.openxmlformats.org/officeDocument/2006/relationships/hyperlink" Target="https://search.corpuskiparla.it/corpus/player/player.cgi?code=PBC011&amp;begin=912504&amp;end=919191" TargetMode="External"/><Relationship Id="rId236" Type="http://schemas.openxmlformats.org/officeDocument/2006/relationships/hyperlink" Target="https://search.corpuskiparla.it/corpus/player/player.cgi?code=TOC1004&amp;begin=2742625&amp;end=2753906" TargetMode="External"/><Relationship Id="rId257" Type="http://schemas.openxmlformats.org/officeDocument/2006/relationships/hyperlink" Target="https://search.corpuskiparla.it/corpus/player/player.cgi?code=BOA3001&amp;begin=2605514&amp;end=2609551" TargetMode="External"/><Relationship Id="rId278" Type="http://schemas.openxmlformats.org/officeDocument/2006/relationships/hyperlink" Target="https://search.corpuskiparla.it/corpus/player/player.cgi?code=PBC021&amp;begin=109665&amp;end=110685" TargetMode="External"/><Relationship Id="rId303" Type="http://schemas.openxmlformats.org/officeDocument/2006/relationships/hyperlink" Target="https://search.corpuskiparla.it/corpus/player/player.cgi?code=TOD1017&amp;begin=3764661&amp;end=3768832" TargetMode="External"/><Relationship Id="rId42" Type="http://schemas.openxmlformats.org/officeDocument/2006/relationships/hyperlink" Target="https://search.corpuskiparla.it/corpus/player/player.cgi?code=PTD020&amp;begin=670137&amp;end=678989" TargetMode="External"/><Relationship Id="rId84" Type="http://schemas.openxmlformats.org/officeDocument/2006/relationships/hyperlink" Target="https://search.corpuskiparla.it/corpus/player/player.cgi?code=BOC1005&amp;begin=1130943&amp;end=1132695" TargetMode="External"/><Relationship Id="rId138" Type="http://schemas.openxmlformats.org/officeDocument/2006/relationships/hyperlink" Target="https://search.corpuskiparla.it/corpus/player/player.cgi?code=BOA3004&amp;begin=2750805&amp;end=2755917" TargetMode="External"/><Relationship Id="rId191" Type="http://schemas.openxmlformats.org/officeDocument/2006/relationships/hyperlink" Target="https://search.corpuskiparla.it/corpus/player/player.cgi?code=PBC009&amp;begin=702824&amp;end=703882" TargetMode="External"/><Relationship Id="rId205" Type="http://schemas.openxmlformats.org/officeDocument/2006/relationships/hyperlink" Target="https://search.corpuskiparla.it/corpus/player/player.cgi?code=PTD013&amp;begin=840787&amp;end=846109" TargetMode="External"/><Relationship Id="rId247" Type="http://schemas.openxmlformats.org/officeDocument/2006/relationships/hyperlink" Target="https://search.corpuskiparla.it/corpus/player/player.cgi?code=TOA1005&amp;begin=1074024&amp;end=1077471" TargetMode="External"/><Relationship Id="rId107" Type="http://schemas.openxmlformats.org/officeDocument/2006/relationships/hyperlink" Target="https://search.corpuskiparla.it/corpus/player/player.cgi?code=KPS001&amp;begin=2491792&amp;end=2495649" TargetMode="External"/><Relationship Id="rId289" Type="http://schemas.openxmlformats.org/officeDocument/2006/relationships/hyperlink" Target="https://search.corpuskiparla.it/corpus/player/player.cgi?code=PBA025&amp;begin=455192&amp;end=459036" TargetMode="External"/><Relationship Id="rId11" Type="http://schemas.openxmlformats.org/officeDocument/2006/relationships/hyperlink" Target="https://search.corpuskiparla.it/corpus/conversations/TOC1003.html" TargetMode="External"/><Relationship Id="rId53" Type="http://schemas.openxmlformats.org/officeDocument/2006/relationships/hyperlink" Target="https://search.corpuskiparla.it/corpus/player/player.cgi?code=PBB016&amp;begin=827156&amp;end=828037" TargetMode="External"/><Relationship Id="rId149" Type="http://schemas.openxmlformats.org/officeDocument/2006/relationships/hyperlink" Target="https://search.corpuskiparla.it/corpus/player/player.cgi?code=TOA1003&amp;begin=148142&amp;end=149254" TargetMode="External"/><Relationship Id="rId314" Type="http://schemas.openxmlformats.org/officeDocument/2006/relationships/hyperlink" Target="https://search.corpuskiparla.it/corpus/player/player.cgi?code=BOD2019&amp;begin=1957311&amp;end=1959974" TargetMode="External"/><Relationship Id="rId95" Type="http://schemas.openxmlformats.org/officeDocument/2006/relationships/hyperlink" Target="https://search.corpuskiparla.it/corpus/player/player.cgi?code=PBC024&amp;begin=1638230&amp;end=1639050" TargetMode="External"/><Relationship Id="rId160" Type="http://schemas.openxmlformats.org/officeDocument/2006/relationships/hyperlink" Target="https://search.corpuskiparla.it/corpus/player/player.cgi?code=TOA1003&amp;begin=471156&amp;end=472424" TargetMode="External"/><Relationship Id="rId216" Type="http://schemas.openxmlformats.org/officeDocument/2006/relationships/hyperlink" Target="https://search.corpuskiparla.it/corpus/player/player.cgi?code=PBC011&amp;begin=2897703&amp;end=2898735" TargetMode="External"/><Relationship Id="rId258" Type="http://schemas.openxmlformats.org/officeDocument/2006/relationships/hyperlink" Target="https://search.corpuskiparla.it/corpus/player/player.cgi?code=PTD017&amp;begin=572822&amp;end=574302" TargetMode="External"/><Relationship Id="rId22" Type="http://schemas.openxmlformats.org/officeDocument/2006/relationships/hyperlink" Target="https://search.corpuskiparla.it/corpus/player/player.cgi?code=TOD2002&amp;begin=744481&amp;end=748095" TargetMode="External"/><Relationship Id="rId64" Type="http://schemas.openxmlformats.org/officeDocument/2006/relationships/hyperlink" Target="https://search.corpuskiparla.it/corpus/player/player.cgi?code=TOD2015&amp;begin=1098908&amp;end=1101953" TargetMode="External"/><Relationship Id="rId118" Type="http://schemas.openxmlformats.org/officeDocument/2006/relationships/hyperlink" Target="https://search.corpuskiparla.it/corpus/player/player.cgi?code=PBC016&amp;begin=2662021&amp;end=2662820" TargetMode="External"/><Relationship Id="rId171" Type="http://schemas.openxmlformats.org/officeDocument/2006/relationships/hyperlink" Target="https://search.corpuskiparla.it/corpus/player/player.cgi?code=KPN011&amp;begin=1848065&amp;end=1851802" TargetMode="External"/><Relationship Id="rId227" Type="http://schemas.openxmlformats.org/officeDocument/2006/relationships/hyperlink" Target="https://search.corpuskiparla.it/corpus/player/player.cgi?code=PBC008&amp;begin=2391568&amp;end=2393442" TargetMode="External"/><Relationship Id="rId269" Type="http://schemas.openxmlformats.org/officeDocument/2006/relationships/hyperlink" Target="https://search.corpuskiparla.it/corpus/player/player.cgi?code=BOA1016&amp;begin=296370&amp;end=297940" TargetMode="External"/><Relationship Id="rId33" Type="http://schemas.openxmlformats.org/officeDocument/2006/relationships/hyperlink" Target="https://search.corpuskiparla.it/corpus/player/player.cgi?code=PBC019&amp;begin=2057527&amp;end=2060821" TargetMode="External"/><Relationship Id="rId129" Type="http://schemas.openxmlformats.org/officeDocument/2006/relationships/hyperlink" Target="https://search.corpuskiparla.it/corpus/player/player.cgi?code=PBA005&amp;begin=721919&amp;end=727272" TargetMode="External"/><Relationship Id="rId280" Type="http://schemas.openxmlformats.org/officeDocument/2006/relationships/hyperlink" Target="https://search.corpuskiparla.it/corpus/player/player.cgi?code=PBA028&amp;begin=3936060&amp;end=3940700" TargetMode="External"/><Relationship Id="rId75" Type="http://schemas.openxmlformats.org/officeDocument/2006/relationships/hyperlink" Target="https://search.corpuskiparla.it/corpus/player/player.cgi?code=TOD2014&amp;begin=1649663&amp;end=1654200" TargetMode="External"/><Relationship Id="rId140" Type="http://schemas.openxmlformats.org/officeDocument/2006/relationships/hyperlink" Target="https://search.corpuskiparla.it/corpus/player/player.cgi?code=BOA3004&amp;begin=3782569&amp;end=3785762" TargetMode="External"/><Relationship Id="rId182" Type="http://schemas.openxmlformats.org/officeDocument/2006/relationships/hyperlink" Target="https://search.corpuskiparla.it/corpus/player/player.cgi?code=BOC1002&amp;begin=245138&amp;end=248777" TargetMode="External"/><Relationship Id="rId6" Type="http://schemas.openxmlformats.org/officeDocument/2006/relationships/hyperlink" Target="https://search.corpuskiparla.it/corpus/player/player.cgi?code=PBB026&amp;begin=2928900&amp;end=2930501" TargetMode="External"/><Relationship Id="rId238" Type="http://schemas.openxmlformats.org/officeDocument/2006/relationships/hyperlink" Target="https://search.corpuskiparla.it/corpus/player/player.cgi?code=PBB029&amp;begin=2282426&amp;end=2284013" TargetMode="External"/><Relationship Id="rId291" Type="http://schemas.openxmlformats.org/officeDocument/2006/relationships/hyperlink" Target="https://search.corpuskiparla.it/corpus/player/player.cgi?code=PBA003&amp;begin=643566&amp;end=644983" TargetMode="External"/><Relationship Id="rId305" Type="http://schemas.openxmlformats.org/officeDocument/2006/relationships/hyperlink" Target="https://search.corpuskiparla.it/corpus/player/player.cgi?code=TOD1017&amp;begin=6051839&amp;end=6054617" TargetMode="External"/><Relationship Id="rId44" Type="http://schemas.openxmlformats.org/officeDocument/2006/relationships/hyperlink" Target="https://search.corpuskiparla.it/corpus/player/player.cgi?code=PBA017&amp;begin=133277&amp;end=134891" TargetMode="External"/><Relationship Id="rId86" Type="http://schemas.openxmlformats.org/officeDocument/2006/relationships/hyperlink" Target="https://search.corpuskiparla.it/corpus/player/player.cgi?code=PBC015&amp;begin=36050&amp;end=38277" TargetMode="External"/><Relationship Id="rId151" Type="http://schemas.openxmlformats.org/officeDocument/2006/relationships/hyperlink" Target="https://search.corpuskiparla.it/corpus/player/player.cgi?code=TOA1005&amp;begin=1143185&amp;end=1145944" TargetMode="External"/><Relationship Id="rId193" Type="http://schemas.openxmlformats.org/officeDocument/2006/relationships/hyperlink" Target="https://search.corpuskiparla.it/corpus/player/player.cgi?code=PBC009&amp;begin=5790890&amp;end=5792520" TargetMode="External"/><Relationship Id="rId207" Type="http://schemas.openxmlformats.org/officeDocument/2006/relationships/hyperlink" Target="https://search.corpuskiparla.it/corpus/player/player.cgi?code=PBA015&amp;begin=1324518&amp;end=1327440" TargetMode="External"/><Relationship Id="rId249" Type="http://schemas.openxmlformats.org/officeDocument/2006/relationships/hyperlink" Target="https://search.corpuskiparla.it/corpus/player/player.cgi?code=TOA1005&amp;begin=1087928&amp;end=1089251" TargetMode="External"/><Relationship Id="rId13" Type="http://schemas.openxmlformats.org/officeDocument/2006/relationships/hyperlink" Target="https://search.corpuskiparla.it/corpus/player/player.cgi?code=PTB020&amp;begin=19811&amp;end=20897" TargetMode="External"/><Relationship Id="rId109" Type="http://schemas.openxmlformats.org/officeDocument/2006/relationships/hyperlink" Target="https://search.corpuskiparla.it/corpus/conversations/BOD1010.html" TargetMode="External"/><Relationship Id="rId260" Type="http://schemas.openxmlformats.org/officeDocument/2006/relationships/hyperlink" Target="https://search.corpuskiparla.it/corpus/player/player.cgi?code=PTD017&amp;begin=1709809&amp;end=1711922" TargetMode="External"/><Relationship Id="rId316" Type="http://schemas.openxmlformats.org/officeDocument/2006/relationships/hyperlink" Target="https://search.corpuskiparla.it/corpus/player/player.cgi?code=PBC022&amp;begin=2188660&amp;end=218966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DD5FA-2FF9-2842-92E8-3C24DAC88B1F}">
  <sheetPr codeName="Foglio1"/>
  <dimension ref="A1:FS347"/>
  <sheetViews>
    <sheetView tabSelected="1" zoomScale="50" zoomScaleNormal="50" workbookViewId="0">
      <pane ySplit="2" topLeftCell="A336" activePane="bottomLeft" state="frozen"/>
      <selection activeCell="A2" sqref="A2"/>
      <selection pane="bottomLeft" activeCell="Z338" sqref="Z338"/>
    </sheetView>
  </sheetViews>
  <sheetFormatPr defaultColWidth="10.875" defaultRowHeight="110.25" customHeight="1" x14ac:dyDescent="0.25"/>
  <cols>
    <col min="1" max="1" width="5.125" style="69" customWidth="1"/>
    <col min="2" max="2" width="0" style="70" hidden="1" customWidth="1"/>
    <col min="3" max="3" width="11.625" style="70" hidden="1" customWidth="1"/>
    <col min="4" max="4" width="47" style="70" hidden="1" customWidth="1"/>
    <col min="5" max="5" width="15.75" style="70" customWidth="1"/>
    <col min="6" max="11" width="10.875" style="70" hidden="1" customWidth="1"/>
    <col min="12" max="12" width="3.625" style="70" customWidth="1"/>
    <col min="13" max="13" width="15.75" style="70" hidden="1" customWidth="1"/>
    <col min="14" max="22" width="10.875" style="70" hidden="1" customWidth="1"/>
    <col min="23" max="23" width="2.25" style="70" hidden="1" customWidth="1"/>
    <col min="24" max="24" width="18.875" style="71" customWidth="1"/>
    <col min="25" max="25" width="10.875" style="71"/>
    <col min="26" max="26" width="24.125" style="71" customWidth="1"/>
    <col min="27" max="27" width="5.75" style="3" customWidth="1"/>
    <col min="28" max="28" width="0" style="4" hidden="1" customWidth="1"/>
    <col min="29" max="29" width="0" style="6" hidden="1" customWidth="1"/>
    <col min="30" max="30" width="0" style="3" hidden="1" customWidth="1"/>
    <col min="31" max="31" width="6.75" style="7" customWidth="1"/>
    <col min="32" max="32" width="10.125" style="8" customWidth="1"/>
    <col min="33" max="33" width="9.25" style="5" customWidth="1"/>
    <col min="34" max="34" width="8.25" style="9" customWidth="1"/>
    <col min="35" max="35" width="8.25" style="5" customWidth="1"/>
    <col min="36" max="36" width="7" style="9" customWidth="1"/>
    <col min="37" max="37" width="7.125" style="5" customWidth="1"/>
    <col min="38" max="38" width="9.125" style="9" customWidth="1"/>
    <col min="39" max="39" width="9.5" style="5" customWidth="1"/>
    <col min="40" max="40" width="10.875" style="9"/>
    <col min="41" max="41" width="9.875" style="10" customWidth="1"/>
    <col min="42" max="42" width="10.875" style="11"/>
    <col min="43" max="43" width="11.75" style="10" customWidth="1"/>
    <col min="44" max="44" width="9.125" style="11" customWidth="1"/>
    <col min="45" max="45" width="10.875" style="10"/>
    <col min="46" max="46" width="9" style="11" customWidth="1"/>
    <col min="47" max="47" width="10.75" style="12" customWidth="1"/>
    <col min="48" max="48" width="9.875" style="13" customWidth="1"/>
    <col min="49" max="49" width="13.5" style="12" customWidth="1"/>
    <col min="50" max="50" width="17" style="70" customWidth="1"/>
    <col min="51" max="51" width="10.875" style="70"/>
    <col min="52" max="52" width="16.875" style="70" customWidth="1"/>
    <col min="53" max="53" width="10.875" style="53"/>
    <col min="54" max="54" width="103" style="53" customWidth="1"/>
    <col min="55" max="147" width="10.875" style="53"/>
    <col min="148" max="16384" width="10.875" style="2"/>
  </cols>
  <sheetData>
    <row r="1" spans="1:173" s="1" customFormat="1" ht="62.25" hidden="1" customHeight="1" x14ac:dyDescent="0.25">
      <c r="A1" s="58" t="s">
        <v>22</v>
      </c>
      <c r="B1" s="58" t="s">
        <v>33</v>
      </c>
      <c r="C1" s="58" t="s">
        <v>34</v>
      </c>
      <c r="D1" s="58" t="s">
        <v>35</v>
      </c>
      <c r="E1" s="58" t="s">
        <v>36</v>
      </c>
      <c r="F1" s="58" t="s">
        <v>37</v>
      </c>
      <c r="G1" s="58" t="s">
        <v>38</v>
      </c>
      <c r="H1" s="58" t="s">
        <v>39</v>
      </c>
      <c r="I1" s="58" t="s">
        <v>40</v>
      </c>
      <c r="J1" s="58" t="s">
        <v>41</v>
      </c>
      <c r="K1" s="58" t="s">
        <v>42</v>
      </c>
      <c r="L1" s="58" t="s">
        <v>43</v>
      </c>
      <c r="M1" s="58" t="s">
        <v>44</v>
      </c>
      <c r="N1" s="58" t="s">
        <v>45</v>
      </c>
      <c r="O1" s="58" t="s">
        <v>46</v>
      </c>
      <c r="P1" s="58" t="s">
        <v>47</v>
      </c>
      <c r="Q1" s="58" t="s">
        <v>48</v>
      </c>
      <c r="R1" s="58" t="s">
        <v>49</v>
      </c>
      <c r="S1" s="58" t="s">
        <v>50</v>
      </c>
      <c r="T1" s="58" t="s">
        <v>51</v>
      </c>
      <c r="U1" s="58" t="s">
        <v>52</v>
      </c>
      <c r="V1" s="58" t="s">
        <v>53</v>
      </c>
      <c r="W1" s="59" t="s">
        <v>23</v>
      </c>
      <c r="X1" s="60" t="s">
        <v>24</v>
      </c>
      <c r="Y1" s="60" t="s">
        <v>25</v>
      </c>
      <c r="Z1" s="60" t="s">
        <v>26</v>
      </c>
      <c r="AA1" s="55"/>
      <c r="AB1" s="16"/>
      <c r="AC1" s="16"/>
      <c r="AD1" s="17"/>
      <c r="AE1" s="18"/>
      <c r="AF1" s="19"/>
      <c r="AG1" s="20" t="s">
        <v>18</v>
      </c>
      <c r="AH1" s="21"/>
      <c r="AI1" s="21"/>
      <c r="AJ1" s="21"/>
      <c r="AK1" s="21"/>
      <c r="AL1" s="21"/>
      <c r="AM1" s="21"/>
      <c r="AN1" s="22"/>
      <c r="AO1" s="23" t="s">
        <v>19</v>
      </c>
      <c r="AP1" s="24"/>
      <c r="AQ1" s="24"/>
      <c r="AR1" s="24"/>
      <c r="AS1" s="24"/>
      <c r="AT1" s="25"/>
      <c r="AU1" s="26" t="s">
        <v>20</v>
      </c>
      <c r="AV1" s="27"/>
      <c r="AW1" s="28"/>
      <c r="AX1" s="72"/>
      <c r="AY1" s="72"/>
      <c r="AZ1" s="72"/>
      <c r="BA1" s="77"/>
      <c r="BB1" s="77"/>
      <c r="BC1" s="77"/>
      <c r="BD1" s="77"/>
      <c r="BE1" s="77"/>
      <c r="BF1" s="77"/>
      <c r="BG1" s="77"/>
      <c r="BH1" s="77"/>
      <c r="BI1" s="77"/>
      <c r="BJ1" s="77"/>
      <c r="BK1" s="77"/>
      <c r="BL1" s="77"/>
      <c r="BM1" s="77"/>
      <c r="BN1" s="77"/>
      <c r="BO1" s="77"/>
      <c r="BP1" s="77"/>
      <c r="BQ1" s="77"/>
      <c r="BR1" s="77"/>
      <c r="BS1" s="77"/>
      <c r="BT1" s="77"/>
      <c r="BU1" s="77"/>
      <c r="BV1" s="77"/>
      <c r="BW1" s="77"/>
      <c r="BX1" s="77"/>
      <c r="BY1" s="77"/>
      <c r="BZ1" s="77"/>
      <c r="CA1" s="77"/>
      <c r="CB1" s="77"/>
      <c r="CC1" s="77"/>
      <c r="CD1" s="77"/>
      <c r="CE1" s="77"/>
      <c r="CF1" s="77"/>
      <c r="CG1" s="77"/>
      <c r="CH1" s="77"/>
      <c r="CI1" s="77"/>
      <c r="CJ1" s="77"/>
      <c r="CK1" s="77"/>
      <c r="CL1" s="77"/>
      <c r="CM1" s="77"/>
      <c r="CN1" s="77"/>
      <c r="CO1" s="77"/>
      <c r="CP1" s="77"/>
      <c r="CQ1" s="77"/>
      <c r="CR1" s="77"/>
      <c r="CS1" s="77"/>
      <c r="CT1" s="77"/>
      <c r="CU1" s="77"/>
      <c r="CV1" s="77"/>
      <c r="CW1" s="77"/>
      <c r="CX1" s="77"/>
      <c r="CY1" s="77"/>
      <c r="CZ1" s="77"/>
      <c r="DA1" s="77"/>
      <c r="DB1" s="77"/>
      <c r="DC1" s="77"/>
      <c r="DD1" s="77"/>
      <c r="DE1" s="77"/>
      <c r="DF1" s="77"/>
      <c r="DG1" s="77"/>
      <c r="DH1" s="77"/>
      <c r="DI1" s="77"/>
      <c r="DJ1" s="77"/>
      <c r="DK1" s="77"/>
      <c r="DL1" s="77"/>
      <c r="DM1" s="77"/>
      <c r="DN1" s="77"/>
      <c r="DO1" s="77"/>
      <c r="DP1" s="77"/>
      <c r="DQ1" s="77"/>
      <c r="DR1" s="77"/>
      <c r="DS1" s="77"/>
      <c r="DT1" s="77"/>
      <c r="DU1" s="77"/>
      <c r="DV1" s="77"/>
      <c r="DW1" s="77"/>
      <c r="DX1" s="77"/>
      <c r="DY1" s="77"/>
      <c r="DZ1" s="77"/>
      <c r="EA1" s="77"/>
      <c r="EB1" s="77"/>
      <c r="EC1" s="77"/>
      <c r="ED1" s="77"/>
      <c r="EE1" s="77"/>
      <c r="EF1" s="77"/>
      <c r="EG1" s="77"/>
      <c r="EH1" s="77"/>
      <c r="EI1" s="77"/>
      <c r="EJ1" s="77"/>
      <c r="EK1" s="77"/>
      <c r="EL1" s="77"/>
      <c r="EM1" s="77"/>
      <c r="EN1" s="77"/>
      <c r="EO1" s="77"/>
      <c r="EP1" s="77"/>
      <c r="EQ1" s="77"/>
    </row>
    <row r="2" spans="1:173" ht="110.25" customHeight="1" x14ac:dyDescent="0.25">
      <c r="A2" s="61"/>
      <c r="B2" s="61"/>
      <c r="C2" s="61"/>
      <c r="D2" s="61"/>
      <c r="E2" s="61"/>
      <c r="F2" s="61"/>
      <c r="G2" s="61"/>
      <c r="H2" s="61"/>
      <c r="I2" s="61"/>
      <c r="J2" s="61"/>
      <c r="K2" s="61"/>
      <c r="L2" s="61"/>
      <c r="M2" s="61"/>
      <c r="N2" s="61"/>
      <c r="O2" s="61"/>
      <c r="P2" s="61"/>
      <c r="Q2" s="61"/>
      <c r="R2" s="61"/>
      <c r="S2" s="61"/>
      <c r="T2" s="61"/>
      <c r="U2" s="61"/>
      <c r="V2" s="61"/>
      <c r="W2" s="62"/>
      <c r="X2" s="63"/>
      <c r="Y2" s="63"/>
      <c r="Z2" s="63"/>
      <c r="AA2" s="29" t="s">
        <v>27</v>
      </c>
      <c r="AB2" s="29" t="s">
        <v>29</v>
      </c>
      <c r="AC2" s="30" t="s">
        <v>30</v>
      </c>
      <c r="AD2" s="29" t="s">
        <v>31</v>
      </c>
      <c r="AE2" s="31" t="s">
        <v>28</v>
      </c>
      <c r="AF2" s="19" t="s">
        <v>17</v>
      </c>
      <c r="AG2" s="32" t="s">
        <v>18</v>
      </c>
      <c r="AH2" s="33" t="s">
        <v>1</v>
      </c>
      <c r="AI2" s="32" t="s">
        <v>2</v>
      </c>
      <c r="AJ2" s="33" t="s">
        <v>3</v>
      </c>
      <c r="AK2" s="32" t="s">
        <v>4</v>
      </c>
      <c r="AL2" s="33" t="s">
        <v>5</v>
      </c>
      <c r="AM2" s="32" t="s">
        <v>6</v>
      </c>
      <c r="AN2" s="33" t="s">
        <v>7</v>
      </c>
      <c r="AO2" s="34" t="s">
        <v>8</v>
      </c>
      <c r="AP2" s="35" t="s">
        <v>9</v>
      </c>
      <c r="AQ2" s="34" t="s">
        <v>10</v>
      </c>
      <c r="AR2" s="35" t="s">
        <v>11</v>
      </c>
      <c r="AS2" s="34" t="s">
        <v>12</v>
      </c>
      <c r="AT2" s="35" t="s">
        <v>13</v>
      </c>
      <c r="AU2" s="36" t="s">
        <v>14</v>
      </c>
      <c r="AV2" s="37" t="s">
        <v>15</v>
      </c>
      <c r="AW2" s="36" t="s">
        <v>16</v>
      </c>
      <c r="AX2" s="73" t="s">
        <v>21</v>
      </c>
      <c r="AY2" s="73" t="s">
        <v>32</v>
      </c>
      <c r="AZ2" s="73" t="s">
        <v>0</v>
      </c>
      <c r="BB2" s="53" t="s">
        <v>2279</v>
      </c>
    </row>
    <row r="3" spans="1:173" ht="110.25" customHeight="1" x14ac:dyDescent="0.25">
      <c r="A3" s="49" t="s">
        <v>54</v>
      </c>
      <c r="B3" s="49" t="s">
        <v>55</v>
      </c>
      <c r="C3" s="49" t="s">
        <v>56</v>
      </c>
      <c r="D3" s="49">
        <v>2020</v>
      </c>
      <c r="E3" s="50" t="s">
        <v>57</v>
      </c>
      <c r="F3" s="49">
        <v>263446</v>
      </c>
      <c r="G3" s="49">
        <v>264700</v>
      </c>
      <c r="H3" s="49" t="s">
        <v>58</v>
      </c>
      <c r="I3" s="49" t="s">
        <v>54</v>
      </c>
      <c r="J3" s="64">
        <v>2.8935185185185185E-2</v>
      </c>
      <c r="K3" s="49" t="s">
        <v>59</v>
      </c>
      <c r="L3" s="50" t="s">
        <v>60</v>
      </c>
      <c r="M3" s="50" t="s">
        <v>61</v>
      </c>
      <c r="N3" s="49" t="s">
        <v>62</v>
      </c>
      <c r="O3" s="49" t="s">
        <v>63</v>
      </c>
      <c r="P3" s="49" t="s">
        <v>64</v>
      </c>
      <c r="Q3" s="49">
        <v>4</v>
      </c>
      <c r="R3" s="49" t="s">
        <v>65</v>
      </c>
      <c r="S3" s="49" t="s">
        <v>66</v>
      </c>
      <c r="T3" s="49" t="s">
        <v>67</v>
      </c>
      <c r="U3" s="49" t="s">
        <v>68</v>
      </c>
      <c r="V3" s="49" t="s">
        <v>69</v>
      </c>
      <c r="W3" s="49" t="s">
        <v>70</v>
      </c>
      <c r="X3" s="51" t="s">
        <v>71</v>
      </c>
      <c r="Y3" s="51" t="s">
        <v>72</v>
      </c>
      <c r="Z3" s="51" t="s">
        <v>73</v>
      </c>
      <c r="AA3" s="29"/>
      <c r="AB3" s="30"/>
      <c r="AC3" s="38"/>
      <c r="AD3" s="29"/>
      <c r="AE3" s="39">
        <v>1</v>
      </c>
      <c r="AF3" s="40"/>
      <c r="AG3" s="32"/>
      <c r="AH3" s="33">
        <v>1</v>
      </c>
      <c r="AI3" s="32"/>
      <c r="AJ3" s="33"/>
      <c r="AK3" s="32"/>
      <c r="AL3" s="33"/>
      <c r="AM3" s="32">
        <v>1</v>
      </c>
      <c r="AN3" s="33">
        <v>1</v>
      </c>
      <c r="AO3" s="34"/>
      <c r="AP3" s="35"/>
      <c r="AQ3" s="34"/>
      <c r="AR3" s="35"/>
      <c r="AS3" s="34"/>
      <c r="AT3" s="35"/>
      <c r="AU3" s="36"/>
      <c r="AV3" s="37">
        <v>1</v>
      </c>
      <c r="AW3" s="36"/>
      <c r="AX3" s="52">
        <f t="shared" ref="AX3:AX29" si="0">IF(SUM(COUNTIF(AG3:AN3,1), COUNTIF(AO3:AT3,1), COUNTIF(AU3:AW3,1))&gt;1, 1, 0)</f>
        <v>1</v>
      </c>
      <c r="AY3" s="52"/>
      <c r="AZ3" s="52"/>
    </row>
    <row r="4" spans="1:173" ht="110.25" customHeight="1" x14ac:dyDescent="0.25">
      <c r="A4" s="46" t="s">
        <v>74</v>
      </c>
      <c r="B4" s="46" t="s">
        <v>75</v>
      </c>
      <c r="C4" s="46" t="s">
        <v>76</v>
      </c>
      <c r="D4" s="46">
        <v>2022</v>
      </c>
      <c r="E4" s="47" t="s">
        <v>77</v>
      </c>
      <c r="F4" s="46">
        <v>1567780</v>
      </c>
      <c r="G4" s="46">
        <v>1575940</v>
      </c>
      <c r="H4" s="46" t="s">
        <v>78</v>
      </c>
      <c r="I4" s="46" t="s">
        <v>74</v>
      </c>
      <c r="J4" s="65">
        <v>3.1319444444444441E-2</v>
      </c>
      <c r="K4" s="46" t="s">
        <v>79</v>
      </c>
      <c r="L4" s="47" t="s">
        <v>80</v>
      </c>
      <c r="M4" s="46" t="s">
        <v>81</v>
      </c>
      <c r="N4" s="46" t="s">
        <v>82</v>
      </c>
      <c r="O4" s="46" t="s">
        <v>63</v>
      </c>
      <c r="P4" s="46" t="s">
        <v>64</v>
      </c>
      <c r="Q4" s="46">
        <v>2</v>
      </c>
      <c r="R4" s="46" t="s">
        <v>83</v>
      </c>
      <c r="S4" s="46" t="s">
        <v>84</v>
      </c>
      <c r="T4" s="46" t="s">
        <v>85</v>
      </c>
      <c r="U4" s="46" t="s">
        <v>68</v>
      </c>
      <c r="V4" s="46" t="s">
        <v>86</v>
      </c>
      <c r="W4" s="46" t="s">
        <v>87</v>
      </c>
      <c r="X4" s="48" t="s">
        <v>88</v>
      </c>
      <c r="Y4" s="48" t="s">
        <v>72</v>
      </c>
      <c r="Z4" s="48" t="s">
        <v>89</v>
      </c>
      <c r="AA4" s="29"/>
      <c r="AB4" s="30"/>
      <c r="AC4" s="38"/>
      <c r="AD4" s="29"/>
      <c r="AE4" s="39">
        <v>1</v>
      </c>
      <c r="AF4" s="40"/>
      <c r="AG4" s="32"/>
      <c r="AH4" s="33"/>
      <c r="AI4" s="32"/>
      <c r="AJ4" s="33"/>
      <c r="AK4" s="32"/>
      <c r="AL4" s="33"/>
      <c r="AM4" s="32"/>
      <c r="AN4" s="33"/>
      <c r="AO4" s="34"/>
      <c r="AP4" s="35"/>
      <c r="AQ4" s="34">
        <v>1</v>
      </c>
      <c r="AR4" s="35"/>
      <c r="AS4" s="34"/>
      <c r="AT4" s="35"/>
      <c r="AU4" s="36"/>
      <c r="AV4" s="37"/>
      <c r="AW4" s="36"/>
      <c r="AX4" s="52">
        <f t="shared" si="0"/>
        <v>0</v>
      </c>
      <c r="AY4" s="52"/>
      <c r="AZ4" s="52"/>
    </row>
    <row r="5" spans="1:173" s="15" customFormat="1" ht="110.25" customHeight="1" x14ac:dyDescent="0.25">
      <c r="A5" s="49" t="s">
        <v>90</v>
      </c>
      <c r="B5" s="49" t="s">
        <v>91</v>
      </c>
      <c r="C5" s="49" t="s">
        <v>92</v>
      </c>
      <c r="D5" s="49">
        <v>2023</v>
      </c>
      <c r="E5" s="50" t="s">
        <v>93</v>
      </c>
      <c r="F5" s="49">
        <v>2928900</v>
      </c>
      <c r="G5" s="49">
        <v>2930501</v>
      </c>
      <c r="H5" s="49" t="s">
        <v>94</v>
      </c>
      <c r="I5" s="49" t="s">
        <v>90</v>
      </c>
      <c r="J5" s="64">
        <v>4.2592592592592592E-2</v>
      </c>
      <c r="K5" s="49" t="s">
        <v>79</v>
      </c>
      <c r="L5" s="49" t="s">
        <v>95</v>
      </c>
      <c r="M5" s="49" t="s">
        <v>96</v>
      </c>
      <c r="N5" s="49" t="s">
        <v>97</v>
      </c>
      <c r="O5" s="49" t="s">
        <v>98</v>
      </c>
      <c r="P5" s="49" t="s">
        <v>64</v>
      </c>
      <c r="Q5" s="49">
        <v>4</v>
      </c>
      <c r="R5" s="49" t="s">
        <v>99</v>
      </c>
      <c r="S5" s="49" t="s">
        <v>84</v>
      </c>
      <c r="T5" s="49" t="s">
        <v>85</v>
      </c>
      <c r="U5" s="49" t="s">
        <v>68</v>
      </c>
      <c r="V5" s="49" t="s">
        <v>86</v>
      </c>
      <c r="W5" s="49" t="s">
        <v>100</v>
      </c>
      <c r="X5" s="51" t="s">
        <v>101</v>
      </c>
      <c r="Y5" s="51" t="s">
        <v>72</v>
      </c>
      <c r="Z5" s="51" t="s">
        <v>102</v>
      </c>
      <c r="AA5" s="29">
        <v>1</v>
      </c>
      <c r="AB5" s="41"/>
      <c r="AC5" s="41"/>
      <c r="AD5" s="41"/>
      <c r="AE5" s="39"/>
      <c r="AF5" s="40"/>
      <c r="AG5" s="32"/>
      <c r="AH5" s="33"/>
      <c r="AI5" s="32"/>
      <c r="AJ5" s="33"/>
      <c r="AK5" s="32"/>
      <c r="AL5" s="33"/>
      <c r="AM5" s="32"/>
      <c r="AN5" s="33"/>
      <c r="AO5" s="34"/>
      <c r="AP5" s="35"/>
      <c r="AQ5" s="34"/>
      <c r="AR5" s="35"/>
      <c r="AS5" s="34"/>
      <c r="AT5" s="35"/>
      <c r="AU5" s="36"/>
      <c r="AV5" s="37"/>
      <c r="AW5" s="36"/>
      <c r="AX5" s="52">
        <f t="shared" si="0"/>
        <v>0</v>
      </c>
      <c r="AY5" s="52"/>
      <c r="AZ5" s="52"/>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c r="EH5" s="53"/>
      <c r="EI5" s="53"/>
      <c r="EJ5" s="53"/>
      <c r="EK5" s="53"/>
      <c r="EL5" s="53"/>
      <c r="EM5" s="53"/>
      <c r="EN5" s="53"/>
      <c r="EO5" s="53"/>
      <c r="EP5" s="53"/>
      <c r="EQ5" s="53"/>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row>
    <row r="6" spans="1:173" ht="110.25" customHeight="1" x14ac:dyDescent="0.25">
      <c r="A6" s="46" t="s">
        <v>90</v>
      </c>
      <c r="B6" s="46" t="s">
        <v>103</v>
      </c>
      <c r="C6" s="46" t="s">
        <v>92</v>
      </c>
      <c r="D6" s="46">
        <v>2023</v>
      </c>
      <c r="E6" s="47" t="s">
        <v>104</v>
      </c>
      <c r="F6" s="46">
        <v>3071558</v>
      </c>
      <c r="G6" s="46">
        <v>3075970</v>
      </c>
      <c r="H6" s="46" t="s">
        <v>105</v>
      </c>
      <c r="I6" s="46" t="s">
        <v>90</v>
      </c>
      <c r="J6" s="65">
        <v>4.2592592592592592E-2</v>
      </c>
      <c r="K6" s="46" t="s">
        <v>79</v>
      </c>
      <c r="L6" s="47" t="s">
        <v>95</v>
      </c>
      <c r="M6" s="46" t="s">
        <v>96</v>
      </c>
      <c r="N6" s="46" t="s">
        <v>62</v>
      </c>
      <c r="O6" s="46" t="s">
        <v>63</v>
      </c>
      <c r="P6" s="46" t="s">
        <v>64</v>
      </c>
      <c r="Q6" s="46">
        <v>4</v>
      </c>
      <c r="R6" s="46" t="s">
        <v>65</v>
      </c>
      <c r="S6" s="46" t="s">
        <v>84</v>
      </c>
      <c r="T6" s="46" t="s">
        <v>85</v>
      </c>
      <c r="U6" s="46" t="s">
        <v>68</v>
      </c>
      <c r="V6" s="46" t="s">
        <v>86</v>
      </c>
      <c r="W6" s="46" t="s">
        <v>70</v>
      </c>
      <c r="X6" s="48" t="s">
        <v>2283</v>
      </c>
      <c r="Y6" s="48" t="s">
        <v>72</v>
      </c>
      <c r="Z6" s="48" t="s">
        <v>106</v>
      </c>
      <c r="AA6" s="29"/>
      <c r="AB6" s="30"/>
      <c r="AC6" s="38"/>
      <c r="AD6" s="29"/>
      <c r="AE6" s="39">
        <v>1</v>
      </c>
      <c r="AF6" s="40">
        <v>1</v>
      </c>
      <c r="AG6" s="32"/>
      <c r="AH6" s="33"/>
      <c r="AI6" s="32"/>
      <c r="AJ6" s="33"/>
      <c r="AK6" s="32"/>
      <c r="AL6" s="33"/>
      <c r="AM6" s="32"/>
      <c r="AN6" s="33"/>
      <c r="AO6" s="34">
        <v>1</v>
      </c>
      <c r="AP6" s="35"/>
      <c r="AQ6" s="34"/>
      <c r="AR6" s="35"/>
      <c r="AS6" s="34"/>
      <c r="AT6" s="35"/>
      <c r="AU6" s="36"/>
      <c r="AV6" s="37"/>
      <c r="AW6" s="36">
        <v>1</v>
      </c>
      <c r="AX6" s="52">
        <f t="shared" si="0"/>
        <v>1</v>
      </c>
      <c r="AY6" s="52"/>
      <c r="AZ6" s="52" t="s">
        <v>2270</v>
      </c>
    </row>
    <row r="7" spans="1:173" s="15" customFormat="1" ht="110.25" customHeight="1" x14ac:dyDescent="0.25">
      <c r="A7" s="49" t="s">
        <v>90</v>
      </c>
      <c r="B7" s="49" t="s">
        <v>107</v>
      </c>
      <c r="C7" s="49" t="s">
        <v>92</v>
      </c>
      <c r="D7" s="49">
        <v>2023</v>
      </c>
      <c r="E7" s="50" t="s">
        <v>108</v>
      </c>
      <c r="F7" s="49">
        <v>3671590</v>
      </c>
      <c r="G7" s="49">
        <v>3674490</v>
      </c>
      <c r="H7" s="49" t="s">
        <v>94</v>
      </c>
      <c r="I7" s="49" t="s">
        <v>90</v>
      </c>
      <c r="J7" s="64">
        <v>4.2592592592592592E-2</v>
      </c>
      <c r="K7" s="49" t="s">
        <v>79</v>
      </c>
      <c r="L7" s="49" t="s">
        <v>95</v>
      </c>
      <c r="M7" s="49" t="s">
        <v>96</v>
      </c>
      <c r="N7" s="49" t="s">
        <v>97</v>
      </c>
      <c r="O7" s="49" t="s">
        <v>98</v>
      </c>
      <c r="P7" s="49" t="s">
        <v>64</v>
      </c>
      <c r="Q7" s="49">
        <v>4</v>
      </c>
      <c r="R7" s="49" t="s">
        <v>99</v>
      </c>
      <c r="S7" s="49" t="s">
        <v>84</v>
      </c>
      <c r="T7" s="49" t="s">
        <v>85</v>
      </c>
      <c r="U7" s="49" t="s">
        <v>68</v>
      </c>
      <c r="V7" s="49" t="s">
        <v>86</v>
      </c>
      <c r="W7" s="49" t="s">
        <v>100</v>
      </c>
      <c r="X7" s="51" t="s">
        <v>109</v>
      </c>
      <c r="Y7" s="51" t="s">
        <v>72</v>
      </c>
      <c r="Z7" s="51" t="s">
        <v>110</v>
      </c>
      <c r="AA7" s="29">
        <v>1</v>
      </c>
      <c r="AB7" s="41"/>
      <c r="AC7" s="41"/>
      <c r="AD7" s="41"/>
      <c r="AE7" s="39"/>
      <c r="AF7" s="40"/>
      <c r="AG7" s="32"/>
      <c r="AH7" s="33"/>
      <c r="AI7" s="32"/>
      <c r="AJ7" s="33"/>
      <c r="AK7" s="32"/>
      <c r="AL7" s="33"/>
      <c r="AM7" s="32"/>
      <c r="AN7" s="33"/>
      <c r="AO7" s="34"/>
      <c r="AP7" s="35"/>
      <c r="AQ7" s="34"/>
      <c r="AR7" s="35"/>
      <c r="AS7" s="34"/>
      <c r="AT7" s="35"/>
      <c r="AU7" s="36"/>
      <c r="AV7" s="37"/>
      <c r="AW7" s="36"/>
      <c r="AX7" s="52">
        <f t="shared" si="0"/>
        <v>0</v>
      </c>
      <c r="AY7" s="52"/>
      <c r="AZ7" s="52"/>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4"/>
      <c r="ES7" s="54"/>
      <c r="ET7" s="54"/>
      <c r="EU7" s="54"/>
      <c r="EV7" s="54"/>
      <c r="EW7" s="54"/>
      <c r="EX7" s="54"/>
      <c r="EY7" s="54"/>
      <c r="EZ7" s="54"/>
      <c r="FA7" s="54"/>
      <c r="FB7" s="54"/>
      <c r="FC7" s="54"/>
      <c r="FD7" s="54"/>
      <c r="FE7" s="54"/>
      <c r="FF7" s="54"/>
      <c r="FG7" s="54"/>
      <c r="FH7" s="54"/>
      <c r="FI7" s="54"/>
      <c r="FJ7" s="54"/>
      <c r="FK7" s="54"/>
      <c r="FL7" s="54"/>
      <c r="FM7" s="54"/>
      <c r="FN7" s="54"/>
      <c r="FO7" s="54"/>
      <c r="FP7" s="54"/>
      <c r="FQ7" s="54"/>
    </row>
    <row r="8" spans="1:173" s="15" customFormat="1" ht="110.25" customHeight="1" x14ac:dyDescent="0.25">
      <c r="A8" s="46" t="s">
        <v>111</v>
      </c>
      <c r="B8" s="46" t="s">
        <v>112</v>
      </c>
      <c r="C8" s="46" t="s">
        <v>113</v>
      </c>
      <c r="D8" s="46" t="s">
        <v>114</v>
      </c>
      <c r="E8" s="46" t="s">
        <v>115</v>
      </c>
      <c r="F8" s="46">
        <v>253025</v>
      </c>
      <c r="G8" s="46">
        <v>266057</v>
      </c>
      <c r="H8" s="46" t="s">
        <v>116</v>
      </c>
      <c r="I8" s="46" t="s">
        <v>111</v>
      </c>
      <c r="J8" s="65">
        <v>1.2349537037037037E-2</v>
      </c>
      <c r="K8" s="46" t="s">
        <v>79</v>
      </c>
      <c r="L8" s="46" t="s">
        <v>117</v>
      </c>
      <c r="M8" s="46" t="s">
        <v>118</v>
      </c>
      <c r="N8" s="46" t="s">
        <v>119</v>
      </c>
      <c r="O8" s="46" t="s">
        <v>98</v>
      </c>
      <c r="P8" s="46" t="s">
        <v>120</v>
      </c>
      <c r="Q8" s="46">
        <v>2</v>
      </c>
      <c r="R8" s="46" t="s">
        <v>83</v>
      </c>
      <c r="S8" s="46" t="s">
        <v>84</v>
      </c>
      <c r="T8" s="46" t="s">
        <v>85</v>
      </c>
      <c r="U8" s="46" t="s">
        <v>121</v>
      </c>
      <c r="V8" s="46" t="s">
        <v>122</v>
      </c>
      <c r="W8" s="46" t="s">
        <v>123</v>
      </c>
      <c r="X8" s="48" t="s">
        <v>124</v>
      </c>
      <c r="Y8" s="48" t="s">
        <v>72</v>
      </c>
      <c r="Z8" s="48" t="s">
        <v>125</v>
      </c>
      <c r="AA8" s="29">
        <v>1</v>
      </c>
      <c r="AB8" s="41"/>
      <c r="AC8" s="41"/>
      <c r="AD8" s="41"/>
      <c r="AE8" s="39"/>
      <c r="AF8" s="40"/>
      <c r="AG8" s="32"/>
      <c r="AH8" s="33"/>
      <c r="AI8" s="32"/>
      <c r="AJ8" s="33"/>
      <c r="AK8" s="32"/>
      <c r="AL8" s="33"/>
      <c r="AM8" s="32"/>
      <c r="AN8" s="33"/>
      <c r="AO8" s="34"/>
      <c r="AP8" s="35"/>
      <c r="AQ8" s="34"/>
      <c r="AR8" s="35"/>
      <c r="AS8" s="34"/>
      <c r="AT8" s="35"/>
      <c r="AU8" s="36"/>
      <c r="AV8" s="37"/>
      <c r="AW8" s="36"/>
      <c r="AX8" s="52">
        <f t="shared" si="0"/>
        <v>0</v>
      </c>
      <c r="AY8" s="52"/>
      <c r="AZ8" s="52"/>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3"/>
      <c r="EH8" s="53"/>
      <c r="EI8" s="53"/>
      <c r="EJ8" s="53"/>
      <c r="EK8" s="53"/>
      <c r="EL8" s="53"/>
      <c r="EM8" s="53"/>
      <c r="EN8" s="53"/>
      <c r="EO8" s="53"/>
      <c r="EP8" s="53"/>
      <c r="EQ8" s="53"/>
      <c r="ER8" s="54"/>
      <c r="ES8" s="54"/>
      <c r="ET8" s="54"/>
      <c r="EU8" s="54"/>
      <c r="EV8" s="54"/>
      <c r="EW8" s="54"/>
      <c r="EX8" s="54"/>
      <c r="EY8" s="54"/>
      <c r="EZ8" s="54"/>
      <c r="FA8" s="54"/>
      <c r="FB8" s="54"/>
      <c r="FC8" s="54"/>
      <c r="FD8" s="54"/>
      <c r="FE8" s="54"/>
      <c r="FF8" s="54"/>
      <c r="FG8" s="54"/>
      <c r="FH8" s="54"/>
      <c r="FI8" s="54"/>
      <c r="FJ8" s="54"/>
      <c r="FK8" s="54"/>
      <c r="FL8" s="54"/>
      <c r="FM8" s="54"/>
      <c r="FN8" s="54"/>
      <c r="FO8" s="54"/>
      <c r="FP8" s="54"/>
      <c r="FQ8" s="54"/>
    </row>
    <row r="9" spans="1:173" ht="110.25" customHeight="1" x14ac:dyDescent="0.25">
      <c r="A9" s="49" t="s">
        <v>111</v>
      </c>
      <c r="B9" s="49" t="s">
        <v>126</v>
      </c>
      <c r="C9" s="49" t="s">
        <v>113</v>
      </c>
      <c r="D9" s="49" t="s">
        <v>114</v>
      </c>
      <c r="E9" s="50" t="s">
        <v>127</v>
      </c>
      <c r="F9" s="49">
        <v>1004512</v>
      </c>
      <c r="G9" s="49">
        <v>1009261</v>
      </c>
      <c r="H9" s="49" t="s">
        <v>116</v>
      </c>
      <c r="I9" s="49" t="s">
        <v>111</v>
      </c>
      <c r="J9" s="64">
        <v>1.2349537037037037E-2</v>
      </c>
      <c r="K9" s="49" t="s">
        <v>79</v>
      </c>
      <c r="L9" s="50" t="s">
        <v>117</v>
      </c>
      <c r="M9" s="49" t="s">
        <v>118</v>
      </c>
      <c r="N9" s="49" t="s">
        <v>119</v>
      </c>
      <c r="O9" s="49" t="s">
        <v>98</v>
      </c>
      <c r="P9" s="49" t="s">
        <v>120</v>
      </c>
      <c r="Q9" s="49">
        <v>2</v>
      </c>
      <c r="R9" s="49" t="s">
        <v>83</v>
      </c>
      <c r="S9" s="49" t="s">
        <v>84</v>
      </c>
      <c r="T9" s="49" t="s">
        <v>85</v>
      </c>
      <c r="U9" s="49" t="s">
        <v>121</v>
      </c>
      <c r="V9" s="49" t="s">
        <v>122</v>
      </c>
      <c r="W9" s="49" t="s">
        <v>123</v>
      </c>
      <c r="X9" s="51" t="s">
        <v>128</v>
      </c>
      <c r="Y9" s="51" t="s">
        <v>72</v>
      </c>
      <c r="Z9" s="51" t="s">
        <v>2295</v>
      </c>
      <c r="AA9" s="29"/>
      <c r="AB9" s="30"/>
      <c r="AC9" s="38"/>
      <c r="AD9" s="29"/>
      <c r="AE9" s="39">
        <v>1</v>
      </c>
      <c r="AF9" s="40"/>
      <c r="AG9" s="32">
        <v>1</v>
      </c>
      <c r="AH9" s="33"/>
      <c r="AI9" s="32"/>
      <c r="AJ9" s="33"/>
      <c r="AK9" s="32"/>
      <c r="AL9" s="33"/>
      <c r="AM9" s="32"/>
      <c r="AN9" s="33">
        <v>1</v>
      </c>
      <c r="AO9" s="34"/>
      <c r="AP9" s="35"/>
      <c r="AQ9" s="34"/>
      <c r="AR9" s="35"/>
      <c r="AS9" s="34"/>
      <c r="AT9" s="35"/>
      <c r="AU9" s="36"/>
      <c r="AV9" s="37">
        <v>1</v>
      </c>
      <c r="AW9" s="36"/>
      <c r="AX9" s="52">
        <f t="shared" si="0"/>
        <v>1</v>
      </c>
      <c r="AY9" s="52"/>
      <c r="AZ9" s="52" t="s">
        <v>2271</v>
      </c>
    </row>
    <row r="10" spans="1:173" ht="110.25" customHeight="1" x14ac:dyDescent="0.25">
      <c r="A10" s="46" t="s">
        <v>111</v>
      </c>
      <c r="B10" s="46" t="s">
        <v>129</v>
      </c>
      <c r="C10" s="46" t="s">
        <v>113</v>
      </c>
      <c r="D10" s="46" t="s">
        <v>114</v>
      </c>
      <c r="E10" s="46" t="s">
        <v>127</v>
      </c>
      <c r="F10" s="46">
        <v>1004512</v>
      </c>
      <c r="G10" s="46">
        <v>1009261</v>
      </c>
      <c r="H10" s="46" t="s">
        <v>116</v>
      </c>
      <c r="I10" s="46" t="s">
        <v>111</v>
      </c>
      <c r="J10" s="65">
        <v>1.2349537037037037E-2</v>
      </c>
      <c r="K10" s="46" t="s">
        <v>79</v>
      </c>
      <c r="L10" s="46" t="s">
        <v>117</v>
      </c>
      <c r="M10" s="46" t="s">
        <v>118</v>
      </c>
      <c r="N10" s="46" t="s">
        <v>119</v>
      </c>
      <c r="O10" s="46" t="s">
        <v>98</v>
      </c>
      <c r="P10" s="46" t="s">
        <v>120</v>
      </c>
      <c r="Q10" s="46">
        <v>2</v>
      </c>
      <c r="R10" s="46" t="s">
        <v>83</v>
      </c>
      <c r="S10" s="46" t="s">
        <v>84</v>
      </c>
      <c r="T10" s="46" t="s">
        <v>85</v>
      </c>
      <c r="U10" s="46" t="s">
        <v>121</v>
      </c>
      <c r="V10" s="46" t="s">
        <v>122</v>
      </c>
      <c r="W10" s="46" t="s">
        <v>123</v>
      </c>
      <c r="X10" s="48" t="s">
        <v>130</v>
      </c>
      <c r="Y10" s="48" t="s">
        <v>72</v>
      </c>
      <c r="Z10" s="48" t="s">
        <v>131</v>
      </c>
      <c r="AA10" s="29"/>
      <c r="AB10" s="30"/>
      <c r="AC10" s="38"/>
      <c r="AD10" s="29"/>
      <c r="AE10" s="39">
        <v>1</v>
      </c>
      <c r="AF10" s="40"/>
      <c r="AG10" s="32"/>
      <c r="AH10" s="33"/>
      <c r="AI10" s="32"/>
      <c r="AJ10" s="33"/>
      <c r="AK10" s="32"/>
      <c r="AL10" s="33"/>
      <c r="AM10" s="32"/>
      <c r="AN10" s="33">
        <v>1</v>
      </c>
      <c r="AO10" s="34"/>
      <c r="AP10" s="35"/>
      <c r="AQ10" s="34"/>
      <c r="AR10" s="35"/>
      <c r="AS10" s="34"/>
      <c r="AT10" s="35"/>
      <c r="AU10" s="36"/>
      <c r="AV10" s="37">
        <v>1</v>
      </c>
      <c r="AW10" s="36"/>
      <c r="AX10" s="52">
        <f t="shared" si="0"/>
        <v>1</v>
      </c>
      <c r="AY10" s="52"/>
      <c r="AZ10" s="52"/>
    </row>
    <row r="11" spans="1:173" ht="110.25" customHeight="1" x14ac:dyDescent="0.25">
      <c r="A11" s="49" t="s">
        <v>111</v>
      </c>
      <c r="B11" s="49" t="s">
        <v>132</v>
      </c>
      <c r="C11" s="49" t="s">
        <v>113</v>
      </c>
      <c r="D11" s="49" t="s">
        <v>114</v>
      </c>
      <c r="E11" s="49" t="s">
        <v>133</v>
      </c>
      <c r="F11" s="49">
        <v>1010104</v>
      </c>
      <c r="G11" s="49">
        <v>1021275</v>
      </c>
      <c r="H11" s="49" t="s">
        <v>116</v>
      </c>
      <c r="I11" s="49" t="s">
        <v>111</v>
      </c>
      <c r="J11" s="64">
        <v>1.2349537037037037E-2</v>
      </c>
      <c r="K11" s="49" t="s">
        <v>79</v>
      </c>
      <c r="L11" s="49" t="s">
        <v>117</v>
      </c>
      <c r="M11" s="49" t="s">
        <v>118</v>
      </c>
      <c r="N11" s="49" t="s">
        <v>119</v>
      </c>
      <c r="O11" s="49" t="s">
        <v>98</v>
      </c>
      <c r="P11" s="49" t="s">
        <v>120</v>
      </c>
      <c r="Q11" s="49">
        <v>2</v>
      </c>
      <c r="R11" s="49" t="s">
        <v>83</v>
      </c>
      <c r="S11" s="49" t="s">
        <v>84</v>
      </c>
      <c r="T11" s="49" t="s">
        <v>85</v>
      </c>
      <c r="U11" s="49" t="s">
        <v>121</v>
      </c>
      <c r="V11" s="49" t="s">
        <v>122</v>
      </c>
      <c r="W11" s="49" t="s">
        <v>123</v>
      </c>
      <c r="X11" s="51" t="s">
        <v>134</v>
      </c>
      <c r="Y11" s="51" t="s">
        <v>72</v>
      </c>
      <c r="Z11" s="51" t="s">
        <v>135</v>
      </c>
      <c r="AA11" s="29"/>
      <c r="AB11" s="30"/>
      <c r="AC11" s="38"/>
      <c r="AD11" s="29"/>
      <c r="AE11" s="39">
        <v>1</v>
      </c>
      <c r="AF11" s="40"/>
      <c r="AG11" s="32"/>
      <c r="AH11" s="33"/>
      <c r="AI11" s="32"/>
      <c r="AJ11" s="33"/>
      <c r="AK11" s="32"/>
      <c r="AL11" s="33"/>
      <c r="AM11" s="32"/>
      <c r="AN11" s="33">
        <v>1</v>
      </c>
      <c r="AO11" s="34"/>
      <c r="AP11" s="35"/>
      <c r="AQ11" s="34"/>
      <c r="AR11" s="35"/>
      <c r="AS11" s="34"/>
      <c r="AT11" s="35"/>
      <c r="AU11" s="36"/>
      <c r="AV11" s="37">
        <v>1</v>
      </c>
      <c r="AW11" s="36"/>
      <c r="AX11" s="52">
        <f t="shared" si="0"/>
        <v>1</v>
      </c>
      <c r="AY11" s="52"/>
      <c r="AZ11" s="52"/>
    </row>
    <row r="12" spans="1:173" ht="110.25" customHeight="1" x14ac:dyDescent="0.25">
      <c r="A12" s="46" t="s">
        <v>136</v>
      </c>
      <c r="B12" s="46" t="s">
        <v>137</v>
      </c>
      <c r="C12" s="46" t="s">
        <v>138</v>
      </c>
      <c r="D12" s="46" t="s">
        <v>114</v>
      </c>
      <c r="E12" s="47" t="s">
        <v>139</v>
      </c>
      <c r="F12" s="46">
        <v>691671</v>
      </c>
      <c r="G12" s="46">
        <v>692497</v>
      </c>
      <c r="H12" s="46" t="s">
        <v>140</v>
      </c>
      <c r="I12" s="46" t="s">
        <v>136</v>
      </c>
      <c r="J12" s="65">
        <v>1.8530092592592591E-2</v>
      </c>
      <c r="K12" s="46" t="s">
        <v>59</v>
      </c>
      <c r="L12" s="46" t="s">
        <v>141</v>
      </c>
      <c r="M12" s="46" t="s">
        <v>142</v>
      </c>
      <c r="N12" s="46" t="s">
        <v>97</v>
      </c>
      <c r="O12" s="46" t="s">
        <v>63</v>
      </c>
      <c r="P12" s="46" t="s">
        <v>120</v>
      </c>
      <c r="Q12" s="46">
        <v>3</v>
      </c>
      <c r="R12" s="46" t="s">
        <v>99</v>
      </c>
      <c r="S12" s="46" t="s">
        <v>66</v>
      </c>
      <c r="T12" s="46" t="s">
        <v>67</v>
      </c>
      <c r="U12" s="46" t="s">
        <v>121</v>
      </c>
      <c r="V12" s="46" t="s">
        <v>143</v>
      </c>
      <c r="W12" s="46" t="s">
        <v>100</v>
      </c>
      <c r="X12" s="48" t="s">
        <v>144</v>
      </c>
      <c r="Y12" s="48" t="s">
        <v>72</v>
      </c>
      <c r="Z12" s="48" t="s">
        <v>145</v>
      </c>
      <c r="AB12" s="30"/>
      <c r="AC12" s="38"/>
      <c r="AD12" s="29"/>
      <c r="AE12" s="39">
        <v>1</v>
      </c>
      <c r="AF12" s="40"/>
      <c r="AG12" s="32"/>
      <c r="AH12" s="33"/>
      <c r="AI12" s="32"/>
      <c r="AJ12" s="33"/>
      <c r="AK12" s="32"/>
      <c r="AL12" s="33"/>
      <c r="AM12" s="32"/>
      <c r="AN12" s="33">
        <v>1</v>
      </c>
      <c r="AO12" s="34"/>
      <c r="AP12" s="35"/>
      <c r="AQ12" s="34"/>
      <c r="AR12" s="35"/>
      <c r="AS12" s="34"/>
      <c r="AT12" s="35"/>
      <c r="AU12" s="36"/>
      <c r="AV12" s="37">
        <v>1</v>
      </c>
      <c r="AW12" s="36"/>
      <c r="AX12" s="52">
        <f t="shared" si="0"/>
        <v>1</v>
      </c>
      <c r="AY12" s="52"/>
      <c r="AZ12" s="46" t="s">
        <v>2272</v>
      </c>
    </row>
    <row r="13" spans="1:173" ht="110.25" customHeight="1" x14ac:dyDescent="0.25">
      <c r="A13" s="49" t="s">
        <v>146</v>
      </c>
      <c r="B13" s="49" t="s">
        <v>147</v>
      </c>
      <c r="C13" s="49" t="s">
        <v>148</v>
      </c>
      <c r="D13" s="49">
        <v>2019</v>
      </c>
      <c r="E13" s="50" t="s">
        <v>149</v>
      </c>
      <c r="F13" s="49">
        <v>19811</v>
      </c>
      <c r="G13" s="49">
        <v>20897</v>
      </c>
      <c r="H13" s="49" t="s">
        <v>150</v>
      </c>
      <c r="I13" s="49" t="s">
        <v>146</v>
      </c>
      <c r="J13" s="64">
        <v>3.8321759259259257E-2</v>
      </c>
      <c r="K13" s="49" t="s">
        <v>79</v>
      </c>
      <c r="L13" s="49" t="s">
        <v>151</v>
      </c>
      <c r="M13" s="49" t="s">
        <v>152</v>
      </c>
      <c r="N13" s="49" t="s">
        <v>97</v>
      </c>
      <c r="O13" s="49" t="s">
        <v>63</v>
      </c>
      <c r="P13" s="49" t="s">
        <v>120</v>
      </c>
      <c r="Q13" s="49">
        <v>4</v>
      </c>
      <c r="R13" s="49" t="s">
        <v>99</v>
      </c>
      <c r="S13" s="49" t="s">
        <v>84</v>
      </c>
      <c r="T13" s="49" t="s">
        <v>85</v>
      </c>
      <c r="U13" s="49" t="s">
        <v>153</v>
      </c>
      <c r="V13" s="49" t="s">
        <v>86</v>
      </c>
      <c r="W13" s="49" t="s">
        <v>100</v>
      </c>
      <c r="X13" s="51" t="s">
        <v>154</v>
      </c>
      <c r="Y13" s="51" t="s">
        <v>72</v>
      </c>
      <c r="Z13" s="51" t="s">
        <v>155</v>
      </c>
      <c r="AA13" s="29"/>
      <c r="AB13" s="30"/>
      <c r="AC13" s="38"/>
      <c r="AD13" s="29"/>
      <c r="AE13" s="39">
        <v>1</v>
      </c>
      <c r="AF13" s="40"/>
      <c r="AG13" s="32">
        <v>1</v>
      </c>
      <c r="AH13" s="33"/>
      <c r="AI13" s="32"/>
      <c r="AJ13" s="33"/>
      <c r="AK13" s="32"/>
      <c r="AL13" s="33">
        <v>1</v>
      </c>
      <c r="AM13" s="32"/>
      <c r="AN13" s="33"/>
      <c r="AO13" s="34"/>
      <c r="AP13" s="35"/>
      <c r="AQ13" s="34"/>
      <c r="AR13" s="35"/>
      <c r="AS13" s="34"/>
      <c r="AT13" s="35"/>
      <c r="AU13" s="36"/>
      <c r="AV13" s="37"/>
      <c r="AW13" s="36">
        <v>1</v>
      </c>
      <c r="AX13" s="52">
        <f t="shared" si="0"/>
        <v>1</v>
      </c>
      <c r="AY13" s="52"/>
      <c r="AZ13" s="52"/>
    </row>
    <row r="14" spans="1:173" ht="110.25" customHeight="1" x14ac:dyDescent="0.25">
      <c r="A14" s="46" t="s">
        <v>146</v>
      </c>
      <c r="B14" s="46" t="s">
        <v>156</v>
      </c>
      <c r="C14" s="46" t="s">
        <v>148</v>
      </c>
      <c r="D14" s="46">
        <v>2019</v>
      </c>
      <c r="E14" s="47" t="s">
        <v>157</v>
      </c>
      <c r="F14" s="46">
        <v>2772700</v>
      </c>
      <c r="G14" s="46">
        <v>2780598</v>
      </c>
      <c r="H14" s="46" t="s">
        <v>158</v>
      </c>
      <c r="I14" s="46" t="s">
        <v>146</v>
      </c>
      <c r="J14" s="65">
        <v>3.8321759259259257E-2</v>
      </c>
      <c r="K14" s="46" t="s">
        <v>79</v>
      </c>
      <c r="L14" s="46" t="s">
        <v>151</v>
      </c>
      <c r="M14" s="46" t="s">
        <v>152</v>
      </c>
      <c r="N14" s="46" t="s">
        <v>159</v>
      </c>
      <c r="O14" s="46" t="s">
        <v>63</v>
      </c>
      <c r="P14" s="46" t="s">
        <v>120</v>
      </c>
      <c r="Q14" s="46">
        <v>4</v>
      </c>
      <c r="R14" s="46" t="s">
        <v>160</v>
      </c>
      <c r="S14" s="46" t="s">
        <v>84</v>
      </c>
      <c r="T14" s="46" t="s">
        <v>85</v>
      </c>
      <c r="U14" s="46" t="s">
        <v>153</v>
      </c>
      <c r="V14" s="46" t="s">
        <v>86</v>
      </c>
      <c r="W14" s="46" t="s">
        <v>161</v>
      </c>
      <c r="X14" s="48" t="s">
        <v>162</v>
      </c>
      <c r="Y14" s="48" t="s">
        <v>72</v>
      </c>
      <c r="Z14" s="48" t="s">
        <v>163</v>
      </c>
      <c r="AA14" s="29"/>
      <c r="AB14" s="30"/>
      <c r="AC14" s="38"/>
      <c r="AD14" s="29"/>
      <c r="AE14" s="39">
        <v>1</v>
      </c>
      <c r="AF14" s="40"/>
      <c r="AG14" s="32"/>
      <c r="AH14" s="33"/>
      <c r="AI14" s="32"/>
      <c r="AJ14" s="33"/>
      <c r="AK14" s="32"/>
      <c r="AL14" s="33"/>
      <c r="AM14" s="32"/>
      <c r="AN14" s="33"/>
      <c r="AO14" s="34"/>
      <c r="AP14" s="35"/>
      <c r="AQ14" s="34"/>
      <c r="AR14" s="35"/>
      <c r="AS14" s="34">
        <v>1</v>
      </c>
      <c r="AT14" s="35"/>
      <c r="AU14" s="36"/>
      <c r="AV14" s="37"/>
      <c r="AW14" s="36"/>
      <c r="AX14" s="52">
        <f t="shared" si="0"/>
        <v>0</v>
      </c>
      <c r="AY14" s="52"/>
      <c r="AZ14" s="52"/>
    </row>
    <row r="15" spans="1:173" ht="110.25" customHeight="1" x14ac:dyDescent="0.25">
      <c r="A15" s="49" t="s">
        <v>146</v>
      </c>
      <c r="B15" s="49" t="s">
        <v>164</v>
      </c>
      <c r="C15" s="49" t="s">
        <v>148</v>
      </c>
      <c r="D15" s="49">
        <v>2019</v>
      </c>
      <c r="E15" s="50" t="s">
        <v>165</v>
      </c>
      <c r="F15" s="49">
        <v>2953307</v>
      </c>
      <c r="G15" s="49">
        <v>2957417</v>
      </c>
      <c r="H15" s="49" t="s">
        <v>158</v>
      </c>
      <c r="I15" s="49" t="s">
        <v>146</v>
      </c>
      <c r="J15" s="64">
        <v>3.8321759259259257E-2</v>
      </c>
      <c r="K15" s="49" t="s">
        <v>79</v>
      </c>
      <c r="L15" s="49" t="s">
        <v>151</v>
      </c>
      <c r="M15" s="49" t="s">
        <v>152</v>
      </c>
      <c r="N15" s="49" t="s">
        <v>159</v>
      </c>
      <c r="O15" s="49" t="s">
        <v>63</v>
      </c>
      <c r="P15" s="49" t="s">
        <v>120</v>
      </c>
      <c r="Q15" s="49">
        <v>4</v>
      </c>
      <c r="R15" s="49" t="s">
        <v>160</v>
      </c>
      <c r="S15" s="49" t="s">
        <v>84</v>
      </c>
      <c r="T15" s="49" t="s">
        <v>85</v>
      </c>
      <c r="U15" s="49" t="s">
        <v>153</v>
      </c>
      <c r="V15" s="49" t="s">
        <v>86</v>
      </c>
      <c r="W15" s="49" t="s">
        <v>161</v>
      </c>
      <c r="X15" s="51" t="s">
        <v>166</v>
      </c>
      <c r="Y15" s="51" t="s">
        <v>72</v>
      </c>
      <c r="Z15" s="51" t="s">
        <v>167</v>
      </c>
      <c r="AA15" s="29"/>
      <c r="AB15" s="30"/>
      <c r="AC15" s="38"/>
      <c r="AD15" s="29"/>
      <c r="AE15" s="39">
        <v>1</v>
      </c>
      <c r="AF15" s="40"/>
      <c r="AG15" s="32"/>
      <c r="AH15" s="33"/>
      <c r="AI15" s="32"/>
      <c r="AJ15" s="33"/>
      <c r="AK15" s="32"/>
      <c r="AL15" s="33">
        <v>1</v>
      </c>
      <c r="AM15" s="32"/>
      <c r="AN15" s="33"/>
      <c r="AO15" s="34"/>
      <c r="AP15" s="35"/>
      <c r="AQ15" s="34"/>
      <c r="AR15" s="35"/>
      <c r="AS15" s="34"/>
      <c r="AT15" s="35"/>
      <c r="AU15" s="36"/>
      <c r="AV15" s="37"/>
      <c r="AW15" s="36"/>
      <c r="AX15" s="52">
        <f t="shared" si="0"/>
        <v>0</v>
      </c>
      <c r="AY15" s="52"/>
      <c r="AZ15" s="52"/>
    </row>
    <row r="16" spans="1:173" ht="110.25" customHeight="1" x14ac:dyDescent="0.25">
      <c r="A16" s="46" t="s">
        <v>146</v>
      </c>
      <c r="B16" s="46" t="s">
        <v>168</v>
      </c>
      <c r="C16" s="46" t="s">
        <v>148</v>
      </c>
      <c r="D16" s="46">
        <v>2019</v>
      </c>
      <c r="E16" s="47" t="s">
        <v>169</v>
      </c>
      <c r="F16" s="46">
        <v>3300598</v>
      </c>
      <c r="G16" s="46">
        <v>3303417</v>
      </c>
      <c r="H16" s="46" t="s">
        <v>150</v>
      </c>
      <c r="I16" s="46" t="s">
        <v>146</v>
      </c>
      <c r="J16" s="65">
        <v>3.8321759259259257E-2</v>
      </c>
      <c r="K16" s="46" t="s">
        <v>79</v>
      </c>
      <c r="L16" s="46" t="s">
        <v>151</v>
      </c>
      <c r="M16" s="46" t="s">
        <v>152</v>
      </c>
      <c r="N16" s="46" t="s">
        <v>97</v>
      </c>
      <c r="O16" s="46" t="s">
        <v>63</v>
      </c>
      <c r="P16" s="46" t="s">
        <v>120</v>
      </c>
      <c r="Q16" s="46">
        <v>4</v>
      </c>
      <c r="R16" s="46" t="s">
        <v>99</v>
      </c>
      <c r="S16" s="46" t="s">
        <v>84</v>
      </c>
      <c r="T16" s="46" t="s">
        <v>85</v>
      </c>
      <c r="U16" s="46" t="s">
        <v>153</v>
      </c>
      <c r="V16" s="46" t="s">
        <v>86</v>
      </c>
      <c r="W16" s="46" t="s">
        <v>100</v>
      </c>
      <c r="X16" s="48" t="s">
        <v>170</v>
      </c>
      <c r="Y16" s="48" t="s">
        <v>72</v>
      </c>
      <c r="Z16" s="48" t="s">
        <v>171</v>
      </c>
      <c r="AA16" s="29"/>
      <c r="AB16" s="30"/>
      <c r="AC16" s="38"/>
      <c r="AD16" s="29"/>
      <c r="AE16" s="39">
        <v>1</v>
      </c>
      <c r="AF16" s="40"/>
      <c r="AG16" s="32"/>
      <c r="AH16" s="33"/>
      <c r="AI16" s="32"/>
      <c r="AJ16" s="33"/>
      <c r="AK16" s="32"/>
      <c r="AL16" s="33"/>
      <c r="AM16" s="32"/>
      <c r="AN16" s="33">
        <v>1</v>
      </c>
      <c r="AO16" s="34"/>
      <c r="AP16" s="35">
        <v>1</v>
      </c>
      <c r="AQ16" s="34"/>
      <c r="AR16" s="35"/>
      <c r="AS16" s="34"/>
      <c r="AT16" s="35"/>
      <c r="AU16" s="36"/>
      <c r="AV16" s="37">
        <v>1</v>
      </c>
      <c r="AW16" s="36"/>
      <c r="AX16" s="52">
        <f t="shared" si="0"/>
        <v>1</v>
      </c>
      <c r="AY16" s="52"/>
      <c r="AZ16" s="52"/>
    </row>
    <row r="17" spans="1:173" ht="110.25" customHeight="1" x14ac:dyDescent="0.25">
      <c r="A17" s="49" t="s">
        <v>172</v>
      </c>
      <c r="B17" s="49" t="s">
        <v>173</v>
      </c>
      <c r="C17" s="49" t="s">
        <v>174</v>
      </c>
      <c r="D17" s="49">
        <v>2019</v>
      </c>
      <c r="E17" s="50" t="s">
        <v>175</v>
      </c>
      <c r="F17" s="49">
        <v>51796</v>
      </c>
      <c r="G17" s="49">
        <v>56121</v>
      </c>
      <c r="H17" s="49" t="s">
        <v>176</v>
      </c>
      <c r="I17" s="49" t="s">
        <v>172</v>
      </c>
      <c r="J17" s="64">
        <v>6.3530092592592596E-2</v>
      </c>
      <c r="K17" s="49" t="s">
        <v>79</v>
      </c>
      <c r="L17" s="49" t="s">
        <v>177</v>
      </c>
      <c r="M17" s="49" t="s">
        <v>178</v>
      </c>
      <c r="N17" s="49" t="s">
        <v>97</v>
      </c>
      <c r="O17" s="49" t="s">
        <v>98</v>
      </c>
      <c r="P17" s="49" t="s">
        <v>120</v>
      </c>
      <c r="Q17" s="49">
        <v>5</v>
      </c>
      <c r="R17" s="49" t="s">
        <v>179</v>
      </c>
      <c r="S17" s="49" t="s">
        <v>84</v>
      </c>
      <c r="T17" s="49" t="s">
        <v>85</v>
      </c>
      <c r="U17" s="49" t="s">
        <v>180</v>
      </c>
      <c r="V17" s="49" t="s">
        <v>86</v>
      </c>
      <c r="W17" s="49" t="s">
        <v>70</v>
      </c>
      <c r="X17" s="51" t="s">
        <v>181</v>
      </c>
      <c r="Y17" s="51" t="s">
        <v>72</v>
      </c>
      <c r="Z17" s="51" t="s">
        <v>182</v>
      </c>
      <c r="AA17" s="29"/>
      <c r="AB17" s="30"/>
      <c r="AC17" s="38"/>
      <c r="AD17" s="29"/>
      <c r="AE17" s="39">
        <v>1</v>
      </c>
      <c r="AF17" s="40"/>
      <c r="AG17" s="32"/>
      <c r="AH17" s="33"/>
      <c r="AI17" s="32"/>
      <c r="AJ17" s="33"/>
      <c r="AK17" s="32"/>
      <c r="AL17" s="33"/>
      <c r="AM17" s="32"/>
      <c r="AN17" s="33"/>
      <c r="AO17" s="34"/>
      <c r="AP17" s="35"/>
      <c r="AQ17" s="34"/>
      <c r="AR17" s="35"/>
      <c r="AS17" s="34"/>
      <c r="AT17" s="35">
        <v>1</v>
      </c>
      <c r="AU17" s="36"/>
      <c r="AV17" s="37"/>
      <c r="AW17" s="36"/>
      <c r="AX17" s="52">
        <f t="shared" si="0"/>
        <v>0</v>
      </c>
      <c r="AY17" s="52"/>
      <c r="AZ17" s="52"/>
    </row>
    <row r="18" spans="1:173" s="14" customFormat="1" ht="110.25" customHeight="1" x14ac:dyDescent="0.25">
      <c r="A18" s="46" t="s">
        <v>172</v>
      </c>
      <c r="B18" s="46" t="s">
        <v>183</v>
      </c>
      <c r="C18" s="46" t="s">
        <v>174</v>
      </c>
      <c r="D18" s="46">
        <v>2019</v>
      </c>
      <c r="E18" s="47" t="s">
        <v>184</v>
      </c>
      <c r="F18" s="46">
        <v>119930</v>
      </c>
      <c r="G18" s="46">
        <v>121305</v>
      </c>
      <c r="H18" s="46" t="s">
        <v>185</v>
      </c>
      <c r="I18" s="46" t="s">
        <v>172</v>
      </c>
      <c r="J18" s="65">
        <v>6.3530092592592596E-2</v>
      </c>
      <c r="K18" s="46" t="s">
        <v>79</v>
      </c>
      <c r="L18" s="46" t="s">
        <v>177</v>
      </c>
      <c r="M18" s="46" t="s">
        <v>178</v>
      </c>
      <c r="N18" s="46" t="s">
        <v>186</v>
      </c>
      <c r="O18" s="46" t="s">
        <v>63</v>
      </c>
      <c r="P18" s="46" t="s">
        <v>120</v>
      </c>
      <c r="Q18" s="46">
        <v>5</v>
      </c>
      <c r="R18" s="46" t="s">
        <v>83</v>
      </c>
      <c r="S18" s="46" t="s">
        <v>84</v>
      </c>
      <c r="T18" s="46" t="s">
        <v>85</v>
      </c>
      <c r="U18" s="46" t="s">
        <v>187</v>
      </c>
      <c r="V18" s="46" t="s">
        <v>86</v>
      </c>
      <c r="W18" s="46" t="s">
        <v>123</v>
      </c>
      <c r="X18" s="48" t="s">
        <v>188</v>
      </c>
      <c r="Y18" s="48" t="s">
        <v>72</v>
      </c>
      <c r="Z18" s="48" t="s">
        <v>189</v>
      </c>
      <c r="AA18" s="29"/>
      <c r="AB18" s="42"/>
      <c r="AC18" s="42"/>
      <c r="AD18" s="42"/>
      <c r="AE18" s="39"/>
      <c r="AF18" s="40"/>
      <c r="AG18" s="32"/>
      <c r="AH18" s="33"/>
      <c r="AI18" s="32"/>
      <c r="AJ18" s="33"/>
      <c r="AK18" s="32"/>
      <c r="AL18" s="33"/>
      <c r="AM18" s="32"/>
      <c r="AN18" s="33"/>
      <c r="AO18" s="34"/>
      <c r="AP18" s="35"/>
      <c r="AQ18" s="34"/>
      <c r="AR18" s="35"/>
      <c r="AS18" s="34"/>
      <c r="AT18" s="35"/>
      <c r="AU18" s="36"/>
      <c r="AV18" s="37"/>
      <c r="AW18" s="36"/>
      <c r="AX18" s="52">
        <f t="shared" si="0"/>
        <v>0</v>
      </c>
      <c r="AY18" s="52"/>
      <c r="AZ18" s="52" t="s">
        <v>2273</v>
      </c>
      <c r="BA18" s="53"/>
      <c r="BB18" s="53"/>
      <c r="BC18" s="53"/>
      <c r="BD18" s="53"/>
      <c r="BE18" s="53"/>
      <c r="BF18" s="53"/>
      <c r="BG18" s="53"/>
      <c r="BH18" s="53"/>
      <c r="BI18" s="53"/>
      <c r="BJ18" s="53"/>
      <c r="BK18" s="53"/>
      <c r="BL18" s="53"/>
      <c r="BM18" s="53"/>
      <c r="BN18" s="53"/>
      <c r="BO18" s="53"/>
      <c r="BP18" s="53"/>
      <c r="BQ18" s="53"/>
      <c r="BR18" s="53"/>
      <c r="BS18" s="53"/>
      <c r="BT18" s="53"/>
      <c r="BU18" s="53"/>
      <c r="BV18" s="53"/>
      <c r="BW18" s="53"/>
      <c r="BX18" s="53"/>
      <c r="BY18" s="53"/>
      <c r="BZ18" s="53"/>
      <c r="CA18" s="53"/>
      <c r="CB18" s="53"/>
      <c r="CC18" s="53"/>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c r="DC18" s="53"/>
      <c r="DD18" s="53"/>
      <c r="DE18" s="53"/>
      <c r="DF18" s="53"/>
      <c r="DG18" s="53"/>
      <c r="DH18" s="53"/>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c r="EH18" s="53"/>
      <c r="EI18" s="53"/>
      <c r="EJ18" s="53"/>
      <c r="EK18" s="53"/>
      <c r="EL18" s="53"/>
      <c r="EM18" s="53"/>
      <c r="EN18" s="53"/>
      <c r="EO18" s="53"/>
      <c r="EP18" s="53"/>
      <c r="EQ18" s="53"/>
    </row>
    <row r="19" spans="1:173" ht="110.25" customHeight="1" x14ac:dyDescent="0.25">
      <c r="A19" s="49" t="s">
        <v>172</v>
      </c>
      <c r="B19" s="49" t="s">
        <v>190</v>
      </c>
      <c r="C19" s="49" t="s">
        <v>174</v>
      </c>
      <c r="D19" s="49">
        <v>2019</v>
      </c>
      <c r="E19" s="50" t="s">
        <v>2274</v>
      </c>
      <c r="F19" s="49">
        <v>4698536</v>
      </c>
      <c r="G19" s="49">
        <v>4703520</v>
      </c>
      <c r="H19" s="49" t="s">
        <v>185</v>
      </c>
      <c r="I19" s="49" t="s">
        <v>172</v>
      </c>
      <c r="J19" s="64">
        <v>6.3530092592592596E-2</v>
      </c>
      <c r="K19" s="49" t="s">
        <v>79</v>
      </c>
      <c r="L19" s="49" t="s">
        <v>177</v>
      </c>
      <c r="M19" s="49" t="s">
        <v>178</v>
      </c>
      <c r="N19" s="49" t="s">
        <v>186</v>
      </c>
      <c r="O19" s="49" t="s">
        <v>63</v>
      </c>
      <c r="P19" s="49" t="s">
        <v>120</v>
      </c>
      <c r="Q19" s="49">
        <v>5</v>
      </c>
      <c r="R19" s="49" t="s">
        <v>83</v>
      </c>
      <c r="S19" s="49" t="s">
        <v>84</v>
      </c>
      <c r="T19" s="49" t="s">
        <v>85</v>
      </c>
      <c r="U19" s="49" t="s">
        <v>187</v>
      </c>
      <c r="V19" s="49" t="s">
        <v>86</v>
      </c>
      <c r="W19" s="49" t="s">
        <v>123</v>
      </c>
      <c r="X19" s="51" t="s">
        <v>191</v>
      </c>
      <c r="Y19" s="51" t="s">
        <v>72</v>
      </c>
      <c r="Z19" s="51" t="s">
        <v>192</v>
      </c>
      <c r="AA19" s="29"/>
      <c r="AB19" s="30"/>
      <c r="AC19" s="38"/>
      <c r="AD19" s="29"/>
      <c r="AE19" s="39">
        <v>1</v>
      </c>
      <c r="AF19" s="40"/>
      <c r="AG19" s="32"/>
      <c r="AH19" s="33"/>
      <c r="AI19" s="32"/>
      <c r="AJ19" s="33">
        <v>1</v>
      </c>
      <c r="AK19" s="32"/>
      <c r="AL19" s="33"/>
      <c r="AM19" s="32"/>
      <c r="AN19" s="33"/>
      <c r="AO19" s="34">
        <v>1</v>
      </c>
      <c r="AP19" s="35">
        <v>1</v>
      </c>
      <c r="AQ19" s="34"/>
      <c r="AR19" s="35"/>
      <c r="AS19" s="34"/>
      <c r="AT19" s="35"/>
      <c r="AU19" s="36"/>
      <c r="AV19" s="37"/>
      <c r="AW19" s="36"/>
      <c r="AX19" s="52">
        <f t="shared" si="0"/>
        <v>1</v>
      </c>
      <c r="AY19" s="52"/>
      <c r="AZ19" s="52"/>
    </row>
    <row r="20" spans="1:173" ht="110.25" customHeight="1" x14ac:dyDescent="0.25">
      <c r="A20" s="46" t="s">
        <v>193</v>
      </c>
      <c r="B20" s="46" t="s">
        <v>194</v>
      </c>
      <c r="C20" s="46" t="s">
        <v>195</v>
      </c>
      <c r="D20" s="46">
        <v>2022</v>
      </c>
      <c r="E20" s="47" t="s">
        <v>196</v>
      </c>
      <c r="F20" s="46">
        <v>464510</v>
      </c>
      <c r="G20" s="46">
        <v>473850</v>
      </c>
      <c r="H20" s="46" t="s">
        <v>197</v>
      </c>
      <c r="I20" s="46" t="s">
        <v>193</v>
      </c>
      <c r="J20" s="65">
        <v>3.1655092592592596E-2</v>
      </c>
      <c r="K20" s="46" t="s">
        <v>79</v>
      </c>
      <c r="L20" s="46" t="s">
        <v>198</v>
      </c>
      <c r="M20" s="46" t="s">
        <v>199</v>
      </c>
      <c r="N20" s="46" t="s">
        <v>97</v>
      </c>
      <c r="O20" s="46" t="s">
        <v>63</v>
      </c>
      <c r="P20" s="46" t="s">
        <v>64</v>
      </c>
      <c r="Q20" s="46">
        <v>2</v>
      </c>
      <c r="R20" s="46" t="s">
        <v>99</v>
      </c>
      <c r="S20" s="46" t="s">
        <v>84</v>
      </c>
      <c r="T20" s="46" t="s">
        <v>85</v>
      </c>
      <c r="U20" s="46" t="s">
        <v>68</v>
      </c>
      <c r="V20" s="46" t="s">
        <v>86</v>
      </c>
      <c r="W20" s="46" t="s">
        <v>100</v>
      </c>
      <c r="X20" s="48" t="s">
        <v>200</v>
      </c>
      <c r="Y20" s="48" t="s">
        <v>72</v>
      </c>
      <c r="Z20" s="48" t="s">
        <v>201</v>
      </c>
      <c r="AA20" s="29"/>
      <c r="AB20" s="30"/>
      <c r="AC20" s="38"/>
      <c r="AD20" s="29"/>
      <c r="AE20" s="39">
        <v>1</v>
      </c>
      <c r="AF20" s="40"/>
      <c r="AG20" s="32"/>
      <c r="AH20" s="33"/>
      <c r="AI20" s="32"/>
      <c r="AJ20" s="33"/>
      <c r="AK20" s="32"/>
      <c r="AL20" s="33">
        <v>1</v>
      </c>
      <c r="AM20" s="32"/>
      <c r="AN20" s="33"/>
      <c r="AO20" s="34"/>
      <c r="AP20" s="35"/>
      <c r="AQ20" s="34"/>
      <c r="AR20" s="35"/>
      <c r="AS20" s="34"/>
      <c r="AT20" s="35"/>
      <c r="AU20" s="36"/>
      <c r="AV20" s="37"/>
      <c r="AW20" s="36"/>
      <c r="AX20" s="52">
        <f t="shared" si="0"/>
        <v>0</v>
      </c>
      <c r="AY20" s="52"/>
      <c r="AZ20" s="52"/>
    </row>
    <row r="21" spans="1:173" ht="110.25" customHeight="1" x14ac:dyDescent="0.25">
      <c r="A21" s="49" t="s">
        <v>193</v>
      </c>
      <c r="B21" s="49" t="s">
        <v>202</v>
      </c>
      <c r="C21" s="49" t="s">
        <v>195</v>
      </c>
      <c r="D21" s="49">
        <v>2022</v>
      </c>
      <c r="E21" s="50" t="s">
        <v>203</v>
      </c>
      <c r="F21" s="49">
        <v>2702630</v>
      </c>
      <c r="G21" s="49">
        <v>2707510</v>
      </c>
      <c r="H21" s="49" t="s">
        <v>197</v>
      </c>
      <c r="I21" s="49" t="s">
        <v>193</v>
      </c>
      <c r="J21" s="64">
        <v>3.1655092592592596E-2</v>
      </c>
      <c r="K21" s="49" t="s">
        <v>79</v>
      </c>
      <c r="L21" s="49" t="s">
        <v>198</v>
      </c>
      <c r="M21" s="49" t="s">
        <v>199</v>
      </c>
      <c r="N21" s="49" t="s">
        <v>97</v>
      </c>
      <c r="O21" s="49" t="s">
        <v>63</v>
      </c>
      <c r="P21" s="49" t="s">
        <v>64</v>
      </c>
      <c r="Q21" s="49">
        <v>2</v>
      </c>
      <c r="R21" s="49" t="s">
        <v>99</v>
      </c>
      <c r="S21" s="49" t="s">
        <v>84</v>
      </c>
      <c r="T21" s="49" t="s">
        <v>85</v>
      </c>
      <c r="U21" s="49" t="s">
        <v>68</v>
      </c>
      <c r="V21" s="49" t="s">
        <v>86</v>
      </c>
      <c r="W21" s="49" t="s">
        <v>100</v>
      </c>
      <c r="X21" s="51" t="s">
        <v>2284</v>
      </c>
      <c r="Y21" s="51" t="s">
        <v>72</v>
      </c>
      <c r="Z21" s="51" t="s">
        <v>204</v>
      </c>
      <c r="AA21" s="29"/>
      <c r="AB21" s="30"/>
      <c r="AC21" s="38"/>
      <c r="AD21" s="29"/>
      <c r="AE21" s="39">
        <v>1</v>
      </c>
      <c r="AF21" s="40">
        <v>1</v>
      </c>
      <c r="AG21" s="32"/>
      <c r="AH21" s="33"/>
      <c r="AI21" s="32"/>
      <c r="AJ21" s="33"/>
      <c r="AK21" s="32"/>
      <c r="AL21" s="33"/>
      <c r="AM21" s="32"/>
      <c r="AN21" s="33">
        <v>1</v>
      </c>
      <c r="AO21" s="34"/>
      <c r="AP21" s="35"/>
      <c r="AQ21" s="34"/>
      <c r="AR21" s="35"/>
      <c r="AS21" s="34"/>
      <c r="AT21" s="35"/>
      <c r="AU21" s="36"/>
      <c r="AV21" s="37">
        <v>1</v>
      </c>
      <c r="AW21" s="36"/>
      <c r="AX21" s="52">
        <f t="shared" si="0"/>
        <v>1</v>
      </c>
      <c r="AY21" s="52"/>
      <c r="AZ21" s="52"/>
    </row>
    <row r="22" spans="1:173" ht="110.25" customHeight="1" x14ac:dyDescent="0.25">
      <c r="A22" s="46" t="s">
        <v>193</v>
      </c>
      <c r="B22" s="46" t="s">
        <v>205</v>
      </c>
      <c r="C22" s="46" t="s">
        <v>195</v>
      </c>
      <c r="D22" s="46">
        <v>2022</v>
      </c>
      <c r="E22" s="46" t="s">
        <v>206</v>
      </c>
      <c r="F22" s="46">
        <v>2709090</v>
      </c>
      <c r="G22" s="46">
        <v>2711450</v>
      </c>
      <c r="H22" s="46" t="s">
        <v>197</v>
      </c>
      <c r="I22" s="46" t="s">
        <v>193</v>
      </c>
      <c r="J22" s="65">
        <v>3.1655092592592596E-2</v>
      </c>
      <c r="K22" s="46" t="s">
        <v>79</v>
      </c>
      <c r="L22" s="46" t="s">
        <v>198</v>
      </c>
      <c r="M22" s="46" t="s">
        <v>199</v>
      </c>
      <c r="N22" s="46" t="s">
        <v>97</v>
      </c>
      <c r="O22" s="46" t="s">
        <v>63</v>
      </c>
      <c r="P22" s="46" t="s">
        <v>64</v>
      </c>
      <c r="Q22" s="46">
        <v>2</v>
      </c>
      <c r="R22" s="46" t="s">
        <v>99</v>
      </c>
      <c r="S22" s="46" t="s">
        <v>84</v>
      </c>
      <c r="T22" s="46" t="s">
        <v>85</v>
      </c>
      <c r="U22" s="46" t="s">
        <v>68</v>
      </c>
      <c r="V22" s="46" t="s">
        <v>86</v>
      </c>
      <c r="W22" s="46" t="s">
        <v>100</v>
      </c>
      <c r="X22" s="48" t="s">
        <v>2285</v>
      </c>
      <c r="Y22" s="48" t="s">
        <v>72</v>
      </c>
      <c r="Z22" s="48" t="s">
        <v>207</v>
      </c>
      <c r="AA22" s="29"/>
      <c r="AB22" s="30"/>
      <c r="AC22" s="38"/>
      <c r="AD22" s="29"/>
      <c r="AE22" s="39">
        <v>1</v>
      </c>
      <c r="AF22" s="40">
        <v>1</v>
      </c>
      <c r="AG22" s="32"/>
      <c r="AH22" s="33"/>
      <c r="AI22" s="32"/>
      <c r="AJ22" s="33"/>
      <c r="AK22" s="32"/>
      <c r="AL22" s="33"/>
      <c r="AM22" s="32"/>
      <c r="AN22" s="33">
        <v>1</v>
      </c>
      <c r="AO22" s="34"/>
      <c r="AP22" s="35">
        <v>1</v>
      </c>
      <c r="AQ22" s="34"/>
      <c r="AR22" s="35"/>
      <c r="AS22" s="34"/>
      <c r="AT22" s="35"/>
      <c r="AU22" s="36"/>
      <c r="AV22" s="37">
        <v>1</v>
      </c>
      <c r="AW22" s="36"/>
      <c r="AX22" s="52">
        <f t="shared" si="0"/>
        <v>1</v>
      </c>
      <c r="AY22" s="52"/>
      <c r="AZ22" s="52"/>
    </row>
    <row r="23" spans="1:173" ht="110.25" customHeight="1" x14ac:dyDescent="0.25">
      <c r="A23" s="49" t="s">
        <v>193</v>
      </c>
      <c r="B23" s="49" t="s">
        <v>208</v>
      </c>
      <c r="C23" s="49" t="s">
        <v>195</v>
      </c>
      <c r="D23" s="49">
        <v>2022</v>
      </c>
      <c r="E23" s="49" t="s">
        <v>209</v>
      </c>
      <c r="F23" s="49">
        <v>2716640</v>
      </c>
      <c r="G23" s="49">
        <v>2721526</v>
      </c>
      <c r="H23" s="49" t="s">
        <v>197</v>
      </c>
      <c r="I23" s="49" t="s">
        <v>193</v>
      </c>
      <c r="J23" s="64">
        <v>3.1655092592592596E-2</v>
      </c>
      <c r="K23" s="49" t="s">
        <v>79</v>
      </c>
      <c r="L23" s="49" t="s">
        <v>198</v>
      </c>
      <c r="M23" s="49" t="s">
        <v>199</v>
      </c>
      <c r="N23" s="49" t="s">
        <v>97</v>
      </c>
      <c r="O23" s="49" t="s">
        <v>63</v>
      </c>
      <c r="P23" s="49" t="s">
        <v>64</v>
      </c>
      <c r="Q23" s="49">
        <v>2</v>
      </c>
      <c r="R23" s="49" t="s">
        <v>99</v>
      </c>
      <c r="S23" s="49" t="s">
        <v>84</v>
      </c>
      <c r="T23" s="49" t="s">
        <v>85</v>
      </c>
      <c r="U23" s="49" t="s">
        <v>68</v>
      </c>
      <c r="V23" s="49" t="s">
        <v>86</v>
      </c>
      <c r="W23" s="49" t="s">
        <v>100</v>
      </c>
      <c r="X23" s="51" t="s">
        <v>210</v>
      </c>
      <c r="Y23" s="51" t="s">
        <v>72</v>
      </c>
      <c r="Z23" s="51" t="s">
        <v>211</v>
      </c>
      <c r="AA23" s="29"/>
      <c r="AB23" s="30"/>
      <c r="AC23" s="38"/>
      <c r="AD23" s="29"/>
      <c r="AE23" s="39">
        <v>1</v>
      </c>
      <c r="AF23" s="40"/>
      <c r="AG23" s="32"/>
      <c r="AH23" s="33"/>
      <c r="AI23" s="32"/>
      <c r="AJ23" s="33"/>
      <c r="AK23" s="32"/>
      <c r="AL23" s="33"/>
      <c r="AM23" s="32"/>
      <c r="AN23" s="33">
        <v>1</v>
      </c>
      <c r="AO23" s="34"/>
      <c r="AP23" s="35"/>
      <c r="AQ23" s="34"/>
      <c r="AR23" s="35"/>
      <c r="AS23" s="34"/>
      <c r="AT23" s="35"/>
      <c r="AU23" s="36"/>
      <c r="AV23" s="37">
        <v>1</v>
      </c>
      <c r="AW23" s="36"/>
      <c r="AX23" s="52">
        <f t="shared" si="0"/>
        <v>1</v>
      </c>
      <c r="AY23" s="52"/>
      <c r="AZ23" s="52"/>
    </row>
    <row r="24" spans="1:173" ht="110.25" customHeight="1" x14ac:dyDescent="0.25">
      <c r="A24" s="46" t="s">
        <v>193</v>
      </c>
      <c r="B24" s="46" t="s">
        <v>212</v>
      </c>
      <c r="C24" s="46" t="s">
        <v>195</v>
      </c>
      <c r="D24" s="46">
        <v>2022</v>
      </c>
      <c r="E24" s="46" t="s">
        <v>213</v>
      </c>
      <c r="F24" s="46">
        <v>2727960</v>
      </c>
      <c r="G24" s="46">
        <v>2730960</v>
      </c>
      <c r="H24" s="46" t="s">
        <v>197</v>
      </c>
      <c r="I24" s="46" t="s">
        <v>193</v>
      </c>
      <c r="J24" s="65">
        <v>3.1655092592592596E-2</v>
      </c>
      <c r="K24" s="46" t="s">
        <v>79</v>
      </c>
      <c r="L24" s="46" t="s">
        <v>198</v>
      </c>
      <c r="M24" s="46" t="s">
        <v>199</v>
      </c>
      <c r="N24" s="46" t="s">
        <v>97</v>
      </c>
      <c r="O24" s="46" t="s">
        <v>63</v>
      </c>
      <c r="P24" s="46" t="s">
        <v>64</v>
      </c>
      <c r="Q24" s="46">
        <v>2</v>
      </c>
      <c r="R24" s="46" t="s">
        <v>99</v>
      </c>
      <c r="S24" s="46" t="s">
        <v>84</v>
      </c>
      <c r="T24" s="46" t="s">
        <v>85</v>
      </c>
      <c r="U24" s="46" t="s">
        <v>68</v>
      </c>
      <c r="V24" s="46" t="s">
        <v>86</v>
      </c>
      <c r="W24" s="46" t="s">
        <v>100</v>
      </c>
      <c r="X24" s="48" t="s">
        <v>2286</v>
      </c>
      <c r="Y24" s="48" t="s">
        <v>72</v>
      </c>
      <c r="Z24" s="48" t="s">
        <v>214</v>
      </c>
      <c r="AA24" s="29"/>
      <c r="AB24" s="30"/>
      <c r="AC24" s="38"/>
      <c r="AD24" s="29"/>
      <c r="AE24" s="39">
        <v>1</v>
      </c>
      <c r="AF24" s="40">
        <v>1</v>
      </c>
      <c r="AG24" s="32"/>
      <c r="AH24" s="33"/>
      <c r="AI24" s="32"/>
      <c r="AJ24" s="33"/>
      <c r="AK24" s="32"/>
      <c r="AL24" s="33"/>
      <c r="AM24" s="32"/>
      <c r="AN24" s="33">
        <v>1</v>
      </c>
      <c r="AO24" s="34"/>
      <c r="AP24" s="35"/>
      <c r="AQ24" s="34"/>
      <c r="AR24" s="35"/>
      <c r="AS24" s="34"/>
      <c r="AT24" s="35"/>
      <c r="AU24" s="36"/>
      <c r="AV24" s="37">
        <v>1</v>
      </c>
      <c r="AW24" s="36"/>
      <c r="AX24" s="52">
        <f t="shared" si="0"/>
        <v>1</v>
      </c>
      <c r="AY24" s="52"/>
      <c r="AZ24" s="52"/>
    </row>
    <row r="25" spans="1:173" ht="110.25" customHeight="1" x14ac:dyDescent="0.25">
      <c r="A25" s="49" t="s">
        <v>215</v>
      </c>
      <c r="B25" s="49" t="s">
        <v>216</v>
      </c>
      <c r="C25" s="49" t="s">
        <v>217</v>
      </c>
      <c r="D25" s="49" t="s">
        <v>114</v>
      </c>
      <c r="E25" s="50" t="s">
        <v>218</v>
      </c>
      <c r="F25" s="49">
        <v>744481</v>
      </c>
      <c r="G25" s="49">
        <v>748095</v>
      </c>
      <c r="H25" s="49" t="s">
        <v>219</v>
      </c>
      <c r="I25" s="49" t="s">
        <v>215</v>
      </c>
      <c r="J25" s="64">
        <v>1.1493055555555555E-2</v>
      </c>
      <c r="K25" s="49" t="s">
        <v>79</v>
      </c>
      <c r="L25" s="49" t="s">
        <v>220</v>
      </c>
      <c r="M25" s="49" t="s">
        <v>221</v>
      </c>
      <c r="N25" s="49" t="s">
        <v>97</v>
      </c>
      <c r="O25" s="49" t="s">
        <v>63</v>
      </c>
      <c r="P25" s="49" t="s">
        <v>120</v>
      </c>
      <c r="Q25" s="49">
        <v>2</v>
      </c>
      <c r="R25" s="49" t="s">
        <v>99</v>
      </c>
      <c r="S25" s="49" t="s">
        <v>84</v>
      </c>
      <c r="T25" s="49" t="s">
        <v>67</v>
      </c>
      <c r="U25" s="49" t="s">
        <v>121</v>
      </c>
      <c r="V25" s="49" t="s">
        <v>86</v>
      </c>
      <c r="W25" s="49" t="s">
        <v>100</v>
      </c>
      <c r="X25" s="51" t="s">
        <v>222</v>
      </c>
      <c r="Y25" s="51" t="s">
        <v>72</v>
      </c>
      <c r="Z25" s="51" t="s">
        <v>223</v>
      </c>
      <c r="AA25" s="29"/>
      <c r="AB25" s="30"/>
      <c r="AC25" s="38"/>
      <c r="AD25" s="29"/>
      <c r="AE25" s="39">
        <v>1</v>
      </c>
      <c r="AF25" s="40"/>
      <c r="AG25" s="32"/>
      <c r="AH25" s="33"/>
      <c r="AI25" s="32"/>
      <c r="AJ25" s="33"/>
      <c r="AK25" s="32"/>
      <c r="AL25" s="33">
        <v>1</v>
      </c>
      <c r="AM25" s="32"/>
      <c r="AN25" s="33"/>
      <c r="AO25" s="34"/>
      <c r="AP25" s="35"/>
      <c r="AQ25" s="34"/>
      <c r="AR25" s="35"/>
      <c r="AS25" s="34"/>
      <c r="AT25" s="35"/>
      <c r="AU25" s="36">
        <v>1</v>
      </c>
      <c r="AV25" s="37"/>
      <c r="AW25" s="36"/>
      <c r="AX25" s="52">
        <f t="shared" si="0"/>
        <v>1</v>
      </c>
      <c r="AY25" s="52"/>
      <c r="AZ25" s="52"/>
    </row>
    <row r="26" spans="1:173" ht="110.25" customHeight="1" x14ac:dyDescent="0.25">
      <c r="A26" s="46" t="s">
        <v>224</v>
      </c>
      <c r="B26" s="46" t="s">
        <v>225</v>
      </c>
      <c r="C26" s="46" t="s">
        <v>226</v>
      </c>
      <c r="D26" s="46">
        <v>2022</v>
      </c>
      <c r="E26" s="47" t="s">
        <v>227</v>
      </c>
      <c r="F26" s="46">
        <v>1569687</v>
      </c>
      <c r="G26" s="46">
        <v>1570807</v>
      </c>
      <c r="H26" s="46" t="s">
        <v>197</v>
      </c>
      <c r="I26" s="46" t="s">
        <v>224</v>
      </c>
      <c r="J26" s="65">
        <v>2.6249999999999999E-2</v>
      </c>
      <c r="K26" s="46" t="s">
        <v>79</v>
      </c>
      <c r="L26" s="46" t="s">
        <v>228</v>
      </c>
      <c r="M26" s="46" t="s">
        <v>229</v>
      </c>
      <c r="N26" s="46" t="s">
        <v>97</v>
      </c>
      <c r="O26" s="46" t="s">
        <v>63</v>
      </c>
      <c r="P26" s="46" t="s">
        <v>64</v>
      </c>
      <c r="Q26" s="46">
        <v>2</v>
      </c>
      <c r="R26" s="46" t="s">
        <v>99</v>
      </c>
      <c r="S26" s="46" t="s">
        <v>84</v>
      </c>
      <c r="T26" s="46" t="s">
        <v>85</v>
      </c>
      <c r="U26" s="46" t="s">
        <v>68</v>
      </c>
      <c r="V26" s="46" t="s">
        <v>86</v>
      </c>
      <c r="W26" s="46" t="s">
        <v>100</v>
      </c>
      <c r="X26" s="48" t="s">
        <v>230</v>
      </c>
      <c r="Y26" s="48" t="s">
        <v>72</v>
      </c>
      <c r="Z26" s="48" t="s">
        <v>231</v>
      </c>
      <c r="AA26" s="29"/>
      <c r="AB26" s="30"/>
      <c r="AC26" s="38"/>
      <c r="AD26" s="29"/>
      <c r="AE26" s="39">
        <v>1</v>
      </c>
      <c r="AF26" s="40"/>
      <c r="AG26" s="32"/>
      <c r="AH26" s="33">
        <v>1</v>
      </c>
      <c r="AI26" s="32"/>
      <c r="AJ26" s="33"/>
      <c r="AK26" s="32"/>
      <c r="AL26" s="33"/>
      <c r="AM26" s="32"/>
      <c r="AN26" s="33"/>
      <c r="AO26" s="34"/>
      <c r="AP26" s="35">
        <v>1</v>
      </c>
      <c r="AQ26" s="34"/>
      <c r="AR26" s="35"/>
      <c r="AS26" s="34"/>
      <c r="AT26" s="35"/>
      <c r="AU26" s="36"/>
      <c r="AV26" s="37"/>
      <c r="AW26" s="36">
        <v>1</v>
      </c>
      <c r="AX26" s="52">
        <f t="shared" si="0"/>
        <v>1</v>
      </c>
      <c r="AY26" s="52"/>
      <c r="AZ26" s="52" t="s">
        <v>2275</v>
      </c>
    </row>
    <row r="27" spans="1:173" s="15" customFormat="1" ht="110.25" customHeight="1" x14ac:dyDescent="0.25">
      <c r="A27" s="49" t="s">
        <v>232</v>
      </c>
      <c r="B27" s="49" t="s">
        <v>233</v>
      </c>
      <c r="C27" s="49" t="s">
        <v>234</v>
      </c>
      <c r="D27" s="49">
        <v>2019</v>
      </c>
      <c r="E27" s="50" t="s">
        <v>235</v>
      </c>
      <c r="F27" s="49">
        <v>202072</v>
      </c>
      <c r="G27" s="49">
        <v>204430</v>
      </c>
      <c r="H27" s="49" t="s">
        <v>236</v>
      </c>
      <c r="I27" s="49" t="s">
        <v>232</v>
      </c>
      <c r="J27" s="64">
        <v>3.107638888888889E-2</v>
      </c>
      <c r="K27" s="49" t="s">
        <v>79</v>
      </c>
      <c r="L27" s="49" t="s">
        <v>237</v>
      </c>
      <c r="M27" s="49" t="s">
        <v>238</v>
      </c>
      <c r="N27" s="49" t="s">
        <v>186</v>
      </c>
      <c r="O27" s="49" t="s">
        <v>98</v>
      </c>
      <c r="P27" s="49" t="s">
        <v>120</v>
      </c>
      <c r="Q27" s="49">
        <v>4</v>
      </c>
      <c r="R27" s="49" t="s">
        <v>179</v>
      </c>
      <c r="S27" s="49" t="s">
        <v>84</v>
      </c>
      <c r="T27" s="49" t="s">
        <v>85</v>
      </c>
      <c r="U27" s="49" t="s">
        <v>121</v>
      </c>
      <c r="V27" s="49" t="s">
        <v>86</v>
      </c>
      <c r="W27" s="49" t="s">
        <v>70</v>
      </c>
      <c r="X27" s="51" t="s">
        <v>239</v>
      </c>
      <c r="Y27" s="51" t="s">
        <v>72</v>
      </c>
      <c r="Z27" s="51" t="s">
        <v>240</v>
      </c>
      <c r="AA27" s="29">
        <v>1</v>
      </c>
      <c r="AB27" s="41"/>
      <c r="AC27" s="41"/>
      <c r="AD27" s="41"/>
      <c r="AE27" s="39"/>
      <c r="AF27" s="40"/>
      <c r="AG27" s="32"/>
      <c r="AH27" s="33"/>
      <c r="AI27" s="32"/>
      <c r="AJ27" s="33"/>
      <c r="AK27" s="32"/>
      <c r="AL27" s="33"/>
      <c r="AM27" s="32"/>
      <c r="AN27" s="33"/>
      <c r="AO27" s="34"/>
      <c r="AP27" s="35"/>
      <c r="AQ27" s="34"/>
      <c r="AR27" s="35"/>
      <c r="AS27" s="34"/>
      <c r="AT27" s="35"/>
      <c r="AU27" s="36"/>
      <c r="AV27" s="37"/>
      <c r="AW27" s="36"/>
      <c r="AX27" s="52">
        <f t="shared" si="0"/>
        <v>0</v>
      </c>
      <c r="AY27" s="52"/>
      <c r="AZ27" s="52"/>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c r="CM27" s="53"/>
      <c r="CN27" s="53"/>
      <c r="CO27" s="53"/>
      <c r="CP27" s="53"/>
      <c r="CQ27" s="53"/>
      <c r="CR27" s="53"/>
      <c r="CS27" s="53"/>
      <c r="CT27" s="53"/>
      <c r="CU27" s="53"/>
      <c r="CV27" s="53"/>
      <c r="CW27" s="53"/>
      <c r="CX27" s="53"/>
      <c r="CY27" s="53"/>
      <c r="CZ27" s="53"/>
      <c r="DA27" s="53"/>
      <c r="DB27" s="53"/>
      <c r="DC27" s="53"/>
      <c r="DD27" s="53"/>
      <c r="DE27" s="53"/>
      <c r="DF27" s="53"/>
      <c r="DG27" s="53"/>
      <c r="DH27" s="53"/>
      <c r="DI27" s="53"/>
      <c r="DJ27" s="53"/>
      <c r="DK27" s="53"/>
      <c r="DL27" s="53"/>
      <c r="DM27" s="53"/>
      <c r="DN27" s="53"/>
      <c r="DO27" s="53"/>
      <c r="DP27" s="53"/>
      <c r="DQ27" s="53"/>
      <c r="DR27" s="53"/>
      <c r="DS27" s="53"/>
      <c r="DT27" s="53"/>
      <c r="DU27" s="53"/>
      <c r="DV27" s="53"/>
      <c r="DW27" s="53"/>
      <c r="DX27" s="53"/>
      <c r="DY27" s="53"/>
      <c r="DZ27" s="53"/>
      <c r="EA27" s="53"/>
      <c r="EB27" s="53"/>
      <c r="EC27" s="53"/>
      <c r="ED27" s="53"/>
      <c r="EE27" s="53"/>
      <c r="EF27" s="53"/>
      <c r="EG27" s="53"/>
      <c r="EH27" s="53"/>
      <c r="EI27" s="53"/>
      <c r="EJ27" s="53"/>
      <c r="EK27" s="53"/>
      <c r="EL27" s="53"/>
      <c r="EM27" s="53"/>
      <c r="EN27" s="53"/>
      <c r="EO27" s="53"/>
      <c r="EP27" s="53"/>
      <c r="EQ27" s="53"/>
      <c r="ER27" s="54"/>
      <c r="ES27" s="54"/>
      <c r="ET27" s="54"/>
      <c r="EU27" s="54"/>
      <c r="EV27" s="54"/>
      <c r="EW27" s="54"/>
      <c r="EX27" s="54"/>
      <c r="EY27" s="54"/>
      <c r="EZ27" s="54"/>
      <c r="FA27" s="54"/>
      <c r="FB27" s="54"/>
      <c r="FC27" s="54"/>
      <c r="FD27" s="54"/>
      <c r="FE27" s="54"/>
      <c r="FF27" s="54"/>
      <c r="FG27" s="54"/>
      <c r="FH27" s="54"/>
      <c r="FI27" s="54"/>
      <c r="FJ27" s="54"/>
      <c r="FK27" s="54"/>
      <c r="FL27" s="54"/>
      <c r="FM27" s="54"/>
      <c r="FN27" s="54"/>
      <c r="FO27" s="54"/>
      <c r="FP27" s="54"/>
      <c r="FQ27" s="54"/>
    </row>
    <row r="28" spans="1:173" s="15" customFormat="1" ht="110.25" customHeight="1" x14ac:dyDescent="0.25">
      <c r="A28" s="46" t="s">
        <v>241</v>
      </c>
      <c r="B28" s="46" t="s">
        <v>242</v>
      </c>
      <c r="C28" s="46" t="s">
        <v>243</v>
      </c>
      <c r="D28" s="46">
        <v>2019</v>
      </c>
      <c r="E28" s="47" t="s">
        <v>244</v>
      </c>
      <c r="F28" s="46">
        <v>43229</v>
      </c>
      <c r="G28" s="46">
        <v>45308</v>
      </c>
      <c r="H28" s="46" t="s">
        <v>245</v>
      </c>
      <c r="I28" s="46" t="s">
        <v>241</v>
      </c>
      <c r="J28" s="65">
        <v>3.8032407407407411E-2</v>
      </c>
      <c r="K28" s="46" t="s">
        <v>79</v>
      </c>
      <c r="L28" s="46" t="s">
        <v>246</v>
      </c>
      <c r="M28" s="46" t="s">
        <v>247</v>
      </c>
      <c r="N28" s="46" t="s">
        <v>248</v>
      </c>
      <c r="O28" s="46" t="s">
        <v>63</v>
      </c>
      <c r="P28" s="46" t="s">
        <v>120</v>
      </c>
      <c r="Q28" s="46">
        <v>2</v>
      </c>
      <c r="R28" s="46" t="s">
        <v>160</v>
      </c>
      <c r="S28" s="46" t="s">
        <v>84</v>
      </c>
      <c r="T28" s="46" t="s">
        <v>85</v>
      </c>
      <c r="U28" s="46" t="s">
        <v>121</v>
      </c>
      <c r="V28" s="46" t="s">
        <v>86</v>
      </c>
      <c r="W28" s="46" t="s">
        <v>70</v>
      </c>
      <c r="X28" s="48" t="s">
        <v>249</v>
      </c>
      <c r="Y28" s="48" t="s">
        <v>72</v>
      </c>
      <c r="Z28" s="48" t="s">
        <v>250</v>
      </c>
      <c r="AA28" s="29">
        <v>1</v>
      </c>
      <c r="AB28" s="41"/>
      <c r="AC28" s="41"/>
      <c r="AD28" s="41"/>
      <c r="AE28" s="39"/>
      <c r="AF28" s="40"/>
      <c r="AG28" s="32"/>
      <c r="AH28" s="33"/>
      <c r="AI28" s="32"/>
      <c r="AJ28" s="33"/>
      <c r="AK28" s="32"/>
      <c r="AL28" s="33"/>
      <c r="AM28" s="32"/>
      <c r="AN28" s="33"/>
      <c r="AO28" s="34"/>
      <c r="AP28" s="35"/>
      <c r="AQ28" s="34"/>
      <c r="AR28" s="35"/>
      <c r="AS28" s="34"/>
      <c r="AT28" s="35"/>
      <c r="AU28" s="36"/>
      <c r="AV28" s="37"/>
      <c r="AW28" s="36"/>
      <c r="AX28" s="52">
        <f t="shared" si="0"/>
        <v>0</v>
      </c>
      <c r="AY28" s="52"/>
      <c r="AZ28" s="52"/>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c r="CM28" s="53"/>
      <c r="CN28" s="53"/>
      <c r="CO28" s="53"/>
      <c r="CP28" s="53"/>
      <c r="CQ28" s="53"/>
      <c r="CR28" s="53"/>
      <c r="CS28" s="53"/>
      <c r="CT28" s="53"/>
      <c r="CU28" s="53"/>
      <c r="CV28" s="53"/>
      <c r="CW28" s="53"/>
      <c r="CX28" s="53"/>
      <c r="CY28" s="53"/>
      <c r="CZ28" s="53"/>
      <c r="DA28" s="53"/>
      <c r="DB28" s="53"/>
      <c r="DC28" s="53"/>
      <c r="DD28" s="53"/>
      <c r="DE28" s="53"/>
      <c r="DF28" s="53"/>
      <c r="DG28" s="53"/>
      <c r="DH28" s="53"/>
      <c r="DI28" s="53"/>
      <c r="DJ28" s="53"/>
      <c r="DK28" s="53"/>
      <c r="DL28" s="53"/>
      <c r="DM28" s="53"/>
      <c r="DN28" s="53"/>
      <c r="DO28" s="53"/>
      <c r="DP28" s="53"/>
      <c r="DQ28" s="53"/>
      <c r="DR28" s="53"/>
      <c r="DS28" s="53"/>
      <c r="DT28" s="53"/>
      <c r="DU28" s="53"/>
      <c r="DV28" s="53"/>
      <c r="DW28" s="53"/>
      <c r="DX28" s="53"/>
      <c r="DY28" s="53"/>
      <c r="DZ28" s="53"/>
      <c r="EA28" s="53"/>
      <c r="EB28" s="53"/>
      <c r="EC28" s="53"/>
      <c r="ED28" s="53"/>
      <c r="EE28" s="53"/>
      <c r="EF28" s="53"/>
      <c r="EG28" s="53"/>
      <c r="EH28" s="53"/>
      <c r="EI28" s="53"/>
      <c r="EJ28" s="53"/>
      <c r="EK28" s="53"/>
      <c r="EL28" s="53"/>
      <c r="EM28" s="53"/>
      <c r="EN28" s="53"/>
      <c r="EO28" s="53"/>
      <c r="EP28" s="53"/>
      <c r="EQ28" s="53"/>
      <c r="ER28" s="54"/>
      <c r="ES28" s="54"/>
      <c r="ET28" s="54"/>
      <c r="EU28" s="54"/>
      <c r="EV28" s="54"/>
      <c r="EW28" s="54"/>
      <c r="EX28" s="54"/>
      <c r="EY28" s="54"/>
      <c r="EZ28" s="54"/>
      <c r="FA28" s="54"/>
      <c r="FB28" s="54"/>
      <c r="FC28" s="54"/>
      <c r="FD28" s="54"/>
      <c r="FE28" s="54"/>
      <c r="FF28" s="54"/>
      <c r="FG28" s="54"/>
      <c r="FH28" s="54"/>
      <c r="FI28" s="54"/>
      <c r="FJ28" s="54"/>
      <c r="FK28" s="54"/>
      <c r="FL28" s="54"/>
      <c r="FM28" s="54"/>
      <c r="FN28" s="54"/>
      <c r="FO28" s="54"/>
      <c r="FP28" s="54"/>
      <c r="FQ28" s="54"/>
    </row>
    <row r="29" spans="1:173" s="15" customFormat="1" ht="110.25" customHeight="1" x14ac:dyDescent="0.25">
      <c r="A29" s="49" t="s">
        <v>241</v>
      </c>
      <c r="B29" s="49" t="s">
        <v>251</v>
      </c>
      <c r="C29" s="49" t="s">
        <v>243</v>
      </c>
      <c r="D29" s="49">
        <v>2019</v>
      </c>
      <c r="E29" s="49" t="s">
        <v>252</v>
      </c>
      <c r="F29" s="49">
        <v>44762</v>
      </c>
      <c r="G29" s="49">
        <v>47751</v>
      </c>
      <c r="H29" s="49" t="s">
        <v>185</v>
      </c>
      <c r="I29" s="49" t="s">
        <v>241</v>
      </c>
      <c r="J29" s="64">
        <v>3.8032407407407411E-2</v>
      </c>
      <c r="K29" s="49" t="s">
        <v>79</v>
      </c>
      <c r="L29" s="49" t="s">
        <v>246</v>
      </c>
      <c r="M29" s="49" t="s">
        <v>247</v>
      </c>
      <c r="N29" s="49" t="s">
        <v>186</v>
      </c>
      <c r="O29" s="49" t="s">
        <v>63</v>
      </c>
      <c r="P29" s="49" t="s">
        <v>120</v>
      </c>
      <c r="Q29" s="49">
        <v>2</v>
      </c>
      <c r="R29" s="49" t="s">
        <v>83</v>
      </c>
      <c r="S29" s="49" t="s">
        <v>84</v>
      </c>
      <c r="T29" s="49" t="s">
        <v>85</v>
      </c>
      <c r="U29" s="49" t="s">
        <v>187</v>
      </c>
      <c r="V29" s="49" t="s">
        <v>86</v>
      </c>
      <c r="W29" s="49" t="s">
        <v>123</v>
      </c>
      <c r="X29" s="51" t="s">
        <v>253</v>
      </c>
      <c r="Y29" s="51" t="s">
        <v>72</v>
      </c>
      <c r="Z29" s="51" t="s">
        <v>254</v>
      </c>
      <c r="AA29" s="29">
        <v>1</v>
      </c>
      <c r="AB29" s="41"/>
      <c r="AC29" s="41"/>
      <c r="AD29" s="41"/>
      <c r="AE29" s="39"/>
      <c r="AF29" s="40"/>
      <c r="AG29" s="32"/>
      <c r="AH29" s="33"/>
      <c r="AI29" s="32"/>
      <c r="AJ29" s="33"/>
      <c r="AK29" s="32"/>
      <c r="AL29" s="33"/>
      <c r="AM29" s="32"/>
      <c r="AN29" s="33"/>
      <c r="AO29" s="34"/>
      <c r="AP29" s="35"/>
      <c r="AQ29" s="34"/>
      <c r="AR29" s="35"/>
      <c r="AS29" s="34"/>
      <c r="AT29" s="35"/>
      <c r="AU29" s="36"/>
      <c r="AV29" s="37"/>
      <c r="AW29" s="36"/>
      <c r="AX29" s="52">
        <f t="shared" si="0"/>
        <v>0</v>
      </c>
      <c r="AY29" s="52"/>
      <c r="AZ29" s="52"/>
      <c r="BA29" s="53"/>
      <c r="BB29" s="53"/>
      <c r="BC29" s="53"/>
      <c r="BD29" s="53"/>
      <c r="BE29" s="53"/>
      <c r="BF29" s="53"/>
      <c r="BG29" s="53"/>
      <c r="BH29" s="53"/>
      <c r="BI29" s="53"/>
      <c r="BJ29" s="53"/>
      <c r="BK29" s="53"/>
      <c r="BL29" s="53"/>
      <c r="BM29" s="53"/>
      <c r="BN29" s="53"/>
      <c r="BO29" s="53"/>
      <c r="BP29" s="53"/>
      <c r="BQ29" s="53"/>
      <c r="BR29" s="53"/>
      <c r="BS29" s="53"/>
      <c r="BT29" s="53"/>
      <c r="BU29" s="53"/>
      <c r="BV29" s="53"/>
      <c r="BW29" s="53"/>
      <c r="BX29" s="53"/>
      <c r="BY29" s="53"/>
      <c r="BZ29" s="53"/>
      <c r="CA29" s="53"/>
      <c r="CB29" s="53"/>
      <c r="CC29" s="53"/>
      <c r="CD29" s="53"/>
      <c r="CE29" s="53"/>
      <c r="CF29" s="53"/>
      <c r="CG29" s="53"/>
      <c r="CH29" s="53"/>
      <c r="CI29" s="53"/>
      <c r="CJ29" s="53"/>
      <c r="CK29" s="53"/>
      <c r="CL29" s="53"/>
      <c r="CM29" s="53"/>
      <c r="CN29" s="53"/>
      <c r="CO29" s="53"/>
      <c r="CP29" s="53"/>
      <c r="CQ29" s="53"/>
      <c r="CR29" s="53"/>
      <c r="CS29" s="53"/>
      <c r="CT29" s="53"/>
      <c r="CU29" s="53"/>
      <c r="CV29" s="53"/>
      <c r="CW29" s="53"/>
      <c r="CX29" s="53"/>
      <c r="CY29" s="53"/>
      <c r="CZ29" s="53"/>
      <c r="DA29" s="53"/>
      <c r="DB29" s="53"/>
      <c r="DC29" s="53"/>
      <c r="DD29" s="53"/>
      <c r="DE29" s="53"/>
      <c r="DF29" s="53"/>
      <c r="DG29" s="53"/>
      <c r="DH29" s="53"/>
      <c r="DI29" s="53"/>
      <c r="DJ29" s="53"/>
      <c r="DK29" s="53"/>
      <c r="DL29" s="53"/>
      <c r="DM29" s="53"/>
      <c r="DN29" s="53"/>
      <c r="DO29" s="53"/>
      <c r="DP29" s="53"/>
      <c r="DQ29" s="53"/>
      <c r="DR29" s="53"/>
      <c r="DS29" s="53"/>
      <c r="DT29" s="53"/>
      <c r="DU29" s="53"/>
      <c r="DV29" s="53"/>
      <c r="DW29" s="53"/>
      <c r="DX29" s="53"/>
      <c r="DY29" s="53"/>
      <c r="DZ29" s="53"/>
      <c r="EA29" s="53"/>
      <c r="EB29" s="53"/>
      <c r="EC29" s="53"/>
      <c r="ED29" s="53"/>
      <c r="EE29" s="53"/>
      <c r="EF29" s="53"/>
      <c r="EG29" s="53"/>
      <c r="EH29" s="53"/>
      <c r="EI29" s="53"/>
      <c r="EJ29" s="53"/>
      <c r="EK29" s="53"/>
      <c r="EL29" s="53"/>
      <c r="EM29" s="53"/>
      <c r="EN29" s="53"/>
      <c r="EO29" s="53"/>
      <c r="EP29" s="53"/>
      <c r="EQ29" s="53"/>
      <c r="ER29" s="54"/>
      <c r="ES29" s="54"/>
      <c r="ET29" s="54"/>
      <c r="EU29" s="54"/>
      <c r="EV29" s="54"/>
      <c r="EW29" s="54"/>
      <c r="EX29" s="54"/>
      <c r="EY29" s="54"/>
      <c r="EZ29" s="54"/>
      <c r="FA29" s="54"/>
      <c r="FB29" s="54"/>
      <c r="FC29" s="54"/>
      <c r="FD29" s="54"/>
      <c r="FE29" s="54"/>
      <c r="FF29" s="54"/>
      <c r="FG29" s="54"/>
      <c r="FH29" s="54"/>
      <c r="FI29" s="54"/>
      <c r="FJ29" s="54"/>
      <c r="FK29" s="54"/>
      <c r="FL29" s="54"/>
      <c r="FM29" s="54"/>
      <c r="FN29" s="54"/>
      <c r="FO29" s="54"/>
      <c r="FP29" s="54"/>
      <c r="FQ29" s="54"/>
    </row>
    <row r="30" spans="1:173" ht="110.25" customHeight="1" x14ac:dyDescent="0.25">
      <c r="A30" s="46" t="s">
        <v>255</v>
      </c>
      <c r="B30" s="46" t="s">
        <v>256</v>
      </c>
      <c r="C30" s="46" t="s">
        <v>257</v>
      </c>
      <c r="D30" s="46">
        <v>2020</v>
      </c>
      <c r="E30" s="47" t="s">
        <v>258</v>
      </c>
      <c r="F30" s="46">
        <v>951570</v>
      </c>
      <c r="G30" s="46">
        <v>953310</v>
      </c>
      <c r="H30" s="46" t="s">
        <v>259</v>
      </c>
      <c r="I30" s="46" t="s">
        <v>255</v>
      </c>
      <c r="J30" s="65">
        <v>2.1030092592592593E-2</v>
      </c>
      <c r="K30" s="46" t="s">
        <v>59</v>
      </c>
      <c r="L30" s="46" t="s">
        <v>260</v>
      </c>
      <c r="M30" s="46" t="s">
        <v>261</v>
      </c>
      <c r="N30" s="46" t="s">
        <v>97</v>
      </c>
      <c r="O30" s="46" t="s">
        <v>98</v>
      </c>
      <c r="P30" s="46" t="s">
        <v>262</v>
      </c>
      <c r="Q30" s="46">
        <v>3</v>
      </c>
      <c r="R30" s="46" t="s">
        <v>99</v>
      </c>
      <c r="S30" s="46" t="s">
        <v>66</v>
      </c>
      <c r="T30" s="46" t="s">
        <v>67</v>
      </c>
      <c r="U30" s="46" t="s">
        <v>263</v>
      </c>
      <c r="V30" s="46" t="s">
        <v>69</v>
      </c>
      <c r="W30" s="46" t="s">
        <v>100</v>
      </c>
      <c r="X30" s="48" t="s">
        <v>264</v>
      </c>
      <c r="Y30" s="48" t="s">
        <v>72</v>
      </c>
      <c r="Z30" s="48" t="s">
        <v>265</v>
      </c>
      <c r="AA30" s="29"/>
      <c r="AB30" s="30"/>
      <c r="AC30" s="38"/>
      <c r="AD30" s="29"/>
      <c r="AE30" s="39">
        <v>1</v>
      </c>
      <c r="AF30" s="40"/>
      <c r="AG30" s="32"/>
      <c r="AH30" s="33"/>
      <c r="AI30" s="32"/>
      <c r="AJ30" s="33"/>
      <c r="AK30" s="32">
        <v>1</v>
      </c>
      <c r="AL30" s="33"/>
      <c r="AM30" s="32"/>
      <c r="AN30" s="33"/>
      <c r="AO30" s="34"/>
      <c r="AP30" s="35"/>
      <c r="AQ30" s="34"/>
      <c r="AR30" s="35"/>
      <c r="AS30" s="34">
        <v>1</v>
      </c>
      <c r="AT30" s="35"/>
      <c r="AU30" s="36"/>
      <c r="AV30" s="37"/>
      <c r="AW30" s="36"/>
      <c r="AX30" s="52">
        <f t="shared" ref="AX30:AX33" si="1">IF(SUM(COUNTIF(AG30:AN30,1), COUNTIF(AO30:AT30,1), COUNTIF(AU30:AW30,1))&gt;1, 1, 0)</f>
        <v>1</v>
      </c>
      <c r="AY30" s="52"/>
      <c r="AZ30" s="52"/>
    </row>
    <row r="31" spans="1:173" ht="110.25" customHeight="1" x14ac:dyDescent="0.25">
      <c r="A31" s="49" t="s">
        <v>266</v>
      </c>
      <c r="B31" s="49" t="s">
        <v>267</v>
      </c>
      <c r="C31" s="49" t="s">
        <v>268</v>
      </c>
      <c r="D31" s="49" t="s">
        <v>114</v>
      </c>
      <c r="E31" s="50" t="s">
        <v>269</v>
      </c>
      <c r="F31" s="49">
        <v>1090141</v>
      </c>
      <c r="G31" s="49">
        <v>1094222</v>
      </c>
      <c r="H31" s="49" t="s">
        <v>270</v>
      </c>
      <c r="I31" s="49" t="s">
        <v>266</v>
      </c>
      <c r="J31" s="64">
        <v>3.5231481481481482E-2</v>
      </c>
      <c r="K31" s="49" t="s">
        <v>79</v>
      </c>
      <c r="L31" s="49" t="s">
        <v>271</v>
      </c>
      <c r="M31" s="49" t="s">
        <v>272</v>
      </c>
      <c r="N31" s="49" t="s">
        <v>273</v>
      </c>
      <c r="O31" s="49" t="s">
        <v>98</v>
      </c>
      <c r="P31" s="49" t="s">
        <v>120</v>
      </c>
      <c r="Q31" s="49">
        <v>1</v>
      </c>
      <c r="R31" s="49" t="s">
        <v>83</v>
      </c>
      <c r="S31" s="49" t="s">
        <v>66</v>
      </c>
      <c r="T31" s="49" t="s">
        <v>85</v>
      </c>
      <c r="U31" s="49" t="s">
        <v>121</v>
      </c>
      <c r="V31" s="49" t="s">
        <v>274</v>
      </c>
      <c r="W31" s="49" t="s">
        <v>123</v>
      </c>
      <c r="X31" s="51" t="s">
        <v>275</v>
      </c>
      <c r="Y31" s="51" t="s">
        <v>72</v>
      </c>
      <c r="Z31" s="51" t="s">
        <v>276</v>
      </c>
      <c r="AA31" s="29"/>
      <c r="AB31" s="30"/>
      <c r="AC31" s="38"/>
      <c r="AD31" s="29"/>
      <c r="AE31" s="39">
        <v>1</v>
      </c>
      <c r="AF31" s="40"/>
      <c r="AG31" s="32"/>
      <c r="AH31" s="33"/>
      <c r="AI31" s="32"/>
      <c r="AJ31" s="33"/>
      <c r="AK31" s="32"/>
      <c r="AL31" s="33"/>
      <c r="AM31" s="32">
        <v>1</v>
      </c>
      <c r="AN31" s="33"/>
      <c r="AO31" s="34"/>
      <c r="AP31" s="35"/>
      <c r="AQ31" s="34"/>
      <c r="AR31" s="35"/>
      <c r="AS31" s="34"/>
      <c r="AT31" s="35"/>
      <c r="AU31" s="36"/>
      <c r="AV31" s="37"/>
      <c r="AW31" s="36"/>
      <c r="AX31" s="52">
        <f t="shared" si="1"/>
        <v>0</v>
      </c>
      <c r="AY31" s="52"/>
      <c r="AZ31" s="52"/>
    </row>
    <row r="32" spans="1:173" ht="110.25" customHeight="1" x14ac:dyDescent="0.25">
      <c r="A32" s="46" t="s">
        <v>277</v>
      </c>
      <c r="B32" s="46" t="s">
        <v>278</v>
      </c>
      <c r="C32" s="46" t="s">
        <v>279</v>
      </c>
      <c r="D32" s="46">
        <v>2020</v>
      </c>
      <c r="E32" s="47" t="s">
        <v>280</v>
      </c>
      <c r="F32" s="46">
        <v>21193</v>
      </c>
      <c r="G32" s="46">
        <v>26632</v>
      </c>
      <c r="H32" s="46" t="s">
        <v>281</v>
      </c>
      <c r="I32" s="46" t="s">
        <v>277</v>
      </c>
      <c r="J32" s="65">
        <v>2.0844907407407406E-2</v>
      </c>
      <c r="K32" s="46" t="s">
        <v>59</v>
      </c>
      <c r="L32" s="46" t="s">
        <v>282</v>
      </c>
      <c r="M32" s="46" t="s">
        <v>283</v>
      </c>
      <c r="N32" s="46" t="s">
        <v>97</v>
      </c>
      <c r="O32" s="46" t="s">
        <v>63</v>
      </c>
      <c r="P32" s="46" t="s">
        <v>284</v>
      </c>
      <c r="Q32" s="46">
        <v>2</v>
      </c>
      <c r="R32" s="46" t="s">
        <v>99</v>
      </c>
      <c r="S32" s="46" t="s">
        <v>66</v>
      </c>
      <c r="T32" s="46" t="s">
        <v>67</v>
      </c>
      <c r="U32" s="46" t="s">
        <v>68</v>
      </c>
      <c r="V32" s="46" t="s">
        <v>69</v>
      </c>
      <c r="W32" s="46" t="s">
        <v>100</v>
      </c>
      <c r="X32" s="48" t="s">
        <v>285</v>
      </c>
      <c r="Y32" s="48" t="s">
        <v>72</v>
      </c>
      <c r="Z32" s="48" t="s">
        <v>286</v>
      </c>
      <c r="AA32" s="29"/>
      <c r="AB32" s="30"/>
      <c r="AC32" s="38"/>
      <c r="AD32" s="29"/>
      <c r="AE32" s="39">
        <v>1</v>
      </c>
      <c r="AF32" s="40"/>
      <c r="AG32" s="32"/>
      <c r="AH32" s="33"/>
      <c r="AI32" s="32"/>
      <c r="AJ32" s="33"/>
      <c r="AK32" s="32"/>
      <c r="AL32" s="33"/>
      <c r="AM32" s="32"/>
      <c r="AN32" s="33"/>
      <c r="AO32" s="34">
        <v>1</v>
      </c>
      <c r="AP32" s="35"/>
      <c r="AQ32" s="34"/>
      <c r="AR32" s="35"/>
      <c r="AS32" s="34"/>
      <c r="AT32" s="35"/>
      <c r="AU32" s="36"/>
      <c r="AV32" s="37"/>
      <c r="AW32" s="36"/>
      <c r="AX32" s="52">
        <f t="shared" si="1"/>
        <v>0</v>
      </c>
      <c r="AY32" s="52"/>
      <c r="AZ32" s="52"/>
    </row>
    <row r="33" spans="1:52" ht="110.25" customHeight="1" x14ac:dyDescent="0.25">
      <c r="A33" s="49" t="s">
        <v>277</v>
      </c>
      <c r="B33" s="49" t="s">
        <v>287</v>
      </c>
      <c r="C33" s="49" t="s">
        <v>279</v>
      </c>
      <c r="D33" s="49">
        <v>2020</v>
      </c>
      <c r="E33" s="50" t="s">
        <v>288</v>
      </c>
      <c r="F33" s="49">
        <v>29198</v>
      </c>
      <c r="G33" s="49">
        <v>30300</v>
      </c>
      <c r="H33" s="49" t="s">
        <v>281</v>
      </c>
      <c r="I33" s="49" t="s">
        <v>277</v>
      </c>
      <c r="J33" s="64">
        <v>2.0844907407407406E-2</v>
      </c>
      <c r="K33" s="49" t="s">
        <v>59</v>
      </c>
      <c r="L33" s="49" t="s">
        <v>282</v>
      </c>
      <c r="M33" s="49" t="s">
        <v>283</v>
      </c>
      <c r="N33" s="49" t="s">
        <v>97</v>
      </c>
      <c r="O33" s="49" t="s">
        <v>63</v>
      </c>
      <c r="P33" s="49" t="s">
        <v>284</v>
      </c>
      <c r="Q33" s="49">
        <v>2</v>
      </c>
      <c r="R33" s="49" t="s">
        <v>99</v>
      </c>
      <c r="S33" s="49" t="s">
        <v>66</v>
      </c>
      <c r="T33" s="49" t="s">
        <v>67</v>
      </c>
      <c r="U33" s="49" t="s">
        <v>68</v>
      </c>
      <c r="V33" s="49" t="s">
        <v>69</v>
      </c>
      <c r="W33" s="49" t="s">
        <v>100</v>
      </c>
      <c r="X33" s="51" t="s">
        <v>289</v>
      </c>
      <c r="Y33" s="51" t="s">
        <v>72</v>
      </c>
      <c r="Z33" s="51" t="s">
        <v>290</v>
      </c>
      <c r="AA33" s="29"/>
      <c r="AB33" s="30"/>
      <c r="AC33" s="38"/>
      <c r="AD33" s="29"/>
      <c r="AE33" s="39">
        <v>1</v>
      </c>
      <c r="AF33" s="40"/>
      <c r="AG33" s="32">
        <v>1</v>
      </c>
      <c r="AH33" s="33"/>
      <c r="AI33" s="32">
        <v>1</v>
      </c>
      <c r="AJ33" s="33"/>
      <c r="AK33" s="32"/>
      <c r="AL33" s="33"/>
      <c r="AM33" s="32"/>
      <c r="AN33" s="33"/>
      <c r="AO33" s="34"/>
      <c r="AP33" s="35"/>
      <c r="AQ33" s="34"/>
      <c r="AR33" s="35"/>
      <c r="AS33" s="34"/>
      <c r="AT33" s="35"/>
      <c r="AU33" s="36"/>
      <c r="AV33" s="37"/>
      <c r="AW33" s="36"/>
      <c r="AX33" s="52">
        <f t="shared" si="1"/>
        <v>1</v>
      </c>
      <c r="AY33" s="52"/>
      <c r="AZ33" s="52"/>
    </row>
    <row r="34" spans="1:52" ht="110.25" customHeight="1" x14ac:dyDescent="0.25">
      <c r="A34" s="46" t="s">
        <v>277</v>
      </c>
      <c r="B34" s="46" t="s">
        <v>291</v>
      </c>
      <c r="C34" s="46" t="s">
        <v>279</v>
      </c>
      <c r="D34" s="46">
        <v>2020</v>
      </c>
      <c r="E34" s="46" t="s">
        <v>292</v>
      </c>
      <c r="F34" s="46">
        <v>35785</v>
      </c>
      <c r="G34" s="46">
        <v>36989</v>
      </c>
      <c r="H34" s="46" t="s">
        <v>281</v>
      </c>
      <c r="I34" s="46" t="s">
        <v>277</v>
      </c>
      <c r="J34" s="65">
        <v>2.0844907407407406E-2</v>
      </c>
      <c r="K34" s="46" t="s">
        <v>59</v>
      </c>
      <c r="L34" s="46" t="s">
        <v>282</v>
      </c>
      <c r="M34" s="46" t="s">
        <v>283</v>
      </c>
      <c r="N34" s="46" t="s">
        <v>97</v>
      </c>
      <c r="O34" s="46" t="s">
        <v>63</v>
      </c>
      <c r="P34" s="46" t="s">
        <v>284</v>
      </c>
      <c r="Q34" s="46">
        <v>2</v>
      </c>
      <c r="R34" s="46" t="s">
        <v>99</v>
      </c>
      <c r="S34" s="46" t="s">
        <v>66</v>
      </c>
      <c r="T34" s="46" t="s">
        <v>67</v>
      </c>
      <c r="U34" s="46" t="s">
        <v>68</v>
      </c>
      <c r="V34" s="46" t="s">
        <v>69</v>
      </c>
      <c r="W34" s="46" t="s">
        <v>100</v>
      </c>
      <c r="X34" s="48" t="s">
        <v>293</v>
      </c>
      <c r="Y34" s="48" t="s">
        <v>72</v>
      </c>
      <c r="Z34" s="48" t="s">
        <v>294</v>
      </c>
      <c r="AA34" s="29"/>
      <c r="AB34" s="30"/>
      <c r="AC34" s="38"/>
      <c r="AD34" s="29"/>
      <c r="AE34" s="39">
        <v>1</v>
      </c>
      <c r="AF34" s="40"/>
      <c r="AG34" s="32">
        <v>1</v>
      </c>
      <c r="AH34" s="33"/>
      <c r="AI34" s="32">
        <v>1</v>
      </c>
      <c r="AJ34" s="33"/>
      <c r="AK34" s="32"/>
      <c r="AL34" s="33"/>
      <c r="AM34" s="32"/>
      <c r="AN34" s="33"/>
      <c r="AO34" s="34"/>
      <c r="AP34" s="35"/>
      <c r="AQ34" s="34"/>
      <c r="AR34" s="35"/>
      <c r="AS34" s="34"/>
      <c r="AT34" s="35"/>
      <c r="AU34" s="36"/>
      <c r="AV34" s="37"/>
      <c r="AW34" s="36"/>
      <c r="AX34" s="52">
        <f t="shared" ref="AX34:AX51" si="2">IF(SUM(COUNTIF(AG34:AN34,1), COUNTIF(AO34:AT34,1), COUNTIF(AU34:AW34,1))&gt;1, 1, 0)</f>
        <v>1</v>
      </c>
      <c r="AY34" s="52"/>
      <c r="AZ34" s="52"/>
    </row>
    <row r="35" spans="1:52" ht="110.25" customHeight="1" x14ac:dyDescent="0.25">
      <c r="A35" s="49" t="s">
        <v>295</v>
      </c>
      <c r="B35" s="49" t="s">
        <v>296</v>
      </c>
      <c r="C35" s="49" t="s">
        <v>297</v>
      </c>
      <c r="D35" s="49">
        <v>2022</v>
      </c>
      <c r="E35" s="50" t="s">
        <v>298</v>
      </c>
      <c r="F35" s="49">
        <v>2022480</v>
      </c>
      <c r="G35" s="49">
        <v>2025227</v>
      </c>
      <c r="H35" s="49" t="s">
        <v>197</v>
      </c>
      <c r="I35" s="49" t="s">
        <v>295</v>
      </c>
      <c r="J35" s="64">
        <v>2.3842592592592592E-2</v>
      </c>
      <c r="K35" s="49" t="s">
        <v>79</v>
      </c>
      <c r="L35" s="50" t="s">
        <v>299</v>
      </c>
      <c r="M35" s="49" t="s">
        <v>300</v>
      </c>
      <c r="N35" s="49" t="s">
        <v>97</v>
      </c>
      <c r="O35" s="49" t="s">
        <v>63</v>
      </c>
      <c r="P35" s="49" t="s">
        <v>64</v>
      </c>
      <c r="Q35" s="49">
        <v>2</v>
      </c>
      <c r="R35" s="49" t="s">
        <v>99</v>
      </c>
      <c r="S35" s="49" t="s">
        <v>84</v>
      </c>
      <c r="T35" s="49" t="s">
        <v>85</v>
      </c>
      <c r="U35" s="49" t="s">
        <v>68</v>
      </c>
      <c r="V35" s="49" t="s">
        <v>86</v>
      </c>
      <c r="W35" s="49" t="s">
        <v>100</v>
      </c>
      <c r="X35" s="51" t="s">
        <v>301</v>
      </c>
      <c r="Y35" s="51" t="s">
        <v>72</v>
      </c>
      <c r="Z35" s="51" t="s">
        <v>302</v>
      </c>
      <c r="AA35" s="29"/>
      <c r="AB35" s="30"/>
      <c r="AC35" s="38"/>
      <c r="AD35" s="29"/>
      <c r="AE35" s="39">
        <v>1</v>
      </c>
      <c r="AF35" s="40"/>
      <c r="AG35" s="32"/>
      <c r="AH35" s="33"/>
      <c r="AI35" s="32"/>
      <c r="AJ35" s="33"/>
      <c r="AK35" s="32"/>
      <c r="AL35" s="33"/>
      <c r="AM35" s="32"/>
      <c r="AN35" s="33"/>
      <c r="AO35" s="34"/>
      <c r="AP35" s="35"/>
      <c r="AQ35" s="34">
        <v>1</v>
      </c>
      <c r="AR35" s="35"/>
      <c r="AS35" s="34"/>
      <c r="AT35" s="35"/>
      <c r="AU35" s="36"/>
      <c r="AV35" s="37"/>
      <c r="AW35" s="36"/>
      <c r="AX35" s="52">
        <f t="shared" si="2"/>
        <v>0</v>
      </c>
      <c r="AY35" s="52"/>
      <c r="AZ35" s="52"/>
    </row>
    <row r="36" spans="1:52" ht="110.25" customHeight="1" x14ac:dyDescent="0.25">
      <c r="A36" s="46" t="s">
        <v>295</v>
      </c>
      <c r="B36" s="46" t="s">
        <v>303</v>
      </c>
      <c r="C36" s="46" t="s">
        <v>297</v>
      </c>
      <c r="D36" s="46">
        <v>2022</v>
      </c>
      <c r="E36" s="47" t="s">
        <v>304</v>
      </c>
      <c r="F36" s="46">
        <v>2030387</v>
      </c>
      <c r="G36" s="46">
        <v>2031893</v>
      </c>
      <c r="H36" s="46" t="s">
        <v>197</v>
      </c>
      <c r="I36" s="46" t="s">
        <v>295</v>
      </c>
      <c r="J36" s="65">
        <v>2.3842592592592592E-2</v>
      </c>
      <c r="K36" s="46" t="s">
        <v>79</v>
      </c>
      <c r="L36" s="46" t="s">
        <v>299</v>
      </c>
      <c r="M36" s="46" t="s">
        <v>300</v>
      </c>
      <c r="N36" s="46" t="s">
        <v>97</v>
      </c>
      <c r="O36" s="46" t="s">
        <v>63</v>
      </c>
      <c r="P36" s="46" t="s">
        <v>64</v>
      </c>
      <c r="Q36" s="46">
        <v>2</v>
      </c>
      <c r="R36" s="46" t="s">
        <v>99</v>
      </c>
      <c r="S36" s="46" t="s">
        <v>84</v>
      </c>
      <c r="T36" s="46" t="s">
        <v>85</v>
      </c>
      <c r="U36" s="46" t="s">
        <v>68</v>
      </c>
      <c r="V36" s="46" t="s">
        <v>86</v>
      </c>
      <c r="W36" s="46" t="s">
        <v>100</v>
      </c>
      <c r="X36" s="48" t="s">
        <v>305</v>
      </c>
      <c r="Y36" s="48" t="s">
        <v>72</v>
      </c>
      <c r="Z36" s="48" t="s">
        <v>306</v>
      </c>
      <c r="AA36" s="29"/>
      <c r="AB36" s="30"/>
      <c r="AC36" s="38"/>
      <c r="AD36" s="29"/>
      <c r="AE36" s="39">
        <v>1</v>
      </c>
      <c r="AF36" s="40"/>
      <c r="AG36" s="32"/>
      <c r="AH36" s="33"/>
      <c r="AI36" s="32"/>
      <c r="AJ36" s="33"/>
      <c r="AK36" s="32"/>
      <c r="AL36" s="33"/>
      <c r="AM36" s="32"/>
      <c r="AN36" s="33">
        <v>1</v>
      </c>
      <c r="AO36" s="34"/>
      <c r="AP36" s="35">
        <v>1</v>
      </c>
      <c r="AQ36" s="34"/>
      <c r="AR36" s="35"/>
      <c r="AS36" s="34"/>
      <c r="AT36" s="35"/>
      <c r="AU36" s="36"/>
      <c r="AV36" s="37"/>
      <c r="AW36" s="36"/>
      <c r="AX36" s="52">
        <f t="shared" si="2"/>
        <v>1</v>
      </c>
      <c r="AY36" s="52"/>
      <c r="AZ36" s="52"/>
    </row>
    <row r="37" spans="1:52" ht="110.25" customHeight="1" x14ac:dyDescent="0.25">
      <c r="A37" s="49" t="s">
        <v>295</v>
      </c>
      <c r="B37" s="49" t="s">
        <v>307</v>
      </c>
      <c r="C37" s="49" t="s">
        <v>297</v>
      </c>
      <c r="D37" s="49">
        <v>2022</v>
      </c>
      <c r="E37" s="49" t="s">
        <v>308</v>
      </c>
      <c r="F37" s="49">
        <v>2032773</v>
      </c>
      <c r="G37" s="49">
        <v>2036505</v>
      </c>
      <c r="H37" s="49" t="s">
        <v>197</v>
      </c>
      <c r="I37" s="49" t="s">
        <v>295</v>
      </c>
      <c r="J37" s="64">
        <v>2.3842592592592592E-2</v>
      </c>
      <c r="K37" s="49" t="s">
        <v>79</v>
      </c>
      <c r="L37" s="49" t="s">
        <v>299</v>
      </c>
      <c r="M37" s="49" t="s">
        <v>300</v>
      </c>
      <c r="N37" s="49" t="s">
        <v>97</v>
      </c>
      <c r="O37" s="49" t="s">
        <v>63</v>
      </c>
      <c r="P37" s="49" t="s">
        <v>64</v>
      </c>
      <c r="Q37" s="49">
        <v>2</v>
      </c>
      <c r="R37" s="49" t="s">
        <v>99</v>
      </c>
      <c r="S37" s="49" t="s">
        <v>84</v>
      </c>
      <c r="T37" s="49" t="s">
        <v>85</v>
      </c>
      <c r="U37" s="49" t="s">
        <v>68</v>
      </c>
      <c r="V37" s="49" t="s">
        <v>86</v>
      </c>
      <c r="W37" s="49" t="s">
        <v>100</v>
      </c>
      <c r="X37" s="51" t="s">
        <v>309</v>
      </c>
      <c r="Y37" s="51" t="s">
        <v>72</v>
      </c>
      <c r="Z37" s="51" t="s">
        <v>310</v>
      </c>
      <c r="AA37" s="29"/>
      <c r="AB37" s="30"/>
      <c r="AC37" s="38"/>
      <c r="AD37" s="29"/>
      <c r="AE37" s="39">
        <v>1</v>
      </c>
      <c r="AF37" s="40"/>
      <c r="AG37" s="32"/>
      <c r="AH37" s="33"/>
      <c r="AI37" s="32"/>
      <c r="AJ37" s="33"/>
      <c r="AK37" s="32"/>
      <c r="AL37" s="33"/>
      <c r="AM37" s="32"/>
      <c r="AN37" s="33">
        <v>1</v>
      </c>
      <c r="AO37" s="34"/>
      <c r="AP37" s="35">
        <v>1</v>
      </c>
      <c r="AQ37" s="34"/>
      <c r="AR37" s="35"/>
      <c r="AS37" s="34"/>
      <c r="AT37" s="35"/>
      <c r="AU37" s="36"/>
      <c r="AV37" s="37"/>
      <c r="AW37" s="36"/>
      <c r="AX37" s="52">
        <f t="shared" si="2"/>
        <v>1</v>
      </c>
      <c r="AY37" s="52"/>
      <c r="AZ37" s="52"/>
    </row>
    <row r="38" spans="1:52" ht="110.25" customHeight="1" x14ac:dyDescent="0.25">
      <c r="A38" s="46" t="s">
        <v>295</v>
      </c>
      <c r="B38" s="46" t="s">
        <v>311</v>
      </c>
      <c r="C38" s="46" t="s">
        <v>297</v>
      </c>
      <c r="D38" s="46">
        <v>2022</v>
      </c>
      <c r="E38" s="47" t="s">
        <v>312</v>
      </c>
      <c r="F38" s="46">
        <v>2057527</v>
      </c>
      <c r="G38" s="46">
        <v>2060821</v>
      </c>
      <c r="H38" s="46" t="s">
        <v>197</v>
      </c>
      <c r="I38" s="46" t="s">
        <v>295</v>
      </c>
      <c r="J38" s="65">
        <v>2.3842592592592592E-2</v>
      </c>
      <c r="K38" s="46" t="s">
        <v>79</v>
      </c>
      <c r="L38" s="46" t="s">
        <v>299</v>
      </c>
      <c r="M38" s="46" t="s">
        <v>300</v>
      </c>
      <c r="N38" s="46" t="s">
        <v>97</v>
      </c>
      <c r="O38" s="46" t="s">
        <v>63</v>
      </c>
      <c r="P38" s="46" t="s">
        <v>64</v>
      </c>
      <c r="Q38" s="46">
        <v>2</v>
      </c>
      <c r="R38" s="46" t="s">
        <v>99</v>
      </c>
      <c r="S38" s="46" t="s">
        <v>84</v>
      </c>
      <c r="T38" s="46" t="s">
        <v>85</v>
      </c>
      <c r="U38" s="46" t="s">
        <v>68</v>
      </c>
      <c r="V38" s="46" t="s">
        <v>86</v>
      </c>
      <c r="W38" s="46" t="s">
        <v>100</v>
      </c>
      <c r="X38" s="48" t="s">
        <v>313</v>
      </c>
      <c r="Y38" s="48" t="s">
        <v>72</v>
      </c>
      <c r="Z38" s="48" t="s">
        <v>314</v>
      </c>
      <c r="AA38" s="29"/>
      <c r="AB38" s="30"/>
      <c r="AC38" s="38"/>
      <c r="AD38" s="29"/>
      <c r="AE38" s="39">
        <v>1</v>
      </c>
      <c r="AF38" s="40"/>
      <c r="AG38" s="32"/>
      <c r="AH38" s="33"/>
      <c r="AI38" s="32"/>
      <c r="AJ38" s="33"/>
      <c r="AK38" s="32"/>
      <c r="AL38" s="33"/>
      <c r="AM38" s="32"/>
      <c r="AN38" s="33">
        <v>1</v>
      </c>
      <c r="AO38" s="34"/>
      <c r="AP38" s="35"/>
      <c r="AQ38" s="34"/>
      <c r="AR38" s="35"/>
      <c r="AS38" s="34"/>
      <c r="AT38" s="35"/>
      <c r="AU38" s="36"/>
      <c r="AV38" s="37"/>
      <c r="AW38" s="36"/>
      <c r="AX38" s="52">
        <f t="shared" si="2"/>
        <v>0</v>
      </c>
      <c r="AY38" s="52"/>
      <c r="AZ38" s="52"/>
    </row>
    <row r="39" spans="1:52" ht="110.25" customHeight="1" x14ac:dyDescent="0.25">
      <c r="A39" s="49" t="s">
        <v>315</v>
      </c>
      <c r="B39" s="49" t="s">
        <v>316</v>
      </c>
      <c r="C39" s="49" t="s">
        <v>317</v>
      </c>
      <c r="D39" s="49">
        <v>2022</v>
      </c>
      <c r="E39" s="50" t="s">
        <v>318</v>
      </c>
      <c r="F39" s="49">
        <v>3170640</v>
      </c>
      <c r="G39" s="49">
        <v>3173380</v>
      </c>
      <c r="H39" s="49" t="s">
        <v>319</v>
      </c>
      <c r="I39" s="49" t="s">
        <v>315</v>
      </c>
      <c r="J39" s="64">
        <v>3.6793981481481483E-2</v>
      </c>
      <c r="K39" s="49" t="s">
        <v>79</v>
      </c>
      <c r="L39" s="49" t="s">
        <v>320</v>
      </c>
      <c r="M39" s="49" t="s">
        <v>321</v>
      </c>
      <c r="N39" s="49" t="s">
        <v>97</v>
      </c>
      <c r="O39" s="49" t="s">
        <v>63</v>
      </c>
      <c r="P39" s="49" t="s">
        <v>64</v>
      </c>
      <c r="Q39" s="49">
        <v>2</v>
      </c>
      <c r="R39" s="49" t="s">
        <v>99</v>
      </c>
      <c r="S39" s="49" t="s">
        <v>84</v>
      </c>
      <c r="T39" s="49" t="s">
        <v>85</v>
      </c>
      <c r="U39" s="49" t="s">
        <v>68</v>
      </c>
      <c r="V39" s="49" t="s">
        <v>86</v>
      </c>
      <c r="W39" s="49" t="s">
        <v>87</v>
      </c>
      <c r="X39" s="51" t="s">
        <v>322</v>
      </c>
      <c r="Y39" s="51" t="s">
        <v>72</v>
      </c>
      <c r="Z39" s="51" t="s">
        <v>323</v>
      </c>
      <c r="AA39" s="29"/>
      <c r="AB39" s="30"/>
      <c r="AC39" s="38"/>
      <c r="AD39" s="29"/>
      <c r="AE39" s="39">
        <v>1</v>
      </c>
      <c r="AF39" s="40"/>
      <c r="AG39" s="32"/>
      <c r="AH39" s="33"/>
      <c r="AI39" s="32"/>
      <c r="AJ39" s="33"/>
      <c r="AK39" s="32"/>
      <c r="AL39" s="33"/>
      <c r="AM39" s="32"/>
      <c r="AN39" s="33">
        <v>1</v>
      </c>
      <c r="AO39" s="34"/>
      <c r="AP39" s="35"/>
      <c r="AQ39" s="34"/>
      <c r="AR39" s="35"/>
      <c r="AS39" s="34"/>
      <c r="AT39" s="35"/>
      <c r="AU39" s="36"/>
      <c r="AV39" s="37"/>
      <c r="AW39" s="36"/>
      <c r="AX39" s="52">
        <f t="shared" si="2"/>
        <v>0</v>
      </c>
      <c r="AY39" s="52"/>
      <c r="AZ39" s="52"/>
    </row>
    <row r="40" spans="1:52" ht="110.25" customHeight="1" x14ac:dyDescent="0.25">
      <c r="A40" s="46" t="s">
        <v>324</v>
      </c>
      <c r="B40" s="46" t="s">
        <v>325</v>
      </c>
      <c r="C40" s="46" t="s">
        <v>326</v>
      </c>
      <c r="D40" s="46">
        <v>2022</v>
      </c>
      <c r="E40" s="47" t="s">
        <v>327</v>
      </c>
      <c r="F40" s="46">
        <v>1907876</v>
      </c>
      <c r="G40" s="46">
        <v>1908341</v>
      </c>
      <c r="H40" s="46" t="s">
        <v>328</v>
      </c>
      <c r="I40" s="46" t="s">
        <v>324</v>
      </c>
      <c r="J40" s="65">
        <v>2.2152777777777778E-2</v>
      </c>
      <c r="K40" s="46" t="s">
        <v>79</v>
      </c>
      <c r="L40" s="46" t="s">
        <v>329</v>
      </c>
      <c r="M40" s="46" t="s">
        <v>330</v>
      </c>
      <c r="N40" s="46" t="s">
        <v>97</v>
      </c>
      <c r="O40" s="46" t="s">
        <v>98</v>
      </c>
      <c r="P40" s="46" t="s">
        <v>64</v>
      </c>
      <c r="Q40" s="46">
        <v>2</v>
      </c>
      <c r="R40" s="46" t="s">
        <v>99</v>
      </c>
      <c r="S40" s="46" t="s">
        <v>84</v>
      </c>
      <c r="T40" s="46" t="s">
        <v>85</v>
      </c>
      <c r="U40" s="46" t="s">
        <v>331</v>
      </c>
      <c r="V40" s="46" t="s">
        <v>86</v>
      </c>
      <c r="W40" s="46" t="s">
        <v>100</v>
      </c>
      <c r="X40" s="48" t="s">
        <v>332</v>
      </c>
      <c r="Y40" s="48" t="s">
        <v>72</v>
      </c>
      <c r="Z40" s="48" t="s">
        <v>333</v>
      </c>
      <c r="AA40" s="29"/>
      <c r="AB40" s="30"/>
      <c r="AC40" s="38"/>
      <c r="AD40" s="29"/>
      <c r="AE40" s="39">
        <v>1</v>
      </c>
      <c r="AF40" s="40"/>
      <c r="AG40" s="32"/>
      <c r="AH40" s="33"/>
      <c r="AI40" s="32"/>
      <c r="AJ40" s="33"/>
      <c r="AK40" s="32"/>
      <c r="AL40" s="33"/>
      <c r="AM40" s="32"/>
      <c r="AN40" s="33">
        <v>1</v>
      </c>
      <c r="AO40" s="34"/>
      <c r="AP40" s="35"/>
      <c r="AQ40" s="34"/>
      <c r="AR40" s="35"/>
      <c r="AS40" s="34"/>
      <c r="AT40" s="35"/>
      <c r="AU40" s="36"/>
      <c r="AV40" s="37"/>
      <c r="AW40" s="36"/>
      <c r="AX40" s="52">
        <f t="shared" si="2"/>
        <v>0</v>
      </c>
      <c r="AY40" s="52"/>
      <c r="AZ40" s="52"/>
    </row>
    <row r="41" spans="1:52" ht="110.25" customHeight="1" x14ac:dyDescent="0.25">
      <c r="A41" s="49" t="s">
        <v>334</v>
      </c>
      <c r="B41" s="49" t="s">
        <v>335</v>
      </c>
      <c r="C41" s="49" t="s">
        <v>336</v>
      </c>
      <c r="D41" s="49" t="s">
        <v>114</v>
      </c>
      <c r="E41" s="50" t="s">
        <v>337</v>
      </c>
      <c r="F41" s="49">
        <v>833949</v>
      </c>
      <c r="G41" s="49">
        <v>837594</v>
      </c>
      <c r="H41" s="49" t="s">
        <v>338</v>
      </c>
      <c r="I41" s="49" t="s">
        <v>334</v>
      </c>
      <c r="J41" s="64">
        <v>1.7326388888888888E-2</v>
      </c>
      <c r="K41" s="49" t="s">
        <v>79</v>
      </c>
      <c r="L41" s="49" t="s">
        <v>339</v>
      </c>
      <c r="M41" s="49" t="s">
        <v>340</v>
      </c>
      <c r="N41" s="49" t="s">
        <v>97</v>
      </c>
      <c r="O41" s="49" t="s">
        <v>98</v>
      </c>
      <c r="P41" s="49" t="s">
        <v>64</v>
      </c>
      <c r="Q41" s="49">
        <v>2</v>
      </c>
      <c r="R41" s="49" t="s">
        <v>99</v>
      </c>
      <c r="S41" s="49" t="s">
        <v>84</v>
      </c>
      <c r="T41" s="49" t="s">
        <v>67</v>
      </c>
      <c r="U41" s="49" t="s">
        <v>68</v>
      </c>
      <c r="V41" s="49" t="s">
        <v>86</v>
      </c>
      <c r="W41" s="49" t="s">
        <v>100</v>
      </c>
      <c r="X41" s="51" t="s">
        <v>341</v>
      </c>
      <c r="Y41" s="51" t="s">
        <v>72</v>
      </c>
      <c r="Z41" s="51" t="s">
        <v>342</v>
      </c>
      <c r="AA41" s="29"/>
      <c r="AB41" s="30"/>
      <c r="AC41" s="38"/>
      <c r="AD41" s="29"/>
      <c r="AE41" s="39">
        <v>1</v>
      </c>
      <c r="AF41" s="40"/>
      <c r="AG41" s="32"/>
      <c r="AH41" s="33"/>
      <c r="AI41" s="32"/>
      <c r="AJ41" s="33"/>
      <c r="AK41" s="32"/>
      <c r="AL41" s="33"/>
      <c r="AM41" s="32"/>
      <c r="AN41" s="33"/>
      <c r="AO41" s="34"/>
      <c r="AP41" s="35"/>
      <c r="AQ41" s="34"/>
      <c r="AR41" s="35"/>
      <c r="AS41" s="34"/>
      <c r="AT41" s="35">
        <v>1</v>
      </c>
      <c r="AU41" s="36"/>
      <c r="AV41" s="37"/>
      <c r="AW41" s="36"/>
      <c r="AX41" s="52">
        <f t="shared" si="2"/>
        <v>0</v>
      </c>
      <c r="AY41" s="52"/>
      <c r="AZ41" s="52"/>
    </row>
    <row r="42" spans="1:52" ht="110.25" customHeight="1" x14ac:dyDescent="0.25">
      <c r="A42" s="46" t="s">
        <v>334</v>
      </c>
      <c r="B42" s="46" t="s">
        <v>343</v>
      </c>
      <c r="C42" s="46" t="s">
        <v>336</v>
      </c>
      <c r="D42" s="46" t="s">
        <v>114</v>
      </c>
      <c r="E42" s="46" t="s">
        <v>344</v>
      </c>
      <c r="F42" s="46">
        <v>842822</v>
      </c>
      <c r="G42" s="46">
        <v>845974</v>
      </c>
      <c r="H42" s="46" t="s">
        <v>338</v>
      </c>
      <c r="I42" s="46" t="s">
        <v>334</v>
      </c>
      <c r="J42" s="65">
        <v>1.7326388888888888E-2</v>
      </c>
      <c r="K42" s="46" t="s">
        <v>79</v>
      </c>
      <c r="L42" s="46" t="s">
        <v>339</v>
      </c>
      <c r="M42" s="46" t="s">
        <v>340</v>
      </c>
      <c r="N42" s="46" t="s">
        <v>97</v>
      </c>
      <c r="O42" s="46" t="s">
        <v>98</v>
      </c>
      <c r="P42" s="46" t="s">
        <v>64</v>
      </c>
      <c r="Q42" s="46">
        <v>2</v>
      </c>
      <c r="R42" s="46" t="s">
        <v>99</v>
      </c>
      <c r="S42" s="46" t="s">
        <v>84</v>
      </c>
      <c r="T42" s="46" t="s">
        <v>67</v>
      </c>
      <c r="U42" s="46" t="s">
        <v>68</v>
      </c>
      <c r="V42" s="46" t="s">
        <v>86</v>
      </c>
      <c r="W42" s="46" t="s">
        <v>100</v>
      </c>
      <c r="X42" s="48" t="s">
        <v>345</v>
      </c>
      <c r="Y42" s="48" t="s">
        <v>72</v>
      </c>
      <c r="Z42" s="48" t="s">
        <v>346</v>
      </c>
      <c r="AA42" s="29"/>
      <c r="AB42" s="30"/>
      <c r="AC42" s="38"/>
      <c r="AD42" s="29"/>
      <c r="AE42" s="39">
        <v>1</v>
      </c>
      <c r="AF42" s="40"/>
      <c r="AG42" s="32"/>
      <c r="AH42" s="33"/>
      <c r="AI42" s="32"/>
      <c r="AJ42" s="33"/>
      <c r="AK42" s="32"/>
      <c r="AL42" s="33">
        <v>1</v>
      </c>
      <c r="AM42" s="32"/>
      <c r="AN42" s="33">
        <v>1</v>
      </c>
      <c r="AO42" s="34"/>
      <c r="AP42" s="35"/>
      <c r="AQ42" s="34"/>
      <c r="AR42" s="35"/>
      <c r="AS42" s="34"/>
      <c r="AT42" s="35"/>
      <c r="AU42" s="36"/>
      <c r="AV42" s="37"/>
      <c r="AW42" s="36"/>
      <c r="AX42" s="52">
        <f t="shared" si="2"/>
        <v>1</v>
      </c>
      <c r="AY42" s="52"/>
      <c r="AZ42" s="52"/>
    </row>
    <row r="43" spans="1:52" ht="110.25" customHeight="1" x14ac:dyDescent="0.25">
      <c r="A43" s="49" t="s">
        <v>334</v>
      </c>
      <c r="B43" s="49" t="s">
        <v>347</v>
      </c>
      <c r="C43" s="49" t="s">
        <v>336</v>
      </c>
      <c r="D43" s="49" t="s">
        <v>114</v>
      </c>
      <c r="E43" s="50" t="s">
        <v>348</v>
      </c>
      <c r="F43" s="49">
        <v>1240481</v>
      </c>
      <c r="G43" s="49">
        <v>1246676</v>
      </c>
      <c r="H43" s="49" t="s">
        <v>338</v>
      </c>
      <c r="I43" s="49" t="s">
        <v>334</v>
      </c>
      <c r="J43" s="64">
        <v>1.7326388888888888E-2</v>
      </c>
      <c r="K43" s="49" t="s">
        <v>79</v>
      </c>
      <c r="L43" s="49" t="s">
        <v>339</v>
      </c>
      <c r="M43" s="49" t="s">
        <v>340</v>
      </c>
      <c r="N43" s="49" t="s">
        <v>97</v>
      </c>
      <c r="O43" s="49" t="s">
        <v>98</v>
      </c>
      <c r="P43" s="49" t="s">
        <v>64</v>
      </c>
      <c r="Q43" s="49">
        <v>2</v>
      </c>
      <c r="R43" s="49" t="s">
        <v>99</v>
      </c>
      <c r="S43" s="49" t="s">
        <v>84</v>
      </c>
      <c r="T43" s="49" t="s">
        <v>67</v>
      </c>
      <c r="U43" s="49" t="s">
        <v>68</v>
      </c>
      <c r="V43" s="49" t="s">
        <v>86</v>
      </c>
      <c r="W43" s="49" t="s">
        <v>100</v>
      </c>
      <c r="X43" s="51" t="s">
        <v>349</v>
      </c>
      <c r="Y43" s="51" t="s">
        <v>72</v>
      </c>
      <c r="Z43" s="51" t="s">
        <v>350</v>
      </c>
      <c r="AA43" s="29"/>
      <c r="AB43" s="30"/>
      <c r="AC43" s="38"/>
      <c r="AD43" s="29"/>
      <c r="AE43" s="39">
        <v>1</v>
      </c>
      <c r="AF43" s="40"/>
      <c r="AG43" s="32"/>
      <c r="AH43" s="33"/>
      <c r="AI43" s="32"/>
      <c r="AJ43" s="33"/>
      <c r="AK43" s="32"/>
      <c r="AL43" s="33"/>
      <c r="AM43" s="32"/>
      <c r="AN43" s="33"/>
      <c r="AO43" s="34"/>
      <c r="AP43" s="35"/>
      <c r="AQ43" s="34"/>
      <c r="AR43" s="35"/>
      <c r="AS43" s="34"/>
      <c r="AT43" s="35">
        <v>1</v>
      </c>
      <c r="AU43" s="36"/>
      <c r="AV43" s="37"/>
      <c r="AW43" s="36"/>
      <c r="AX43" s="52">
        <f t="shared" si="2"/>
        <v>0</v>
      </c>
      <c r="AY43" s="52"/>
      <c r="AZ43" s="52"/>
    </row>
    <row r="44" spans="1:52" ht="110.25" customHeight="1" x14ac:dyDescent="0.25">
      <c r="A44" s="46" t="s">
        <v>351</v>
      </c>
      <c r="B44" s="46" t="s">
        <v>352</v>
      </c>
      <c r="C44" s="46" t="s">
        <v>353</v>
      </c>
      <c r="D44" s="46">
        <v>2024</v>
      </c>
      <c r="E44" s="47" t="s">
        <v>354</v>
      </c>
      <c r="F44" s="46">
        <v>1395030</v>
      </c>
      <c r="G44" s="46">
        <v>1398040</v>
      </c>
      <c r="H44" s="46" t="s">
        <v>355</v>
      </c>
      <c r="I44" s="46" t="s">
        <v>351</v>
      </c>
      <c r="J44" s="65">
        <v>3.4699074074074077E-2</v>
      </c>
      <c r="K44" s="46" t="s">
        <v>79</v>
      </c>
      <c r="L44" s="46" t="s">
        <v>356</v>
      </c>
      <c r="M44" s="46" t="s">
        <v>357</v>
      </c>
      <c r="N44" s="46" t="s">
        <v>119</v>
      </c>
      <c r="O44" s="46" t="s">
        <v>63</v>
      </c>
      <c r="P44" s="46" t="s">
        <v>64</v>
      </c>
      <c r="Q44" s="46">
        <v>3</v>
      </c>
      <c r="R44" s="46" t="s">
        <v>358</v>
      </c>
      <c r="S44" s="46" t="s">
        <v>84</v>
      </c>
      <c r="T44" s="46" t="s">
        <v>85</v>
      </c>
      <c r="U44" s="46" t="s">
        <v>68</v>
      </c>
      <c r="V44" s="46" t="s">
        <v>86</v>
      </c>
      <c r="W44" s="46" t="s">
        <v>87</v>
      </c>
      <c r="X44" s="48" t="s">
        <v>2287</v>
      </c>
      <c r="Y44" s="48" t="s">
        <v>72</v>
      </c>
      <c r="Z44" s="48" t="s">
        <v>359</v>
      </c>
      <c r="AA44" s="29"/>
      <c r="AB44" s="30"/>
      <c r="AC44" s="38"/>
      <c r="AD44" s="29"/>
      <c r="AE44" s="39">
        <v>1</v>
      </c>
      <c r="AF44" s="40"/>
      <c r="AG44" s="32"/>
      <c r="AH44" s="33"/>
      <c r="AI44" s="32"/>
      <c r="AJ44" s="33"/>
      <c r="AK44" s="32"/>
      <c r="AL44" s="33"/>
      <c r="AM44" s="32"/>
      <c r="AN44" s="33">
        <v>1</v>
      </c>
      <c r="AO44" s="34"/>
      <c r="AP44" s="35"/>
      <c r="AQ44" s="34">
        <v>1</v>
      </c>
      <c r="AR44" s="35"/>
      <c r="AS44" s="34"/>
      <c r="AT44" s="35"/>
      <c r="AU44" s="36"/>
      <c r="AV44" s="37"/>
      <c r="AW44" s="36"/>
      <c r="AX44" s="52">
        <f t="shared" si="2"/>
        <v>1</v>
      </c>
      <c r="AY44" s="52"/>
      <c r="AZ44" s="52"/>
    </row>
    <row r="45" spans="1:52" ht="110.25" customHeight="1" x14ac:dyDescent="0.25">
      <c r="A45" s="49" t="s">
        <v>351</v>
      </c>
      <c r="B45" s="49" t="s">
        <v>360</v>
      </c>
      <c r="C45" s="49" t="s">
        <v>353</v>
      </c>
      <c r="D45" s="49">
        <v>2024</v>
      </c>
      <c r="E45" s="50" t="s">
        <v>361</v>
      </c>
      <c r="F45" s="49">
        <v>1689560</v>
      </c>
      <c r="G45" s="49">
        <v>1690930</v>
      </c>
      <c r="H45" s="49" t="s">
        <v>94</v>
      </c>
      <c r="I45" s="49" t="s">
        <v>351</v>
      </c>
      <c r="J45" s="64">
        <v>3.4699074074074077E-2</v>
      </c>
      <c r="K45" s="49" t="s">
        <v>79</v>
      </c>
      <c r="L45" s="49" t="s">
        <v>356</v>
      </c>
      <c r="M45" s="49" t="s">
        <v>357</v>
      </c>
      <c r="N45" s="49" t="s">
        <v>97</v>
      </c>
      <c r="O45" s="49" t="s">
        <v>98</v>
      </c>
      <c r="P45" s="49" t="s">
        <v>64</v>
      </c>
      <c r="Q45" s="49">
        <v>3</v>
      </c>
      <c r="R45" s="49" t="s">
        <v>99</v>
      </c>
      <c r="S45" s="49" t="s">
        <v>84</v>
      </c>
      <c r="T45" s="49" t="s">
        <v>85</v>
      </c>
      <c r="U45" s="49" t="s">
        <v>68</v>
      </c>
      <c r="V45" s="49" t="s">
        <v>86</v>
      </c>
      <c r="W45" s="49" t="s">
        <v>100</v>
      </c>
      <c r="X45" s="51" t="s">
        <v>362</v>
      </c>
      <c r="Y45" s="51" t="s">
        <v>72</v>
      </c>
      <c r="Z45" s="51" t="s">
        <v>363</v>
      </c>
      <c r="AA45" s="29"/>
      <c r="AB45" s="30"/>
      <c r="AC45" s="38"/>
      <c r="AD45" s="29"/>
      <c r="AE45" s="39">
        <v>1</v>
      </c>
      <c r="AF45" s="40"/>
      <c r="AG45" s="32">
        <v>1</v>
      </c>
      <c r="AH45" s="33"/>
      <c r="AI45" s="32">
        <v>1</v>
      </c>
      <c r="AJ45" s="33"/>
      <c r="AK45" s="32"/>
      <c r="AL45" s="33"/>
      <c r="AM45" s="32"/>
      <c r="AN45" s="33"/>
      <c r="AO45" s="34"/>
      <c r="AP45" s="35"/>
      <c r="AQ45" s="34"/>
      <c r="AR45" s="35"/>
      <c r="AS45" s="34"/>
      <c r="AT45" s="35"/>
      <c r="AU45" s="36"/>
      <c r="AV45" s="37"/>
      <c r="AW45" s="36"/>
      <c r="AX45" s="52">
        <f t="shared" si="2"/>
        <v>1</v>
      </c>
      <c r="AY45" s="52"/>
      <c r="AZ45" s="52"/>
    </row>
    <row r="46" spans="1:52" ht="110.25" customHeight="1" x14ac:dyDescent="0.25">
      <c r="A46" s="46" t="s">
        <v>351</v>
      </c>
      <c r="B46" s="46" t="s">
        <v>364</v>
      </c>
      <c r="C46" s="46" t="s">
        <v>353</v>
      </c>
      <c r="D46" s="46">
        <v>2024</v>
      </c>
      <c r="E46" s="47" t="s">
        <v>365</v>
      </c>
      <c r="F46" s="46">
        <v>2198160</v>
      </c>
      <c r="G46" s="46">
        <v>2199380</v>
      </c>
      <c r="H46" s="46" t="s">
        <v>355</v>
      </c>
      <c r="I46" s="46" t="s">
        <v>351</v>
      </c>
      <c r="J46" s="65">
        <v>3.4699074074074077E-2</v>
      </c>
      <c r="K46" s="46" t="s">
        <v>79</v>
      </c>
      <c r="L46" s="46" t="s">
        <v>356</v>
      </c>
      <c r="M46" s="46" t="s">
        <v>357</v>
      </c>
      <c r="N46" s="46" t="s">
        <v>119</v>
      </c>
      <c r="O46" s="46" t="s">
        <v>63</v>
      </c>
      <c r="P46" s="46" t="s">
        <v>64</v>
      </c>
      <c r="Q46" s="46">
        <v>3</v>
      </c>
      <c r="R46" s="46" t="s">
        <v>358</v>
      </c>
      <c r="S46" s="46" t="s">
        <v>84</v>
      </c>
      <c r="T46" s="46" t="s">
        <v>85</v>
      </c>
      <c r="U46" s="46" t="s">
        <v>68</v>
      </c>
      <c r="V46" s="46" t="s">
        <v>86</v>
      </c>
      <c r="W46" s="46" t="s">
        <v>87</v>
      </c>
      <c r="X46" s="48" t="s">
        <v>2288</v>
      </c>
      <c r="Y46" s="48" t="s">
        <v>72</v>
      </c>
      <c r="Z46" s="48" t="s">
        <v>2296</v>
      </c>
      <c r="AA46" s="29"/>
      <c r="AB46" s="30"/>
      <c r="AC46" s="38"/>
      <c r="AD46" s="29"/>
      <c r="AE46" s="39">
        <v>1</v>
      </c>
      <c r="AF46" s="40">
        <v>1</v>
      </c>
      <c r="AG46" s="32"/>
      <c r="AH46" s="33"/>
      <c r="AI46" s="32"/>
      <c r="AJ46" s="33"/>
      <c r="AK46" s="32"/>
      <c r="AL46" s="33"/>
      <c r="AM46" s="32"/>
      <c r="AN46" s="33"/>
      <c r="AO46" s="34">
        <v>1</v>
      </c>
      <c r="AP46" s="35"/>
      <c r="AQ46" s="34"/>
      <c r="AR46" s="35"/>
      <c r="AS46" s="34"/>
      <c r="AT46" s="35"/>
      <c r="AU46" s="36"/>
      <c r="AV46" s="37"/>
      <c r="AW46" s="36"/>
      <c r="AX46" s="52">
        <f t="shared" si="2"/>
        <v>0</v>
      </c>
      <c r="AY46" s="52"/>
      <c r="AZ46" s="52"/>
    </row>
    <row r="47" spans="1:52" ht="110.25" customHeight="1" x14ac:dyDescent="0.25">
      <c r="A47" s="49" t="s">
        <v>351</v>
      </c>
      <c r="B47" s="49" t="s">
        <v>366</v>
      </c>
      <c r="C47" s="49" t="s">
        <v>353</v>
      </c>
      <c r="D47" s="49">
        <v>2024</v>
      </c>
      <c r="E47" s="50" t="s">
        <v>367</v>
      </c>
      <c r="F47" s="49">
        <v>2847850</v>
      </c>
      <c r="G47" s="49">
        <v>2850560</v>
      </c>
      <c r="H47" s="49" t="s">
        <v>355</v>
      </c>
      <c r="I47" s="49" t="s">
        <v>351</v>
      </c>
      <c r="J47" s="64">
        <v>3.4699074074074077E-2</v>
      </c>
      <c r="K47" s="49" t="s">
        <v>79</v>
      </c>
      <c r="L47" s="49" t="s">
        <v>356</v>
      </c>
      <c r="M47" s="49" t="s">
        <v>357</v>
      </c>
      <c r="N47" s="49" t="s">
        <v>119</v>
      </c>
      <c r="O47" s="49" t="s">
        <v>63</v>
      </c>
      <c r="P47" s="49" t="s">
        <v>64</v>
      </c>
      <c r="Q47" s="49">
        <v>3</v>
      </c>
      <c r="R47" s="49" t="s">
        <v>358</v>
      </c>
      <c r="S47" s="49" t="s">
        <v>84</v>
      </c>
      <c r="T47" s="49" t="s">
        <v>85</v>
      </c>
      <c r="U47" s="49" t="s">
        <v>68</v>
      </c>
      <c r="V47" s="49" t="s">
        <v>86</v>
      </c>
      <c r="W47" s="49" t="s">
        <v>87</v>
      </c>
      <c r="X47" s="51" t="s">
        <v>368</v>
      </c>
      <c r="Y47" s="51" t="s">
        <v>72</v>
      </c>
      <c r="Z47" s="51" t="s">
        <v>369</v>
      </c>
      <c r="AA47" s="29"/>
      <c r="AB47" s="30"/>
      <c r="AC47" s="38"/>
      <c r="AD47" s="29"/>
      <c r="AE47" s="39">
        <v>1</v>
      </c>
      <c r="AF47" s="40"/>
      <c r="AG47" s="32"/>
      <c r="AH47" s="33">
        <v>1</v>
      </c>
      <c r="AI47" s="32"/>
      <c r="AJ47" s="33"/>
      <c r="AK47" s="32"/>
      <c r="AL47" s="33"/>
      <c r="AM47" s="32"/>
      <c r="AN47" s="33"/>
      <c r="AO47" s="34"/>
      <c r="AP47" s="35"/>
      <c r="AQ47" s="34"/>
      <c r="AR47" s="35"/>
      <c r="AS47" s="34"/>
      <c r="AT47" s="35"/>
      <c r="AU47" s="36"/>
      <c r="AV47" s="37"/>
      <c r="AW47" s="36"/>
      <c r="AX47" s="52">
        <f t="shared" si="2"/>
        <v>0</v>
      </c>
      <c r="AY47" s="52"/>
      <c r="AZ47" s="52"/>
    </row>
    <row r="48" spans="1:52" ht="110.25" customHeight="1" x14ac:dyDescent="0.25">
      <c r="A48" s="46" t="s">
        <v>370</v>
      </c>
      <c r="B48" s="46" t="s">
        <v>371</v>
      </c>
      <c r="C48" s="46" t="s">
        <v>372</v>
      </c>
      <c r="D48" s="46">
        <v>2019</v>
      </c>
      <c r="E48" s="47" t="s">
        <v>373</v>
      </c>
      <c r="F48" s="46">
        <v>670137</v>
      </c>
      <c r="G48" s="46">
        <v>678989</v>
      </c>
      <c r="H48" s="46" t="s">
        <v>374</v>
      </c>
      <c r="I48" s="46" t="s">
        <v>370</v>
      </c>
      <c r="J48" s="65">
        <v>1.6111111111111111E-2</v>
      </c>
      <c r="K48" s="46" t="s">
        <v>79</v>
      </c>
      <c r="L48" s="46" t="s">
        <v>375</v>
      </c>
      <c r="M48" s="46" t="s">
        <v>376</v>
      </c>
      <c r="N48" s="46" t="s">
        <v>273</v>
      </c>
      <c r="O48" s="46" t="s">
        <v>98</v>
      </c>
      <c r="P48" s="46" t="s">
        <v>120</v>
      </c>
      <c r="Q48" s="46">
        <v>2</v>
      </c>
      <c r="R48" s="46" t="s">
        <v>358</v>
      </c>
      <c r="S48" s="46" t="s">
        <v>84</v>
      </c>
      <c r="T48" s="46" t="s">
        <v>85</v>
      </c>
      <c r="U48" s="46" t="s">
        <v>121</v>
      </c>
      <c r="V48" s="46" t="s">
        <v>86</v>
      </c>
      <c r="W48" s="46" t="s">
        <v>377</v>
      </c>
      <c r="X48" s="48" t="s">
        <v>378</v>
      </c>
      <c r="Y48" s="48" t="s">
        <v>72</v>
      </c>
      <c r="Z48" s="48" t="s">
        <v>379</v>
      </c>
      <c r="AA48" s="29"/>
      <c r="AB48" s="30"/>
      <c r="AC48" s="38"/>
      <c r="AD48" s="29"/>
      <c r="AE48" s="39">
        <v>1</v>
      </c>
      <c r="AF48" s="40"/>
      <c r="AG48" s="32"/>
      <c r="AH48" s="33"/>
      <c r="AI48" s="32"/>
      <c r="AJ48" s="33"/>
      <c r="AK48" s="32"/>
      <c r="AL48" s="33"/>
      <c r="AM48" s="32"/>
      <c r="AN48" s="33"/>
      <c r="AO48" s="34">
        <v>1</v>
      </c>
      <c r="AP48" s="35"/>
      <c r="AQ48" s="34"/>
      <c r="AR48" s="35"/>
      <c r="AS48" s="34"/>
      <c r="AT48" s="35"/>
      <c r="AU48" s="36"/>
      <c r="AV48" s="37"/>
      <c r="AW48" s="36"/>
      <c r="AX48" s="52">
        <f t="shared" si="2"/>
        <v>0</v>
      </c>
      <c r="AY48" s="52"/>
      <c r="AZ48" s="52"/>
    </row>
    <row r="49" spans="1:175" ht="110.25" customHeight="1" x14ac:dyDescent="0.25">
      <c r="A49" s="49" t="s">
        <v>380</v>
      </c>
      <c r="B49" s="49" t="s">
        <v>381</v>
      </c>
      <c r="C49" s="49" t="s">
        <v>382</v>
      </c>
      <c r="D49" s="49" t="s">
        <v>114</v>
      </c>
      <c r="E49" s="50" t="s">
        <v>383</v>
      </c>
      <c r="F49" s="49">
        <v>696722</v>
      </c>
      <c r="G49" s="49">
        <v>699866</v>
      </c>
      <c r="H49" s="49" t="s">
        <v>384</v>
      </c>
      <c r="I49" s="49" t="s">
        <v>380</v>
      </c>
      <c r="J49" s="64">
        <v>1.1354166666666667E-2</v>
      </c>
      <c r="K49" s="49" t="s">
        <v>59</v>
      </c>
      <c r="L49" s="49" t="s">
        <v>385</v>
      </c>
      <c r="M49" s="49" t="s">
        <v>386</v>
      </c>
      <c r="N49" s="49" t="s">
        <v>97</v>
      </c>
      <c r="O49" s="49" t="s">
        <v>63</v>
      </c>
      <c r="P49" s="49" t="s">
        <v>64</v>
      </c>
      <c r="Q49" s="49">
        <v>2</v>
      </c>
      <c r="R49" s="49" t="s">
        <v>99</v>
      </c>
      <c r="S49" s="49" t="s">
        <v>66</v>
      </c>
      <c r="T49" s="49" t="s">
        <v>67</v>
      </c>
      <c r="U49" s="49" t="s">
        <v>187</v>
      </c>
      <c r="V49" s="49" t="s">
        <v>143</v>
      </c>
      <c r="W49" s="49" t="s">
        <v>100</v>
      </c>
      <c r="X49" s="51" t="s">
        <v>2289</v>
      </c>
      <c r="Y49" s="51" t="s">
        <v>72</v>
      </c>
      <c r="Z49" s="51" t="s">
        <v>2297</v>
      </c>
      <c r="AA49" s="29"/>
      <c r="AB49" s="30"/>
      <c r="AC49" s="38"/>
      <c r="AD49" s="29"/>
      <c r="AE49" s="39">
        <v>1</v>
      </c>
      <c r="AF49" s="40">
        <v>1</v>
      </c>
      <c r="AG49" s="32"/>
      <c r="AH49" s="33"/>
      <c r="AI49" s="32"/>
      <c r="AJ49" s="33"/>
      <c r="AK49" s="32"/>
      <c r="AL49" s="33"/>
      <c r="AM49" s="32"/>
      <c r="AN49" s="33">
        <v>1</v>
      </c>
      <c r="AO49" s="34"/>
      <c r="AP49" s="35"/>
      <c r="AQ49" s="34"/>
      <c r="AR49" s="35"/>
      <c r="AS49" s="34"/>
      <c r="AT49" s="35"/>
      <c r="AU49" s="36"/>
      <c r="AV49" s="37"/>
      <c r="AW49" s="36"/>
      <c r="AX49" s="52">
        <f t="shared" si="2"/>
        <v>0</v>
      </c>
      <c r="AY49" s="52"/>
      <c r="AZ49" s="52" t="s">
        <v>2276</v>
      </c>
    </row>
    <row r="50" spans="1:175" ht="110.25" customHeight="1" x14ac:dyDescent="0.25">
      <c r="A50" s="46" t="s">
        <v>387</v>
      </c>
      <c r="B50" s="46" t="s">
        <v>388</v>
      </c>
      <c r="C50" s="46" t="s">
        <v>389</v>
      </c>
      <c r="D50" s="46">
        <v>2023</v>
      </c>
      <c r="E50" s="47" t="s">
        <v>390</v>
      </c>
      <c r="F50" s="46">
        <v>133277</v>
      </c>
      <c r="G50" s="46">
        <v>134891</v>
      </c>
      <c r="H50" s="46" t="s">
        <v>391</v>
      </c>
      <c r="I50" s="46" t="s">
        <v>387</v>
      </c>
      <c r="J50" s="65">
        <v>2.5601851851851851E-2</v>
      </c>
      <c r="K50" s="46" t="s">
        <v>79</v>
      </c>
      <c r="L50" s="46" t="s">
        <v>392</v>
      </c>
      <c r="M50" s="46" t="s">
        <v>393</v>
      </c>
      <c r="N50" s="46" t="s">
        <v>97</v>
      </c>
      <c r="O50" s="46" t="s">
        <v>98</v>
      </c>
      <c r="P50" s="46" t="s">
        <v>64</v>
      </c>
      <c r="Q50" s="46">
        <v>3</v>
      </c>
      <c r="R50" s="46" t="s">
        <v>358</v>
      </c>
      <c r="S50" s="46" t="s">
        <v>84</v>
      </c>
      <c r="T50" s="46" t="s">
        <v>85</v>
      </c>
      <c r="U50" s="46" t="s">
        <v>394</v>
      </c>
      <c r="V50" s="46" t="s">
        <v>86</v>
      </c>
      <c r="W50" s="46" t="s">
        <v>377</v>
      </c>
      <c r="X50" s="48" t="s">
        <v>2290</v>
      </c>
      <c r="Y50" s="48" t="s">
        <v>72</v>
      </c>
      <c r="Z50" s="48" t="s">
        <v>2298</v>
      </c>
      <c r="AA50" s="29"/>
      <c r="AB50" s="30"/>
      <c r="AC50" s="38"/>
      <c r="AD50" s="29"/>
      <c r="AE50" s="39">
        <v>1</v>
      </c>
      <c r="AF50" s="40"/>
      <c r="AG50" s="32"/>
      <c r="AH50" s="33"/>
      <c r="AI50" s="32"/>
      <c r="AJ50" s="33"/>
      <c r="AK50" s="32"/>
      <c r="AL50" s="33"/>
      <c r="AM50" s="32"/>
      <c r="AN50" s="33"/>
      <c r="AO50" s="34">
        <v>1</v>
      </c>
      <c r="AP50" s="35"/>
      <c r="AQ50" s="34"/>
      <c r="AR50" s="35"/>
      <c r="AS50" s="34"/>
      <c r="AT50" s="35"/>
      <c r="AU50" s="36"/>
      <c r="AV50" s="37"/>
      <c r="AW50" s="36"/>
      <c r="AX50" s="52">
        <f t="shared" si="2"/>
        <v>0</v>
      </c>
      <c r="AY50" s="52"/>
      <c r="AZ50" s="52"/>
    </row>
    <row r="51" spans="1:175" s="15" customFormat="1" ht="110.25" customHeight="1" x14ac:dyDescent="0.25">
      <c r="A51" s="49" t="s">
        <v>387</v>
      </c>
      <c r="B51" s="49" t="s">
        <v>395</v>
      </c>
      <c r="C51" s="49" t="s">
        <v>389</v>
      </c>
      <c r="D51" s="49">
        <v>2023</v>
      </c>
      <c r="E51" s="50" t="s">
        <v>396</v>
      </c>
      <c r="F51" s="49">
        <v>418758</v>
      </c>
      <c r="G51" s="49">
        <v>421538</v>
      </c>
      <c r="H51" s="49" t="s">
        <v>397</v>
      </c>
      <c r="I51" s="49" t="s">
        <v>387</v>
      </c>
      <c r="J51" s="64">
        <v>2.5601851851851851E-2</v>
      </c>
      <c r="K51" s="49" t="s">
        <v>79</v>
      </c>
      <c r="L51" s="49" t="s">
        <v>392</v>
      </c>
      <c r="M51" s="49" t="s">
        <v>393</v>
      </c>
      <c r="N51" s="49" t="s">
        <v>97</v>
      </c>
      <c r="O51" s="49" t="s">
        <v>98</v>
      </c>
      <c r="P51" s="49" t="s">
        <v>64</v>
      </c>
      <c r="Q51" s="49">
        <v>3</v>
      </c>
      <c r="R51" s="49" t="s">
        <v>179</v>
      </c>
      <c r="S51" s="49" t="s">
        <v>84</v>
      </c>
      <c r="T51" s="49" t="s">
        <v>85</v>
      </c>
      <c r="U51" s="49" t="s">
        <v>263</v>
      </c>
      <c r="V51" s="49" t="s">
        <v>86</v>
      </c>
      <c r="W51" s="49" t="s">
        <v>398</v>
      </c>
      <c r="X51" s="51" t="s">
        <v>399</v>
      </c>
      <c r="Y51" s="51" t="s">
        <v>72</v>
      </c>
      <c r="Z51" s="51" t="s">
        <v>400</v>
      </c>
      <c r="AA51" s="29">
        <v>1</v>
      </c>
      <c r="AB51" s="41"/>
      <c r="AC51" s="41"/>
      <c r="AD51" s="41"/>
      <c r="AE51" s="39"/>
      <c r="AF51" s="40"/>
      <c r="AG51" s="32"/>
      <c r="AH51" s="33"/>
      <c r="AI51" s="32"/>
      <c r="AJ51" s="33"/>
      <c r="AK51" s="32"/>
      <c r="AL51" s="33"/>
      <c r="AM51" s="32"/>
      <c r="AN51" s="33"/>
      <c r="AO51" s="34"/>
      <c r="AP51" s="35"/>
      <c r="AQ51" s="34"/>
      <c r="AR51" s="35"/>
      <c r="AS51" s="34"/>
      <c r="AT51" s="35"/>
      <c r="AU51" s="36"/>
      <c r="AV51" s="37"/>
      <c r="AW51" s="36"/>
      <c r="AX51" s="52">
        <f t="shared" si="2"/>
        <v>0</v>
      </c>
      <c r="AY51" s="52"/>
      <c r="AZ51" s="52"/>
      <c r="BA51" s="53"/>
      <c r="BB51" s="53"/>
      <c r="BC51" s="53"/>
      <c r="BD51" s="53"/>
      <c r="BE51" s="53"/>
      <c r="BF51" s="53"/>
      <c r="BG51" s="53"/>
      <c r="BH51" s="53"/>
      <c r="BI51" s="53"/>
      <c r="BJ51" s="53"/>
      <c r="BK51" s="53"/>
      <c r="BL51" s="53"/>
      <c r="BM51" s="53"/>
      <c r="BN51" s="53"/>
      <c r="BO51" s="53"/>
      <c r="BP51" s="53"/>
      <c r="BQ51" s="53"/>
      <c r="BR51" s="53"/>
      <c r="BS51" s="53"/>
      <c r="BT51" s="53"/>
      <c r="BU51" s="53"/>
      <c r="BV51" s="53"/>
      <c r="BW51" s="53"/>
      <c r="BX51" s="53"/>
      <c r="BY51" s="53"/>
      <c r="BZ51" s="53"/>
      <c r="CA51" s="53"/>
      <c r="CB51" s="53"/>
      <c r="CC51" s="53"/>
      <c r="CD51" s="53"/>
      <c r="CE51" s="53"/>
      <c r="CF51" s="53"/>
      <c r="CG51" s="53"/>
      <c r="CH51" s="53"/>
      <c r="CI51" s="53"/>
      <c r="CJ51" s="53"/>
      <c r="CK51" s="53"/>
      <c r="CL51" s="53"/>
      <c r="CM51" s="53"/>
      <c r="CN51" s="53"/>
      <c r="CO51" s="53"/>
      <c r="CP51" s="53"/>
      <c r="CQ51" s="53"/>
      <c r="CR51" s="53"/>
      <c r="CS51" s="53"/>
      <c r="CT51" s="53"/>
      <c r="CU51" s="53"/>
      <c r="CV51" s="53"/>
      <c r="CW51" s="53"/>
      <c r="CX51" s="53"/>
      <c r="CY51" s="53"/>
      <c r="CZ51" s="53"/>
      <c r="DA51" s="53"/>
      <c r="DB51" s="53"/>
      <c r="DC51" s="53"/>
      <c r="DD51" s="53"/>
      <c r="DE51" s="53"/>
      <c r="DF51" s="53"/>
      <c r="DG51" s="53"/>
      <c r="DH51" s="53"/>
      <c r="DI51" s="53"/>
      <c r="DJ51" s="53"/>
      <c r="DK51" s="53"/>
      <c r="DL51" s="53"/>
      <c r="DM51" s="53"/>
      <c r="DN51" s="53"/>
      <c r="DO51" s="53"/>
      <c r="DP51" s="53"/>
      <c r="DQ51" s="53"/>
      <c r="DR51" s="53"/>
      <c r="DS51" s="53"/>
      <c r="DT51" s="53"/>
      <c r="DU51" s="53"/>
      <c r="DV51" s="53"/>
      <c r="DW51" s="53"/>
      <c r="DX51" s="53"/>
      <c r="DY51" s="53"/>
      <c r="DZ51" s="53"/>
      <c r="EA51" s="53"/>
      <c r="EB51" s="53"/>
      <c r="EC51" s="53"/>
      <c r="ED51" s="53"/>
      <c r="EE51" s="53"/>
      <c r="EF51" s="53"/>
      <c r="EG51" s="53"/>
      <c r="EH51" s="53"/>
      <c r="EI51" s="53"/>
      <c r="EJ51" s="53"/>
      <c r="EK51" s="53"/>
      <c r="EL51" s="53"/>
      <c r="EM51" s="53"/>
      <c r="EN51" s="53"/>
      <c r="EO51" s="53"/>
      <c r="EP51" s="53"/>
      <c r="EQ51" s="53"/>
      <c r="ER51" s="54"/>
      <c r="ES51" s="54"/>
      <c r="ET51" s="54"/>
      <c r="EU51" s="54"/>
      <c r="EV51" s="54"/>
      <c r="EW51" s="54"/>
      <c r="EX51" s="54"/>
      <c r="EY51" s="54"/>
      <c r="EZ51" s="54"/>
      <c r="FA51" s="54"/>
      <c r="FB51" s="54"/>
      <c r="FC51" s="54"/>
      <c r="FD51" s="54"/>
      <c r="FE51" s="54"/>
      <c r="FF51" s="54"/>
      <c r="FG51" s="54"/>
      <c r="FH51" s="54"/>
      <c r="FI51" s="54"/>
      <c r="FJ51" s="54"/>
      <c r="FK51" s="54"/>
      <c r="FL51" s="54"/>
      <c r="FM51" s="54"/>
      <c r="FN51" s="54"/>
      <c r="FO51" s="54"/>
      <c r="FP51" s="54"/>
      <c r="FQ51" s="54"/>
      <c r="FR51" s="54"/>
      <c r="FS51" s="54"/>
    </row>
    <row r="52" spans="1:175" ht="110.25" customHeight="1" x14ac:dyDescent="0.25">
      <c r="A52" s="46" t="s">
        <v>401</v>
      </c>
      <c r="B52" s="46" t="s">
        <v>402</v>
      </c>
      <c r="C52" s="46" t="s">
        <v>403</v>
      </c>
      <c r="D52" s="46" t="s">
        <v>114</v>
      </c>
      <c r="E52" s="47" t="s">
        <v>404</v>
      </c>
      <c r="F52" s="46">
        <v>106040</v>
      </c>
      <c r="G52" s="46">
        <v>108690</v>
      </c>
      <c r="H52" s="46" t="s">
        <v>405</v>
      </c>
      <c r="I52" s="46" t="s">
        <v>401</v>
      </c>
      <c r="J52" s="65">
        <v>1.5879629629629629E-2</v>
      </c>
      <c r="K52" s="46" t="s">
        <v>79</v>
      </c>
      <c r="L52" s="46" t="s">
        <v>406</v>
      </c>
      <c r="M52" s="46" t="s">
        <v>407</v>
      </c>
      <c r="N52" s="46" t="s">
        <v>97</v>
      </c>
      <c r="O52" s="46" t="s">
        <v>98</v>
      </c>
      <c r="P52" s="46" t="s">
        <v>64</v>
      </c>
      <c r="Q52" s="46">
        <v>2</v>
      </c>
      <c r="R52" s="46" t="s">
        <v>99</v>
      </c>
      <c r="S52" s="46" t="s">
        <v>84</v>
      </c>
      <c r="T52" s="46" t="s">
        <v>67</v>
      </c>
      <c r="U52" s="46" t="s">
        <v>68</v>
      </c>
      <c r="V52" s="46" t="s">
        <v>86</v>
      </c>
      <c r="W52" s="46" t="s">
        <v>100</v>
      </c>
      <c r="X52" s="48" t="s">
        <v>408</v>
      </c>
      <c r="Y52" s="48" t="s">
        <v>72</v>
      </c>
      <c r="Z52" s="48" t="s">
        <v>409</v>
      </c>
      <c r="AA52" s="29"/>
      <c r="AB52" s="30"/>
      <c r="AC52" s="38"/>
      <c r="AD52" s="29"/>
      <c r="AE52" s="39">
        <v>1</v>
      </c>
      <c r="AF52" s="40"/>
      <c r="AG52" s="32"/>
      <c r="AH52" s="33"/>
      <c r="AI52" s="32"/>
      <c r="AJ52" s="33"/>
      <c r="AK52" s="32"/>
      <c r="AL52" s="33"/>
      <c r="AM52" s="32"/>
      <c r="AN52" s="33"/>
      <c r="AO52" s="34">
        <v>1</v>
      </c>
      <c r="AP52" s="35"/>
      <c r="AQ52" s="34"/>
      <c r="AR52" s="35"/>
      <c r="AS52" s="34"/>
      <c r="AT52" s="35"/>
      <c r="AU52" s="36">
        <v>1</v>
      </c>
      <c r="AV52" s="37"/>
      <c r="AW52" s="36"/>
      <c r="AX52" s="52">
        <f>IF(SUM(COUNTIF(AG52:AN52,1), COUNTIF(AO52:AT52,1), COUNTIF(AV52:AW52,1))&gt;1, 1, 0)</f>
        <v>0</v>
      </c>
      <c r="AY52" s="52"/>
      <c r="AZ52" s="52"/>
    </row>
    <row r="53" spans="1:175" ht="110.25" customHeight="1" x14ac:dyDescent="0.25">
      <c r="A53" s="49" t="s">
        <v>401</v>
      </c>
      <c r="B53" s="49" t="s">
        <v>410</v>
      </c>
      <c r="C53" s="49" t="s">
        <v>403</v>
      </c>
      <c r="D53" s="49" t="s">
        <v>114</v>
      </c>
      <c r="E53" s="49" t="s">
        <v>404</v>
      </c>
      <c r="F53" s="49">
        <v>106040</v>
      </c>
      <c r="G53" s="49">
        <v>108690</v>
      </c>
      <c r="H53" s="49" t="s">
        <v>405</v>
      </c>
      <c r="I53" s="49" t="s">
        <v>401</v>
      </c>
      <c r="J53" s="64">
        <v>1.5879629629629629E-2</v>
      </c>
      <c r="K53" s="49" t="s">
        <v>79</v>
      </c>
      <c r="L53" s="49" t="s">
        <v>406</v>
      </c>
      <c r="M53" s="49" t="s">
        <v>407</v>
      </c>
      <c r="N53" s="49" t="s">
        <v>97</v>
      </c>
      <c r="O53" s="49" t="s">
        <v>98</v>
      </c>
      <c r="P53" s="49" t="s">
        <v>64</v>
      </c>
      <c r="Q53" s="49">
        <v>2</v>
      </c>
      <c r="R53" s="49" t="s">
        <v>99</v>
      </c>
      <c r="S53" s="49" t="s">
        <v>84</v>
      </c>
      <c r="T53" s="49" t="s">
        <v>67</v>
      </c>
      <c r="U53" s="49" t="s">
        <v>68</v>
      </c>
      <c r="V53" s="49" t="s">
        <v>86</v>
      </c>
      <c r="W53" s="49" t="s">
        <v>100</v>
      </c>
      <c r="X53" s="51" t="s">
        <v>411</v>
      </c>
      <c r="Y53" s="51" t="s">
        <v>72</v>
      </c>
      <c r="Z53" s="51" t="s">
        <v>412</v>
      </c>
      <c r="AA53" s="29"/>
      <c r="AB53" s="30"/>
      <c r="AC53" s="38"/>
      <c r="AD53" s="29"/>
      <c r="AE53" s="39">
        <v>1</v>
      </c>
      <c r="AF53" s="40"/>
      <c r="AG53" s="32"/>
      <c r="AH53" s="33"/>
      <c r="AI53" s="32"/>
      <c r="AJ53" s="33"/>
      <c r="AK53" s="32"/>
      <c r="AL53" s="33"/>
      <c r="AM53" s="32"/>
      <c r="AN53" s="33"/>
      <c r="AO53" s="34">
        <v>1</v>
      </c>
      <c r="AP53" s="35"/>
      <c r="AQ53" s="34"/>
      <c r="AR53" s="35"/>
      <c r="AS53" s="34"/>
      <c r="AT53" s="35"/>
      <c r="AU53" s="36">
        <v>1</v>
      </c>
      <c r="AV53" s="37"/>
      <c r="AW53" s="36"/>
      <c r="AX53" s="52">
        <f t="shared" ref="AX53:AX116" si="3">IF(SUM(COUNTIF(AG53:AN53,1), COUNTIF(AO53:AT53,1), COUNTIF(AU53:AW53,1))&gt;1, 1, 0)</f>
        <v>1</v>
      </c>
      <c r="AY53" s="52"/>
      <c r="AZ53" s="52"/>
    </row>
    <row r="54" spans="1:175" ht="110.25" customHeight="1" x14ac:dyDescent="0.25">
      <c r="A54" s="46" t="s">
        <v>413</v>
      </c>
      <c r="B54" s="46" t="s">
        <v>414</v>
      </c>
      <c r="C54" s="46" t="s">
        <v>415</v>
      </c>
      <c r="D54" s="46" t="s">
        <v>114</v>
      </c>
      <c r="E54" s="47" t="s">
        <v>416</v>
      </c>
      <c r="F54" s="46">
        <v>922087</v>
      </c>
      <c r="G54" s="46">
        <v>926308</v>
      </c>
      <c r="H54" s="46" t="s">
        <v>417</v>
      </c>
      <c r="I54" s="46" t="s">
        <v>413</v>
      </c>
      <c r="J54" s="65">
        <v>2.2002314814814815E-2</v>
      </c>
      <c r="K54" s="46" t="s">
        <v>79</v>
      </c>
      <c r="L54" s="46" t="s">
        <v>418</v>
      </c>
      <c r="M54" s="46" t="s">
        <v>419</v>
      </c>
      <c r="N54" s="46" t="s">
        <v>97</v>
      </c>
      <c r="O54" s="46" t="s">
        <v>63</v>
      </c>
      <c r="P54" s="46" t="s">
        <v>120</v>
      </c>
      <c r="Q54" s="46">
        <v>2</v>
      </c>
      <c r="R54" s="46" t="s">
        <v>99</v>
      </c>
      <c r="S54" s="46" t="s">
        <v>84</v>
      </c>
      <c r="T54" s="46" t="s">
        <v>67</v>
      </c>
      <c r="U54" s="46" t="s">
        <v>121</v>
      </c>
      <c r="V54" s="46" t="s">
        <v>86</v>
      </c>
      <c r="W54" s="46" t="s">
        <v>100</v>
      </c>
      <c r="X54" s="48" t="s">
        <v>420</v>
      </c>
      <c r="Y54" s="48" t="s">
        <v>72</v>
      </c>
      <c r="Z54" s="48" t="s">
        <v>421</v>
      </c>
      <c r="AA54" s="29"/>
      <c r="AB54" s="30"/>
      <c r="AC54" s="38"/>
      <c r="AD54" s="29"/>
      <c r="AE54" s="39">
        <v>1</v>
      </c>
      <c r="AF54" s="40"/>
      <c r="AG54" s="32"/>
      <c r="AH54" s="33"/>
      <c r="AI54" s="32"/>
      <c r="AJ54" s="33"/>
      <c r="AK54" s="32"/>
      <c r="AL54" s="33"/>
      <c r="AM54" s="32"/>
      <c r="AN54" s="33"/>
      <c r="AO54" s="34">
        <v>1</v>
      </c>
      <c r="AP54" s="35"/>
      <c r="AQ54" s="34"/>
      <c r="AR54" s="35"/>
      <c r="AS54" s="34"/>
      <c r="AT54" s="35"/>
      <c r="AU54" s="36"/>
      <c r="AV54" s="37"/>
      <c r="AW54" s="36"/>
      <c r="AX54" s="52">
        <f t="shared" si="3"/>
        <v>0</v>
      </c>
      <c r="AY54" s="52"/>
      <c r="AZ54" s="52"/>
    </row>
    <row r="55" spans="1:175" ht="110.25" customHeight="1" x14ac:dyDescent="0.25">
      <c r="A55" s="49" t="s">
        <v>422</v>
      </c>
      <c r="B55" s="49" t="s">
        <v>423</v>
      </c>
      <c r="C55" s="49" t="s">
        <v>424</v>
      </c>
      <c r="D55" s="49">
        <v>2021</v>
      </c>
      <c r="E55" s="50" t="s">
        <v>425</v>
      </c>
      <c r="F55" s="49">
        <v>4723</v>
      </c>
      <c r="G55" s="49">
        <v>6205</v>
      </c>
      <c r="H55" s="49" t="s">
        <v>426</v>
      </c>
      <c r="I55" s="49" t="s">
        <v>422</v>
      </c>
      <c r="J55" s="64">
        <v>3.6527777777777777E-2</v>
      </c>
      <c r="K55" s="49" t="s">
        <v>79</v>
      </c>
      <c r="L55" s="49" t="s">
        <v>427</v>
      </c>
      <c r="M55" s="49" t="s">
        <v>428</v>
      </c>
      <c r="N55" s="49" t="s">
        <v>97</v>
      </c>
      <c r="O55" s="49" t="s">
        <v>63</v>
      </c>
      <c r="P55" s="49" t="s">
        <v>64</v>
      </c>
      <c r="Q55" s="49">
        <v>2</v>
      </c>
      <c r="R55" s="49" t="s">
        <v>99</v>
      </c>
      <c r="S55" s="49" t="s">
        <v>84</v>
      </c>
      <c r="T55" s="49" t="s">
        <v>85</v>
      </c>
      <c r="U55" s="49" t="s">
        <v>68</v>
      </c>
      <c r="V55" s="49" t="s">
        <v>86</v>
      </c>
      <c r="W55" s="49" t="s">
        <v>100</v>
      </c>
      <c r="X55" s="51" t="s">
        <v>2291</v>
      </c>
      <c r="Y55" s="51" t="s">
        <v>72</v>
      </c>
      <c r="Z55" s="51" t="s">
        <v>429</v>
      </c>
      <c r="AA55" s="29"/>
      <c r="AB55" s="30"/>
      <c r="AC55" s="38"/>
      <c r="AD55" s="29"/>
      <c r="AE55" s="39">
        <v>1</v>
      </c>
      <c r="AF55" s="40">
        <v>1</v>
      </c>
      <c r="AG55" s="32"/>
      <c r="AH55" s="33"/>
      <c r="AI55" s="32"/>
      <c r="AJ55" s="33"/>
      <c r="AK55" s="32"/>
      <c r="AL55" s="33"/>
      <c r="AM55" s="32"/>
      <c r="AN55" s="33"/>
      <c r="AO55" s="34">
        <v>1</v>
      </c>
      <c r="AP55" s="35"/>
      <c r="AQ55" s="34"/>
      <c r="AR55" s="35"/>
      <c r="AS55" s="34"/>
      <c r="AT55" s="35"/>
      <c r="AU55" s="36"/>
      <c r="AV55" s="37"/>
      <c r="AW55" s="36"/>
      <c r="AX55" s="52">
        <f t="shared" si="3"/>
        <v>0</v>
      </c>
      <c r="AY55" s="52"/>
      <c r="AZ55" s="52"/>
    </row>
    <row r="56" spans="1:175" ht="110.25" customHeight="1" x14ac:dyDescent="0.25">
      <c r="A56" s="46" t="s">
        <v>422</v>
      </c>
      <c r="B56" s="46" t="s">
        <v>430</v>
      </c>
      <c r="C56" s="46" t="s">
        <v>424</v>
      </c>
      <c r="D56" s="46">
        <v>2021</v>
      </c>
      <c r="E56" s="47" t="s">
        <v>431</v>
      </c>
      <c r="F56" s="46">
        <v>3145901</v>
      </c>
      <c r="G56" s="46">
        <v>3147185</v>
      </c>
      <c r="H56" s="46" t="s">
        <v>426</v>
      </c>
      <c r="I56" s="46" t="s">
        <v>422</v>
      </c>
      <c r="J56" s="65">
        <v>3.6527777777777777E-2</v>
      </c>
      <c r="K56" s="46" t="s">
        <v>79</v>
      </c>
      <c r="L56" s="46" t="s">
        <v>427</v>
      </c>
      <c r="M56" s="46" t="s">
        <v>428</v>
      </c>
      <c r="N56" s="46" t="s">
        <v>97</v>
      </c>
      <c r="O56" s="46" t="s">
        <v>63</v>
      </c>
      <c r="P56" s="46" t="s">
        <v>64</v>
      </c>
      <c r="Q56" s="46">
        <v>2</v>
      </c>
      <c r="R56" s="46" t="s">
        <v>99</v>
      </c>
      <c r="S56" s="46" t="s">
        <v>84</v>
      </c>
      <c r="T56" s="46" t="s">
        <v>85</v>
      </c>
      <c r="U56" s="46" t="s">
        <v>68</v>
      </c>
      <c r="V56" s="46" t="s">
        <v>86</v>
      </c>
      <c r="W56" s="46" t="s">
        <v>100</v>
      </c>
      <c r="X56" s="48" t="s">
        <v>432</v>
      </c>
      <c r="Y56" s="48" t="s">
        <v>72</v>
      </c>
      <c r="Z56" s="48" t="s">
        <v>433</v>
      </c>
      <c r="AA56" s="29"/>
      <c r="AB56" s="30"/>
      <c r="AC56" s="38"/>
      <c r="AD56" s="29"/>
      <c r="AE56" s="39">
        <v>1</v>
      </c>
      <c r="AF56" s="40"/>
      <c r="AG56" s="32"/>
      <c r="AH56" s="33"/>
      <c r="AI56" s="32"/>
      <c r="AJ56" s="33"/>
      <c r="AK56" s="32"/>
      <c r="AL56" s="33"/>
      <c r="AM56" s="32"/>
      <c r="AN56" s="33">
        <v>1</v>
      </c>
      <c r="AO56" s="34"/>
      <c r="AP56" s="35">
        <v>1</v>
      </c>
      <c r="AQ56" s="34"/>
      <c r="AR56" s="35"/>
      <c r="AS56" s="34"/>
      <c r="AT56" s="35"/>
      <c r="AU56" s="36"/>
      <c r="AV56" s="37">
        <v>1</v>
      </c>
      <c r="AW56" s="36"/>
      <c r="AX56" s="52">
        <f t="shared" si="3"/>
        <v>1</v>
      </c>
      <c r="AY56" s="52"/>
      <c r="AZ56" s="52"/>
    </row>
    <row r="57" spans="1:175" ht="110.25" customHeight="1" x14ac:dyDescent="0.25">
      <c r="A57" s="49" t="s">
        <v>422</v>
      </c>
      <c r="B57" s="49" t="s">
        <v>434</v>
      </c>
      <c r="C57" s="49" t="s">
        <v>424</v>
      </c>
      <c r="D57" s="49">
        <v>2021</v>
      </c>
      <c r="E57" s="50" t="s">
        <v>435</v>
      </c>
      <c r="F57" s="49">
        <v>3154501</v>
      </c>
      <c r="G57" s="49">
        <v>3156202</v>
      </c>
      <c r="H57" s="49" t="s">
        <v>426</v>
      </c>
      <c r="I57" s="49" t="s">
        <v>422</v>
      </c>
      <c r="J57" s="64">
        <v>3.6527777777777777E-2</v>
      </c>
      <c r="K57" s="49" t="s">
        <v>79</v>
      </c>
      <c r="L57" s="49" t="s">
        <v>427</v>
      </c>
      <c r="M57" s="49" t="s">
        <v>428</v>
      </c>
      <c r="N57" s="49" t="s">
        <v>97</v>
      </c>
      <c r="O57" s="49" t="s">
        <v>63</v>
      </c>
      <c r="P57" s="49" t="s">
        <v>64</v>
      </c>
      <c r="Q57" s="49">
        <v>2</v>
      </c>
      <c r="R57" s="49" t="s">
        <v>99</v>
      </c>
      <c r="S57" s="49" t="s">
        <v>84</v>
      </c>
      <c r="T57" s="49" t="s">
        <v>85</v>
      </c>
      <c r="U57" s="49" t="s">
        <v>68</v>
      </c>
      <c r="V57" s="49" t="s">
        <v>86</v>
      </c>
      <c r="W57" s="49" t="s">
        <v>100</v>
      </c>
      <c r="X57" s="51" t="s">
        <v>436</v>
      </c>
      <c r="Y57" s="51" t="s">
        <v>72</v>
      </c>
      <c r="Z57" s="51" t="s">
        <v>437</v>
      </c>
      <c r="AA57" s="29"/>
      <c r="AB57" s="30"/>
      <c r="AC57" s="38"/>
      <c r="AD57" s="29"/>
      <c r="AE57" s="39">
        <v>1</v>
      </c>
      <c r="AF57" s="40"/>
      <c r="AG57" s="32"/>
      <c r="AH57" s="33"/>
      <c r="AI57" s="32"/>
      <c r="AJ57" s="33"/>
      <c r="AK57" s="32"/>
      <c r="AL57" s="33"/>
      <c r="AM57" s="32"/>
      <c r="AN57" s="33">
        <v>1</v>
      </c>
      <c r="AO57" s="34"/>
      <c r="AP57" s="35">
        <v>1</v>
      </c>
      <c r="AQ57" s="34"/>
      <c r="AR57" s="35"/>
      <c r="AS57" s="34"/>
      <c r="AT57" s="35"/>
      <c r="AU57" s="36"/>
      <c r="AV57" s="37">
        <v>1</v>
      </c>
      <c r="AW57" s="36"/>
      <c r="AX57" s="52">
        <f t="shared" si="3"/>
        <v>1</v>
      </c>
      <c r="AY57" s="52"/>
      <c r="AZ57" s="52"/>
    </row>
    <row r="58" spans="1:175" s="15" customFormat="1" ht="110.25" customHeight="1" x14ac:dyDescent="0.25">
      <c r="A58" s="46" t="s">
        <v>438</v>
      </c>
      <c r="B58" s="46" t="s">
        <v>439</v>
      </c>
      <c r="C58" s="46" t="s">
        <v>440</v>
      </c>
      <c r="D58" s="46">
        <v>2023</v>
      </c>
      <c r="E58" s="47" t="s">
        <v>441</v>
      </c>
      <c r="F58" s="46">
        <v>763420</v>
      </c>
      <c r="G58" s="46">
        <v>764553</v>
      </c>
      <c r="H58" s="46" t="s">
        <v>442</v>
      </c>
      <c r="I58" s="46" t="s">
        <v>438</v>
      </c>
      <c r="J58" s="65">
        <v>1.9375E-2</v>
      </c>
      <c r="K58" s="46" t="s">
        <v>79</v>
      </c>
      <c r="L58" s="46" t="s">
        <v>443</v>
      </c>
      <c r="M58" s="46" t="s">
        <v>444</v>
      </c>
      <c r="N58" s="46" t="s">
        <v>97</v>
      </c>
      <c r="O58" s="46" t="s">
        <v>98</v>
      </c>
      <c r="P58" s="46" t="s">
        <v>64</v>
      </c>
      <c r="Q58" s="46">
        <v>2</v>
      </c>
      <c r="R58" s="46" t="s">
        <v>179</v>
      </c>
      <c r="S58" s="46" t="s">
        <v>84</v>
      </c>
      <c r="T58" s="46" t="s">
        <v>85</v>
      </c>
      <c r="U58" s="46" t="s">
        <v>68</v>
      </c>
      <c r="V58" s="46" t="s">
        <v>86</v>
      </c>
      <c r="W58" s="46" t="s">
        <v>70</v>
      </c>
      <c r="X58" s="48" t="s">
        <v>445</v>
      </c>
      <c r="Y58" s="48" t="s">
        <v>72</v>
      </c>
      <c r="Z58" s="48" t="s">
        <v>446</v>
      </c>
      <c r="AA58" s="29">
        <v>1</v>
      </c>
      <c r="AB58" s="41"/>
      <c r="AC58" s="41"/>
      <c r="AD58" s="41"/>
      <c r="AE58" s="39"/>
      <c r="AF58" s="40"/>
      <c r="AG58" s="32"/>
      <c r="AH58" s="33"/>
      <c r="AI58" s="32"/>
      <c r="AJ58" s="33"/>
      <c r="AK58" s="32"/>
      <c r="AL58" s="33"/>
      <c r="AM58" s="32"/>
      <c r="AN58" s="33"/>
      <c r="AO58" s="34"/>
      <c r="AP58" s="35"/>
      <c r="AQ58" s="34"/>
      <c r="AR58" s="35"/>
      <c r="AS58" s="34"/>
      <c r="AT58" s="35"/>
      <c r="AU58" s="36"/>
      <c r="AV58" s="37"/>
      <c r="AW58" s="36"/>
      <c r="AX58" s="52">
        <f t="shared" si="3"/>
        <v>0</v>
      </c>
      <c r="AY58" s="52"/>
      <c r="AZ58" s="52"/>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c r="CD58" s="53"/>
      <c r="CE58" s="53"/>
      <c r="CF58" s="53"/>
      <c r="CG58" s="53"/>
      <c r="CH58" s="53"/>
      <c r="CI58" s="53"/>
      <c r="CJ58" s="53"/>
      <c r="CK58" s="53"/>
      <c r="CL58" s="53"/>
      <c r="CM58" s="53"/>
      <c r="CN58" s="53"/>
      <c r="CO58" s="53"/>
      <c r="CP58" s="53"/>
      <c r="CQ58" s="53"/>
      <c r="CR58" s="53"/>
      <c r="CS58" s="53"/>
      <c r="CT58" s="53"/>
      <c r="CU58" s="53"/>
      <c r="CV58" s="53"/>
      <c r="CW58" s="53"/>
      <c r="CX58" s="53"/>
      <c r="CY58" s="53"/>
      <c r="CZ58" s="53"/>
      <c r="DA58" s="53"/>
      <c r="DB58" s="53"/>
      <c r="DC58" s="53"/>
      <c r="DD58" s="53"/>
      <c r="DE58" s="53"/>
      <c r="DF58" s="53"/>
      <c r="DG58" s="53"/>
      <c r="DH58" s="53"/>
      <c r="DI58" s="53"/>
      <c r="DJ58" s="53"/>
      <c r="DK58" s="53"/>
      <c r="DL58" s="53"/>
      <c r="DM58" s="53"/>
      <c r="DN58" s="53"/>
      <c r="DO58" s="53"/>
      <c r="DP58" s="53"/>
      <c r="DQ58" s="53"/>
      <c r="DR58" s="53"/>
      <c r="DS58" s="53"/>
      <c r="DT58" s="53"/>
      <c r="DU58" s="53"/>
      <c r="DV58" s="53"/>
      <c r="DW58" s="53"/>
      <c r="DX58" s="53"/>
      <c r="DY58" s="53"/>
      <c r="DZ58" s="53"/>
      <c r="EA58" s="53"/>
      <c r="EB58" s="53"/>
      <c r="EC58" s="53"/>
      <c r="ED58" s="53"/>
      <c r="EE58" s="53"/>
      <c r="EF58" s="53"/>
      <c r="EG58" s="53"/>
      <c r="EH58" s="53"/>
      <c r="EI58" s="53"/>
      <c r="EJ58" s="53"/>
      <c r="EK58" s="53"/>
      <c r="EL58" s="53"/>
      <c r="EM58" s="53"/>
      <c r="EN58" s="53"/>
      <c r="EO58" s="53"/>
      <c r="EP58" s="53"/>
      <c r="EQ58" s="53"/>
      <c r="ER58" s="54"/>
      <c r="ES58" s="54"/>
      <c r="ET58" s="54"/>
      <c r="EU58" s="54"/>
      <c r="EV58" s="54"/>
      <c r="EW58" s="54"/>
      <c r="EX58" s="54"/>
      <c r="EY58" s="54"/>
      <c r="EZ58" s="54"/>
      <c r="FA58" s="54"/>
      <c r="FB58" s="54"/>
      <c r="FC58" s="54"/>
      <c r="FD58" s="54"/>
      <c r="FE58" s="54"/>
      <c r="FF58" s="54"/>
      <c r="FG58" s="54"/>
      <c r="FH58" s="54"/>
      <c r="FI58" s="54"/>
      <c r="FJ58" s="54"/>
      <c r="FK58" s="54"/>
      <c r="FL58" s="54"/>
      <c r="FM58" s="54"/>
      <c r="FN58" s="54"/>
      <c r="FO58" s="54"/>
      <c r="FP58" s="54"/>
      <c r="FQ58" s="54"/>
    </row>
    <row r="59" spans="1:175" s="15" customFormat="1" ht="110.25" customHeight="1" x14ac:dyDescent="0.25">
      <c r="A59" s="49" t="s">
        <v>447</v>
      </c>
      <c r="B59" s="49" t="s">
        <v>448</v>
      </c>
      <c r="C59" s="49" t="s">
        <v>449</v>
      </c>
      <c r="D59" s="49">
        <v>2022</v>
      </c>
      <c r="E59" s="50" t="s">
        <v>450</v>
      </c>
      <c r="F59" s="49">
        <v>359236</v>
      </c>
      <c r="G59" s="49">
        <v>361774</v>
      </c>
      <c r="H59" s="49" t="s">
        <v>451</v>
      </c>
      <c r="I59" s="49" t="s">
        <v>447</v>
      </c>
      <c r="J59" s="64">
        <v>2.1250000000000002E-2</v>
      </c>
      <c r="K59" s="49" t="s">
        <v>79</v>
      </c>
      <c r="L59" s="49" t="s">
        <v>452</v>
      </c>
      <c r="M59" s="49" t="s">
        <v>453</v>
      </c>
      <c r="N59" s="49" t="s">
        <v>62</v>
      </c>
      <c r="O59" s="49" t="s">
        <v>98</v>
      </c>
      <c r="P59" s="49" t="s">
        <v>64</v>
      </c>
      <c r="Q59" s="49">
        <v>2</v>
      </c>
      <c r="R59" s="49" t="s">
        <v>454</v>
      </c>
      <c r="S59" s="49" t="s">
        <v>84</v>
      </c>
      <c r="T59" s="49" t="s">
        <v>85</v>
      </c>
      <c r="U59" s="49" t="s">
        <v>68</v>
      </c>
      <c r="V59" s="49" t="s">
        <v>86</v>
      </c>
      <c r="W59" s="49" t="s">
        <v>70</v>
      </c>
      <c r="X59" s="51" t="s">
        <v>455</v>
      </c>
      <c r="Y59" s="51" t="s">
        <v>72</v>
      </c>
      <c r="Z59" s="51" t="s">
        <v>456</v>
      </c>
      <c r="AA59" s="29">
        <v>1</v>
      </c>
      <c r="AB59" s="41"/>
      <c r="AC59" s="41"/>
      <c r="AD59" s="41"/>
      <c r="AE59" s="39"/>
      <c r="AF59" s="40"/>
      <c r="AG59" s="32"/>
      <c r="AH59" s="33"/>
      <c r="AI59" s="32"/>
      <c r="AJ59" s="33"/>
      <c r="AK59" s="32"/>
      <c r="AL59" s="33"/>
      <c r="AM59" s="32"/>
      <c r="AN59" s="33"/>
      <c r="AO59" s="34"/>
      <c r="AP59" s="35"/>
      <c r="AQ59" s="34"/>
      <c r="AR59" s="35"/>
      <c r="AS59" s="34"/>
      <c r="AT59" s="35"/>
      <c r="AU59" s="36"/>
      <c r="AV59" s="37"/>
      <c r="AW59" s="36"/>
      <c r="AX59" s="52">
        <f t="shared" si="3"/>
        <v>0</v>
      </c>
      <c r="AY59" s="52"/>
      <c r="AZ59" s="52"/>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c r="CD59" s="53"/>
      <c r="CE59" s="53"/>
      <c r="CF59" s="53"/>
      <c r="CG59" s="53"/>
      <c r="CH59" s="53"/>
      <c r="CI59" s="53"/>
      <c r="CJ59" s="53"/>
      <c r="CK59" s="53"/>
      <c r="CL59" s="53"/>
      <c r="CM59" s="53"/>
      <c r="CN59" s="53"/>
      <c r="CO59" s="53"/>
      <c r="CP59" s="53"/>
      <c r="CQ59" s="53"/>
      <c r="CR59" s="53"/>
      <c r="CS59" s="53"/>
      <c r="CT59" s="53"/>
      <c r="CU59" s="53"/>
      <c r="CV59" s="53"/>
      <c r="CW59" s="53"/>
      <c r="CX59" s="53"/>
      <c r="CY59" s="53"/>
      <c r="CZ59" s="53"/>
      <c r="DA59" s="53"/>
      <c r="DB59" s="53"/>
      <c r="DC59" s="53"/>
      <c r="DD59" s="53"/>
      <c r="DE59" s="53"/>
      <c r="DF59" s="53"/>
      <c r="DG59" s="53"/>
      <c r="DH59" s="53"/>
      <c r="DI59" s="53"/>
      <c r="DJ59" s="53"/>
      <c r="DK59" s="53"/>
      <c r="DL59" s="53"/>
      <c r="DM59" s="53"/>
      <c r="DN59" s="53"/>
      <c r="DO59" s="53"/>
      <c r="DP59" s="53"/>
      <c r="DQ59" s="53"/>
      <c r="DR59" s="53"/>
      <c r="DS59" s="53"/>
      <c r="DT59" s="53"/>
      <c r="DU59" s="53"/>
      <c r="DV59" s="53"/>
      <c r="DW59" s="53"/>
      <c r="DX59" s="53"/>
      <c r="DY59" s="53"/>
      <c r="DZ59" s="53"/>
      <c r="EA59" s="53"/>
      <c r="EB59" s="53"/>
      <c r="EC59" s="53"/>
      <c r="ED59" s="53"/>
      <c r="EE59" s="53"/>
      <c r="EF59" s="53"/>
      <c r="EG59" s="53"/>
      <c r="EH59" s="53"/>
      <c r="EI59" s="53"/>
      <c r="EJ59" s="53"/>
      <c r="EK59" s="53"/>
      <c r="EL59" s="53"/>
      <c r="EM59" s="53"/>
      <c r="EN59" s="53"/>
      <c r="EO59" s="53"/>
      <c r="EP59" s="53"/>
      <c r="EQ59" s="53"/>
      <c r="ER59" s="54"/>
      <c r="ES59" s="54"/>
      <c r="ET59" s="54"/>
      <c r="EU59" s="54"/>
      <c r="EV59" s="54"/>
      <c r="EW59" s="54"/>
      <c r="EX59" s="54"/>
      <c r="EY59" s="54"/>
      <c r="EZ59" s="54"/>
      <c r="FA59" s="54"/>
      <c r="FB59" s="54"/>
      <c r="FC59" s="54"/>
      <c r="FD59" s="54"/>
      <c r="FE59" s="54"/>
      <c r="FF59" s="54"/>
      <c r="FG59" s="54"/>
      <c r="FH59" s="54"/>
      <c r="FI59" s="54"/>
      <c r="FJ59" s="54"/>
      <c r="FK59" s="54"/>
      <c r="FL59" s="54"/>
      <c r="FM59" s="54"/>
      <c r="FN59" s="54"/>
      <c r="FO59" s="54"/>
      <c r="FP59" s="54"/>
      <c r="FQ59" s="54"/>
    </row>
    <row r="60" spans="1:175" s="15" customFormat="1" ht="110.25" customHeight="1" x14ac:dyDescent="0.25">
      <c r="A60" s="46" t="s">
        <v>447</v>
      </c>
      <c r="B60" s="46" t="s">
        <v>457</v>
      </c>
      <c r="C60" s="46" t="s">
        <v>449</v>
      </c>
      <c r="D60" s="46">
        <v>2022</v>
      </c>
      <c r="E60" s="47" t="s">
        <v>458</v>
      </c>
      <c r="F60" s="46">
        <v>827156</v>
      </c>
      <c r="G60" s="46">
        <v>828037</v>
      </c>
      <c r="H60" s="46" t="s">
        <v>451</v>
      </c>
      <c r="I60" s="46" t="s">
        <v>447</v>
      </c>
      <c r="J60" s="65">
        <v>2.1250000000000002E-2</v>
      </c>
      <c r="K60" s="46" t="s">
        <v>79</v>
      </c>
      <c r="L60" s="46" t="s">
        <v>452</v>
      </c>
      <c r="M60" s="46" t="s">
        <v>453</v>
      </c>
      <c r="N60" s="46" t="s">
        <v>62</v>
      </c>
      <c r="O60" s="46" t="s">
        <v>98</v>
      </c>
      <c r="P60" s="46" t="s">
        <v>64</v>
      </c>
      <c r="Q60" s="46">
        <v>2</v>
      </c>
      <c r="R60" s="46" t="s">
        <v>454</v>
      </c>
      <c r="S60" s="46" t="s">
        <v>84</v>
      </c>
      <c r="T60" s="46" t="s">
        <v>85</v>
      </c>
      <c r="U60" s="46" t="s">
        <v>68</v>
      </c>
      <c r="V60" s="46" t="s">
        <v>86</v>
      </c>
      <c r="W60" s="46" t="s">
        <v>70</v>
      </c>
      <c r="X60" s="48" t="s">
        <v>459</v>
      </c>
      <c r="Y60" s="48" t="s">
        <v>72</v>
      </c>
      <c r="Z60" s="48" t="s">
        <v>460</v>
      </c>
      <c r="AA60" s="29">
        <v>1</v>
      </c>
      <c r="AB60" s="41"/>
      <c r="AC60" s="41"/>
      <c r="AD60" s="41"/>
      <c r="AE60" s="39"/>
      <c r="AF60" s="40"/>
      <c r="AG60" s="32"/>
      <c r="AH60" s="33"/>
      <c r="AI60" s="32"/>
      <c r="AJ60" s="33"/>
      <c r="AK60" s="32"/>
      <c r="AL60" s="33"/>
      <c r="AM60" s="32"/>
      <c r="AN60" s="33"/>
      <c r="AO60" s="34"/>
      <c r="AP60" s="35"/>
      <c r="AQ60" s="34"/>
      <c r="AR60" s="35"/>
      <c r="AS60" s="34"/>
      <c r="AT60" s="35"/>
      <c r="AU60" s="36"/>
      <c r="AV60" s="37"/>
      <c r="AW60" s="36"/>
      <c r="AX60" s="52">
        <f t="shared" si="3"/>
        <v>0</v>
      </c>
      <c r="AY60" s="52"/>
      <c r="AZ60" s="52"/>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c r="CD60" s="53"/>
      <c r="CE60" s="53"/>
      <c r="CF60" s="53"/>
      <c r="CG60" s="53"/>
      <c r="CH60" s="53"/>
      <c r="CI60" s="53"/>
      <c r="CJ60" s="53"/>
      <c r="CK60" s="53"/>
      <c r="CL60" s="53"/>
      <c r="CM60" s="53"/>
      <c r="CN60" s="53"/>
      <c r="CO60" s="53"/>
      <c r="CP60" s="53"/>
      <c r="CQ60" s="53"/>
      <c r="CR60" s="53"/>
      <c r="CS60" s="53"/>
      <c r="CT60" s="53"/>
      <c r="CU60" s="53"/>
      <c r="CV60" s="53"/>
      <c r="CW60" s="53"/>
      <c r="CX60" s="53"/>
      <c r="CY60" s="53"/>
      <c r="CZ60" s="53"/>
      <c r="DA60" s="53"/>
      <c r="DB60" s="53"/>
      <c r="DC60" s="53"/>
      <c r="DD60" s="53"/>
      <c r="DE60" s="53"/>
      <c r="DF60" s="53"/>
      <c r="DG60" s="53"/>
      <c r="DH60" s="53"/>
      <c r="DI60" s="53"/>
      <c r="DJ60" s="53"/>
      <c r="DK60" s="53"/>
      <c r="DL60" s="53"/>
      <c r="DM60" s="53"/>
      <c r="DN60" s="53"/>
      <c r="DO60" s="53"/>
      <c r="DP60" s="53"/>
      <c r="DQ60" s="53"/>
      <c r="DR60" s="53"/>
      <c r="DS60" s="53"/>
      <c r="DT60" s="53"/>
      <c r="DU60" s="53"/>
      <c r="DV60" s="53"/>
      <c r="DW60" s="53"/>
      <c r="DX60" s="53"/>
      <c r="DY60" s="53"/>
      <c r="DZ60" s="53"/>
      <c r="EA60" s="53"/>
      <c r="EB60" s="53"/>
      <c r="EC60" s="53"/>
      <c r="ED60" s="53"/>
      <c r="EE60" s="53"/>
      <c r="EF60" s="53"/>
      <c r="EG60" s="53"/>
      <c r="EH60" s="53"/>
      <c r="EI60" s="53"/>
      <c r="EJ60" s="53"/>
      <c r="EK60" s="53"/>
      <c r="EL60" s="53"/>
      <c r="EM60" s="53"/>
      <c r="EN60" s="53"/>
      <c r="EO60" s="53"/>
      <c r="EP60" s="53"/>
      <c r="EQ60" s="53"/>
      <c r="ER60" s="54"/>
      <c r="ES60" s="54"/>
      <c r="ET60" s="54"/>
      <c r="EU60" s="54"/>
      <c r="EV60" s="54"/>
      <c r="EW60" s="54"/>
      <c r="EX60" s="54"/>
      <c r="EY60" s="54"/>
      <c r="EZ60" s="54"/>
      <c r="FA60" s="54"/>
      <c r="FB60" s="54"/>
      <c r="FC60" s="54"/>
      <c r="FD60" s="54"/>
      <c r="FE60" s="54"/>
      <c r="FF60" s="54"/>
      <c r="FG60" s="54"/>
      <c r="FH60" s="54"/>
      <c r="FI60" s="54"/>
      <c r="FJ60" s="54"/>
      <c r="FK60" s="54"/>
      <c r="FL60" s="54"/>
      <c r="FM60" s="54"/>
      <c r="FN60" s="54"/>
      <c r="FO60" s="54"/>
      <c r="FP60" s="54"/>
      <c r="FQ60" s="54"/>
    </row>
    <row r="61" spans="1:175" ht="110.25" customHeight="1" x14ac:dyDescent="0.25">
      <c r="A61" s="49" t="s">
        <v>447</v>
      </c>
      <c r="B61" s="49" t="s">
        <v>461</v>
      </c>
      <c r="C61" s="49" t="s">
        <v>449</v>
      </c>
      <c r="D61" s="49">
        <v>2022</v>
      </c>
      <c r="E61" s="50" t="s">
        <v>462</v>
      </c>
      <c r="F61" s="49">
        <v>1013926</v>
      </c>
      <c r="G61" s="49">
        <v>1016123</v>
      </c>
      <c r="H61" s="49" t="s">
        <v>463</v>
      </c>
      <c r="I61" s="49" t="s">
        <v>447</v>
      </c>
      <c r="J61" s="64">
        <v>2.1250000000000002E-2</v>
      </c>
      <c r="K61" s="49" t="s">
        <v>79</v>
      </c>
      <c r="L61" s="49" t="s">
        <v>452</v>
      </c>
      <c r="M61" s="49" t="s">
        <v>453</v>
      </c>
      <c r="N61" s="49" t="s">
        <v>97</v>
      </c>
      <c r="O61" s="49" t="s">
        <v>98</v>
      </c>
      <c r="P61" s="49" t="s">
        <v>64</v>
      </c>
      <c r="Q61" s="49">
        <v>2</v>
      </c>
      <c r="R61" s="49" t="s">
        <v>99</v>
      </c>
      <c r="S61" s="49" t="s">
        <v>84</v>
      </c>
      <c r="T61" s="49" t="s">
        <v>85</v>
      </c>
      <c r="U61" s="49" t="s">
        <v>68</v>
      </c>
      <c r="V61" s="49" t="s">
        <v>86</v>
      </c>
      <c r="W61" s="49" t="s">
        <v>100</v>
      </c>
      <c r="X61" s="51" t="s">
        <v>464</v>
      </c>
      <c r="Y61" s="51" t="s">
        <v>72</v>
      </c>
      <c r="Z61" s="51" t="s">
        <v>465</v>
      </c>
      <c r="AA61" s="29"/>
      <c r="AB61" s="30"/>
      <c r="AC61" s="38"/>
      <c r="AD61" s="29"/>
      <c r="AE61" s="39">
        <v>1</v>
      </c>
      <c r="AF61" s="40"/>
      <c r="AG61" s="32"/>
      <c r="AH61" s="33"/>
      <c r="AI61" s="32"/>
      <c r="AJ61" s="33"/>
      <c r="AK61" s="32"/>
      <c r="AL61" s="33"/>
      <c r="AM61" s="32"/>
      <c r="AN61" s="33"/>
      <c r="AO61" s="34">
        <v>1</v>
      </c>
      <c r="AP61" s="35"/>
      <c r="AQ61" s="34"/>
      <c r="AR61" s="35"/>
      <c r="AS61" s="34"/>
      <c r="AT61" s="35"/>
      <c r="AU61" s="36"/>
      <c r="AV61" s="37"/>
      <c r="AW61" s="36"/>
      <c r="AX61" s="52">
        <f t="shared" si="3"/>
        <v>0</v>
      </c>
      <c r="AY61" s="52"/>
      <c r="AZ61" s="52"/>
      <c r="ER61" s="54"/>
      <c r="ES61" s="54"/>
      <c r="ET61" s="54"/>
      <c r="EU61" s="54"/>
      <c r="EV61" s="54"/>
      <c r="EW61" s="54"/>
      <c r="EX61" s="54"/>
      <c r="EY61" s="54"/>
      <c r="EZ61" s="54"/>
      <c r="FA61" s="54"/>
      <c r="FB61" s="54"/>
      <c r="FC61" s="54"/>
      <c r="FD61" s="54"/>
      <c r="FE61" s="54"/>
      <c r="FF61" s="54"/>
      <c r="FG61" s="54"/>
      <c r="FH61" s="54"/>
      <c r="FI61" s="54"/>
      <c r="FJ61" s="54"/>
      <c r="FK61" s="54"/>
      <c r="FL61" s="54"/>
      <c r="FM61" s="54"/>
      <c r="FN61" s="54"/>
      <c r="FO61" s="54"/>
      <c r="FP61" s="54"/>
      <c r="FQ61" s="54"/>
    </row>
    <row r="62" spans="1:175" s="15" customFormat="1" ht="110.25" customHeight="1" x14ac:dyDescent="0.25">
      <c r="A62" s="46" t="s">
        <v>466</v>
      </c>
      <c r="B62" s="46" t="s">
        <v>467</v>
      </c>
      <c r="C62" s="46" t="s">
        <v>468</v>
      </c>
      <c r="D62" s="46">
        <v>2021</v>
      </c>
      <c r="E62" s="47" t="s">
        <v>469</v>
      </c>
      <c r="F62" s="46">
        <v>515846</v>
      </c>
      <c r="G62" s="46">
        <v>516357</v>
      </c>
      <c r="H62" s="46" t="s">
        <v>470</v>
      </c>
      <c r="I62" s="46" t="s">
        <v>466</v>
      </c>
      <c r="J62" s="65">
        <v>3.8668981481481485E-2</v>
      </c>
      <c r="K62" s="46" t="s">
        <v>79</v>
      </c>
      <c r="L62" s="46" t="s">
        <v>471</v>
      </c>
      <c r="M62" s="46" t="s">
        <v>472</v>
      </c>
      <c r="N62" s="46" t="s">
        <v>82</v>
      </c>
      <c r="O62" s="46" t="s">
        <v>98</v>
      </c>
      <c r="P62" s="46" t="s">
        <v>64</v>
      </c>
      <c r="Q62" s="46">
        <v>2</v>
      </c>
      <c r="R62" s="46" t="s">
        <v>473</v>
      </c>
      <c r="S62" s="46" t="s">
        <v>84</v>
      </c>
      <c r="T62" s="46" t="s">
        <v>85</v>
      </c>
      <c r="U62" s="46" t="s">
        <v>68</v>
      </c>
      <c r="V62" s="46" t="s">
        <v>86</v>
      </c>
      <c r="W62" s="46" t="s">
        <v>70</v>
      </c>
      <c r="X62" s="48" t="s">
        <v>474</v>
      </c>
      <c r="Y62" s="48" t="s">
        <v>72</v>
      </c>
      <c r="Z62" s="48" t="s">
        <v>475</v>
      </c>
      <c r="AA62" s="29"/>
      <c r="AB62" s="41"/>
      <c r="AC62" s="41"/>
      <c r="AD62" s="41"/>
      <c r="AE62" s="18">
        <v>1</v>
      </c>
      <c r="AF62" s="19"/>
      <c r="AG62" s="32"/>
      <c r="AH62" s="33"/>
      <c r="AI62" s="32"/>
      <c r="AJ62" s="33"/>
      <c r="AK62" s="32"/>
      <c r="AL62" s="33"/>
      <c r="AM62" s="32"/>
      <c r="AN62" s="33">
        <v>1</v>
      </c>
      <c r="AO62" s="34"/>
      <c r="AP62" s="35"/>
      <c r="AQ62" s="34"/>
      <c r="AR62" s="35"/>
      <c r="AS62" s="34"/>
      <c r="AT62" s="35"/>
      <c r="AU62" s="36"/>
      <c r="AV62" s="37">
        <v>1</v>
      </c>
      <c r="AW62" s="36"/>
      <c r="AX62" s="52">
        <f t="shared" si="3"/>
        <v>1</v>
      </c>
      <c r="AY62" s="52"/>
      <c r="AZ62" s="52"/>
      <c r="BA62" s="53"/>
      <c r="BB62" s="53"/>
      <c r="BC62" s="53"/>
      <c r="BD62" s="53"/>
      <c r="BE62" s="53"/>
      <c r="BF62" s="53"/>
      <c r="BG62" s="53"/>
      <c r="BH62" s="53"/>
      <c r="BI62" s="53"/>
      <c r="BJ62" s="53"/>
      <c r="BK62" s="53"/>
      <c r="BL62" s="53"/>
      <c r="BM62" s="53"/>
      <c r="BN62" s="53"/>
      <c r="BO62" s="53"/>
      <c r="BP62" s="53"/>
      <c r="BQ62" s="53"/>
      <c r="BR62" s="53"/>
      <c r="BS62" s="53"/>
      <c r="BT62" s="53"/>
      <c r="BU62" s="53"/>
      <c r="BV62" s="53"/>
      <c r="BW62" s="53"/>
      <c r="BX62" s="53"/>
      <c r="BY62" s="53"/>
      <c r="BZ62" s="53"/>
      <c r="CA62" s="53"/>
      <c r="CB62" s="53"/>
      <c r="CC62" s="53"/>
      <c r="CD62" s="53"/>
      <c r="CE62" s="53"/>
      <c r="CF62" s="53"/>
      <c r="CG62" s="53"/>
      <c r="CH62" s="53"/>
      <c r="CI62" s="53"/>
      <c r="CJ62" s="53"/>
      <c r="CK62" s="53"/>
      <c r="CL62" s="53"/>
      <c r="CM62" s="53"/>
      <c r="CN62" s="53"/>
      <c r="CO62" s="53"/>
      <c r="CP62" s="53"/>
      <c r="CQ62" s="53"/>
      <c r="CR62" s="53"/>
      <c r="CS62" s="53"/>
      <c r="CT62" s="53"/>
      <c r="CU62" s="53"/>
      <c r="CV62" s="53"/>
      <c r="CW62" s="53"/>
      <c r="CX62" s="53"/>
      <c r="CY62" s="53"/>
      <c r="CZ62" s="53"/>
      <c r="DA62" s="53"/>
      <c r="DB62" s="53"/>
      <c r="DC62" s="53"/>
      <c r="DD62" s="53"/>
      <c r="DE62" s="53"/>
      <c r="DF62" s="53"/>
      <c r="DG62" s="53"/>
      <c r="DH62" s="53"/>
      <c r="DI62" s="53"/>
      <c r="DJ62" s="53"/>
      <c r="DK62" s="53"/>
      <c r="DL62" s="53"/>
      <c r="DM62" s="53"/>
      <c r="DN62" s="53"/>
      <c r="DO62" s="53"/>
      <c r="DP62" s="53"/>
      <c r="DQ62" s="53"/>
      <c r="DR62" s="53"/>
      <c r="DS62" s="53"/>
      <c r="DT62" s="53"/>
      <c r="DU62" s="53"/>
      <c r="DV62" s="53"/>
      <c r="DW62" s="53"/>
      <c r="DX62" s="53"/>
      <c r="DY62" s="53"/>
      <c r="DZ62" s="53"/>
      <c r="EA62" s="53"/>
      <c r="EB62" s="53"/>
      <c r="EC62" s="53"/>
      <c r="ED62" s="53"/>
      <c r="EE62" s="53"/>
      <c r="EF62" s="53"/>
      <c r="EG62" s="53"/>
      <c r="EH62" s="53"/>
      <c r="EI62" s="53"/>
      <c r="EJ62" s="53"/>
      <c r="EK62" s="53"/>
      <c r="EL62" s="53"/>
      <c r="EM62" s="53"/>
      <c r="EN62" s="53"/>
      <c r="EO62" s="53"/>
      <c r="EP62" s="53"/>
      <c r="EQ62" s="53"/>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row>
    <row r="63" spans="1:175" ht="110.25" customHeight="1" x14ac:dyDescent="0.25">
      <c r="A63" s="49" t="s">
        <v>466</v>
      </c>
      <c r="B63" s="49" t="s">
        <v>476</v>
      </c>
      <c r="C63" s="49" t="s">
        <v>468</v>
      </c>
      <c r="D63" s="49">
        <v>2021</v>
      </c>
      <c r="E63" s="50" t="s">
        <v>477</v>
      </c>
      <c r="F63" s="49">
        <v>1256007</v>
      </c>
      <c r="G63" s="49">
        <v>1257554</v>
      </c>
      <c r="H63" s="49" t="s">
        <v>426</v>
      </c>
      <c r="I63" s="49" t="s">
        <v>466</v>
      </c>
      <c r="J63" s="64">
        <v>3.8668981481481485E-2</v>
      </c>
      <c r="K63" s="49" t="s">
        <v>79</v>
      </c>
      <c r="L63" s="49" t="s">
        <v>471</v>
      </c>
      <c r="M63" s="49" t="s">
        <v>472</v>
      </c>
      <c r="N63" s="49" t="s">
        <v>97</v>
      </c>
      <c r="O63" s="49" t="s">
        <v>63</v>
      </c>
      <c r="P63" s="49" t="s">
        <v>64</v>
      </c>
      <c r="Q63" s="49">
        <v>2</v>
      </c>
      <c r="R63" s="49" t="s">
        <v>99</v>
      </c>
      <c r="S63" s="49" t="s">
        <v>84</v>
      </c>
      <c r="T63" s="49" t="s">
        <v>85</v>
      </c>
      <c r="U63" s="49" t="s">
        <v>68</v>
      </c>
      <c r="V63" s="49" t="s">
        <v>86</v>
      </c>
      <c r="W63" s="49" t="s">
        <v>100</v>
      </c>
      <c r="X63" s="51" t="s">
        <v>478</v>
      </c>
      <c r="Y63" s="51" t="s">
        <v>72</v>
      </c>
      <c r="Z63" s="51" t="s">
        <v>479</v>
      </c>
      <c r="AA63" s="29"/>
      <c r="AB63" s="30"/>
      <c r="AC63" s="38"/>
      <c r="AD63" s="29"/>
      <c r="AE63" s="39">
        <v>1</v>
      </c>
      <c r="AF63" s="40"/>
      <c r="AG63" s="32"/>
      <c r="AH63" s="33"/>
      <c r="AI63" s="32"/>
      <c r="AJ63" s="33"/>
      <c r="AK63" s="32"/>
      <c r="AL63" s="33"/>
      <c r="AM63" s="32"/>
      <c r="AN63" s="33"/>
      <c r="AO63" s="34"/>
      <c r="AP63" s="35"/>
      <c r="AQ63" s="34">
        <v>1</v>
      </c>
      <c r="AR63" s="35"/>
      <c r="AS63" s="34"/>
      <c r="AT63" s="35"/>
      <c r="AU63" s="36"/>
      <c r="AV63" s="37"/>
      <c r="AW63" s="36"/>
      <c r="AX63" s="52">
        <f t="shared" si="3"/>
        <v>0</v>
      </c>
      <c r="AY63" s="52"/>
      <c r="AZ63" s="52"/>
      <c r="ER63" s="54"/>
      <c r="ES63" s="54"/>
      <c r="ET63" s="54"/>
      <c r="EU63" s="54"/>
      <c r="EV63" s="54"/>
      <c r="EW63" s="54"/>
      <c r="EX63" s="54"/>
      <c r="EY63" s="54"/>
      <c r="EZ63" s="54"/>
      <c r="FA63" s="54"/>
      <c r="FB63" s="54"/>
      <c r="FC63" s="54"/>
      <c r="FD63" s="54"/>
      <c r="FE63" s="54"/>
      <c r="FF63" s="54"/>
      <c r="FG63" s="54"/>
      <c r="FH63" s="54"/>
      <c r="FI63" s="54"/>
      <c r="FJ63" s="54"/>
      <c r="FK63" s="54"/>
      <c r="FL63" s="54"/>
      <c r="FM63" s="54"/>
      <c r="FN63" s="54"/>
      <c r="FO63" s="54"/>
      <c r="FP63" s="54"/>
      <c r="FQ63" s="54"/>
    </row>
    <row r="64" spans="1:175" ht="110.25" customHeight="1" x14ac:dyDescent="0.25">
      <c r="A64" s="46" t="s">
        <v>466</v>
      </c>
      <c r="B64" s="46" t="s">
        <v>480</v>
      </c>
      <c r="C64" s="46" t="s">
        <v>468</v>
      </c>
      <c r="D64" s="46">
        <v>2021</v>
      </c>
      <c r="E64" s="47" t="s">
        <v>481</v>
      </c>
      <c r="F64" s="46">
        <v>3329391</v>
      </c>
      <c r="G64" s="46">
        <v>3331595</v>
      </c>
      <c r="H64" s="46" t="s">
        <v>426</v>
      </c>
      <c r="I64" s="46" t="s">
        <v>466</v>
      </c>
      <c r="J64" s="65">
        <v>3.8668981481481485E-2</v>
      </c>
      <c r="K64" s="46" t="s">
        <v>79</v>
      </c>
      <c r="L64" s="46" t="s">
        <v>471</v>
      </c>
      <c r="M64" s="46" t="s">
        <v>472</v>
      </c>
      <c r="N64" s="46" t="s">
        <v>97</v>
      </c>
      <c r="O64" s="46" t="s">
        <v>63</v>
      </c>
      <c r="P64" s="46" t="s">
        <v>64</v>
      </c>
      <c r="Q64" s="46">
        <v>2</v>
      </c>
      <c r="R64" s="46" t="s">
        <v>99</v>
      </c>
      <c r="S64" s="46" t="s">
        <v>84</v>
      </c>
      <c r="T64" s="46" t="s">
        <v>85</v>
      </c>
      <c r="U64" s="46" t="s">
        <v>68</v>
      </c>
      <c r="V64" s="46" t="s">
        <v>86</v>
      </c>
      <c r="W64" s="46" t="s">
        <v>100</v>
      </c>
      <c r="X64" s="48" t="s">
        <v>482</v>
      </c>
      <c r="Y64" s="48" t="s">
        <v>72</v>
      </c>
      <c r="Z64" s="48" t="s">
        <v>483</v>
      </c>
      <c r="AA64" s="29"/>
      <c r="AB64" s="30"/>
      <c r="AC64" s="38"/>
      <c r="AD64" s="29"/>
      <c r="AE64" s="39">
        <v>1</v>
      </c>
      <c r="AF64" s="40"/>
      <c r="AG64" s="32"/>
      <c r="AH64" s="33">
        <v>1</v>
      </c>
      <c r="AI64" s="32"/>
      <c r="AJ64" s="33"/>
      <c r="AK64" s="32"/>
      <c r="AL64" s="33"/>
      <c r="AM64" s="32"/>
      <c r="AN64" s="33"/>
      <c r="AO64" s="34"/>
      <c r="AP64" s="35"/>
      <c r="AQ64" s="34"/>
      <c r="AR64" s="35"/>
      <c r="AS64" s="34"/>
      <c r="AT64" s="35"/>
      <c r="AU64" s="36"/>
      <c r="AV64" s="37"/>
      <c r="AW64" s="36"/>
      <c r="AX64" s="52">
        <f t="shared" si="3"/>
        <v>0</v>
      </c>
      <c r="AY64" s="52"/>
      <c r="AZ64" s="52"/>
      <c r="ER64" s="54"/>
      <c r="ES64" s="54"/>
      <c r="ET64" s="54"/>
      <c r="EU64" s="54"/>
      <c r="EV64" s="54"/>
      <c r="EW64" s="54"/>
      <c r="EX64" s="54"/>
      <c r="EY64" s="54"/>
      <c r="EZ64" s="54"/>
      <c r="FA64" s="54"/>
      <c r="FB64" s="54"/>
      <c r="FC64" s="54"/>
      <c r="FD64" s="54"/>
      <c r="FE64" s="54"/>
      <c r="FF64" s="54"/>
      <c r="FG64" s="54"/>
      <c r="FH64" s="54"/>
      <c r="FI64" s="54"/>
      <c r="FJ64" s="54"/>
      <c r="FK64" s="54"/>
      <c r="FL64" s="54"/>
      <c r="FM64" s="54"/>
      <c r="FN64" s="54"/>
      <c r="FO64" s="54"/>
      <c r="FP64" s="54"/>
      <c r="FQ64" s="54"/>
    </row>
    <row r="65" spans="1:173" ht="110.25" customHeight="1" x14ac:dyDescent="0.25">
      <c r="A65" s="49" t="s">
        <v>484</v>
      </c>
      <c r="B65" s="49" t="s">
        <v>485</v>
      </c>
      <c r="C65" s="49" t="s">
        <v>486</v>
      </c>
      <c r="D65" s="49">
        <v>2024</v>
      </c>
      <c r="E65" s="50" t="s">
        <v>487</v>
      </c>
      <c r="F65" s="49">
        <v>884487</v>
      </c>
      <c r="G65" s="49">
        <v>887198</v>
      </c>
      <c r="H65" s="49" t="s">
        <v>488</v>
      </c>
      <c r="I65" s="49" t="s">
        <v>484</v>
      </c>
      <c r="J65" s="64">
        <v>3.6354166666666667E-2</v>
      </c>
      <c r="K65" s="49" t="s">
        <v>79</v>
      </c>
      <c r="L65" s="49" t="s">
        <v>489</v>
      </c>
      <c r="M65" s="49" t="s">
        <v>490</v>
      </c>
      <c r="N65" s="49" t="s">
        <v>186</v>
      </c>
      <c r="O65" s="49" t="s">
        <v>98</v>
      </c>
      <c r="P65" s="49" t="s">
        <v>64</v>
      </c>
      <c r="Q65" s="49">
        <v>3</v>
      </c>
      <c r="R65" s="49" t="s">
        <v>65</v>
      </c>
      <c r="S65" s="49" t="s">
        <v>84</v>
      </c>
      <c r="T65" s="49" t="s">
        <v>85</v>
      </c>
      <c r="U65" s="49" t="s">
        <v>68</v>
      </c>
      <c r="V65" s="49" t="s">
        <v>86</v>
      </c>
      <c r="W65" s="49" t="s">
        <v>70</v>
      </c>
      <c r="X65" s="51" t="s">
        <v>491</v>
      </c>
      <c r="Y65" s="51" t="s">
        <v>72</v>
      </c>
      <c r="Z65" s="51" t="s">
        <v>492</v>
      </c>
      <c r="AA65" s="29"/>
      <c r="AB65" s="30"/>
      <c r="AC65" s="38"/>
      <c r="AD65" s="29"/>
      <c r="AE65" s="39">
        <v>1</v>
      </c>
      <c r="AF65" s="40"/>
      <c r="AG65" s="32"/>
      <c r="AH65" s="33"/>
      <c r="AI65" s="32"/>
      <c r="AJ65" s="33"/>
      <c r="AK65" s="32"/>
      <c r="AL65" s="33"/>
      <c r="AM65" s="32"/>
      <c r="AN65" s="33"/>
      <c r="AO65" s="34">
        <v>1</v>
      </c>
      <c r="AP65" s="35"/>
      <c r="AQ65" s="34"/>
      <c r="AR65" s="35"/>
      <c r="AS65" s="34"/>
      <c r="AT65" s="35"/>
      <c r="AU65" s="36"/>
      <c r="AV65" s="37"/>
      <c r="AW65" s="36"/>
      <c r="AX65" s="52">
        <f t="shared" si="3"/>
        <v>0</v>
      </c>
      <c r="AY65" s="52"/>
      <c r="AZ65" s="52"/>
      <c r="ER65" s="54"/>
      <c r="ES65" s="54"/>
      <c r="ET65" s="54"/>
      <c r="EU65" s="54"/>
      <c r="EV65" s="54"/>
      <c r="EW65" s="54"/>
      <c r="EX65" s="54"/>
      <c r="EY65" s="54"/>
      <c r="EZ65" s="54"/>
      <c r="FA65" s="54"/>
      <c r="FB65" s="54"/>
      <c r="FC65" s="54"/>
      <c r="FD65" s="54"/>
      <c r="FE65" s="54"/>
      <c r="FF65" s="54"/>
      <c r="FG65" s="54"/>
      <c r="FH65" s="54"/>
      <c r="FI65" s="54"/>
      <c r="FJ65" s="54"/>
      <c r="FK65" s="54"/>
      <c r="FL65" s="54"/>
      <c r="FM65" s="54"/>
      <c r="FN65" s="54"/>
      <c r="FO65" s="54"/>
      <c r="FP65" s="54"/>
      <c r="FQ65" s="54"/>
    </row>
    <row r="66" spans="1:173" ht="110.25" customHeight="1" x14ac:dyDescent="0.25">
      <c r="A66" s="46" t="s">
        <v>493</v>
      </c>
      <c r="B66" s="46" t="s">
        <v>494</v>
      </c>
      <c r="C66" s="46" t="s">
        <v>495</v>
      </c>
      <c r="D66" s="46">
        <v>2024</v>
      </c>
      <c r="E66" s="47" t="s">
        <v>496</v>
      </c>
      <c r="F66" s="46">
        <v>3643288</v>
      </c>
      <c r="G66" s="46">
        <v>3644759</v>
      </c>
      <c r="H66" s="46" t="s">
        <v>497</v>
      </c>
      <c r="I66" s="46" t="s">
        <v>493</v>
      </c>
      <c r="J66" s="65">
        <v>4.2256944444444444E-2</v>
      </c>
      <c r="K66" s="46" t="s">
        <v>79</v>
      </c>
      <c r="L66" s="46" t="s">
        <v>498</v>
      </c>
      <c r="M66" s="46" t="s">
        <v>499</v>
      </c>
      <c r="N66" s="46" t="s">
        <v>97</v>
      </c>
      <c r="O66" s="46" t="s">
        <v>63</v>
      </c>
      <c r="P66" s="46" t="s">
        <v>64</v>
      </c>
      <c r="Q66" s="46">
        <v>3</v>
      </c>
      <c r="R66" s="46" t="s">
        <v>99</v>
      </c>
      <c r="S66" s="46" t="s">
        <v>84</v>
      </c>
      <c r="T66" s="46" t="s">
        <v>85</v>
      </c>
      <c r="U66" s="46" t="s">
        <v>68</v>
      </c>
      <c r="V66" s="46" t="s">
        <v>86</v>
      </c>
      <c r="W66" s="46" t="s">
        <v>100</v>
      </c>
      <c r="X66" s="48" t="s">
        <v>500</v>
      </c>
      <c r="Y66" s="48" t="s">
        <v>72</v>
      </c>
      <c r="Z66" s="48" t="s">
        <v>501</v>
      </c>
      <c r="AA66" s="29"/>
      <c r="AB66" s="30"/>
      <c r="AC66" s="38"/>
      <c r="AD66" s="29"/>
      <c r="AE66" s="39">
        <v>1</v>
      </c>
      <c r="AF66" s="40"/>
      <c r="AG66" s="32"/>
      <c r="AH66" s="33"/>
      <c r="AI66" s="32"/>
      <c r="AJ66" s="33"/>
      <c r="AK66" s="32"/>
      <c r="AL66" s="33"/>
      <c r="AM66" s="32"/>
      <c r="AN66" s="33">
        <v>1</v>
      </c>
      <c r="AO66" s="34"/>
      <c r="AP66" s="35">
        <v>1</v>
      </c>
      <c r="AQ66" s="34"/>
      <c r="AR66" s="35"/>
      <c r="AS66" s="34"/>
      <c r="AT66" s="35"/>
      <c r="AU66" s="36"/>
      <c r="AV66" s="37"/>
      <c r="AW66" s="36"/>
      <c r="AX66" s="52">
        <f t="shared" si="3"/>
        <v>1</v>
      </c>
      <c r="AY66" s="52"/>
      <c r="AZ66" s="52"/>
      <c r="ER66" s="54"/>
      <c r="ES66" s="54"/>
      <c r="ET66" s="54"/>
      <c r="EU66" s="54"/>
      <c r="EV66" s="54"/>
      <c r="EW66" s="54"/>
      <c r="EX66" s="54"/>
      <c r="EY66" s="54"/>
      <c r="EZ66" s="54"/>
      <c r="FA66" s="54"/>
      <c r="FB66" s="54"/>
      <c r="FC66" s="54"/>
      <c r="FD66" s="54"/>
      <c r="FE66" s="54"/>
      <c r="FF66" s="54"/>
      <c r="FG66" s="54"/>
      <c r="FH66" s="54"/>
      <c r="FI66" s="54"/>
      <c r="FJ66" s="54"/>
      <c r="FK66" s="54"/>
      <c r="FL66" s="54"/>
      <c r="FM66" s="54"/>
      <c r="FN66" s="54"/>
      <c r="FO66" s="54"/>
      <c r="FP66" s="54"/>
      <c r="FQ66" s="54"/>
    </row>
    <row r="67" spans="1:173" s="15" customFormat="1" ht="110.25" customHeight="1" x14ac:dyDescent="0.25">
      <c r="A67" s="49" t="s">
        <v>502</v>
      </c>
      <c r="B67" s="49" t="s">
        <v>503</v>
      </c>
      <c r="C67" s="49" t="s">
        <v>504</v>
      </c>
      <c r="D67" s="49" t="s">
        <v>114</v>
      </c>
      <c r="E67" s="50" t="s">
        <v>505</v>
      </c>
      <c r="F67" s="49">
        <v>191210</v>
      </c>
      <c r="G67" s="49">
        <v>203350</v>
      </c>
      <c r="H67" s="49" t="s">
        <v>506</v>
      </c>
      <c r="I67" s="49" t="s">
        <v>502</v>
      </c>
      <c r="J67" s="64">
        <v>1.1655092592592592E-2</v>
      </c>
      <c r="K67" s="49" t="s">
        <v>59</v>
      </c>
      <c r="L67" s="49" t="s">
        <v>507</v>
      </c>
      <c r="M67" s="49" t="s">
        <v>508</v>
      </c>
      <c r="N67" s="49" t="s">
        <v>119</v>
      </c>
      <c r="O67" s="49" t="s">
        <v>63</v>
      </c>
      <c r="P67" s="49" t="s">
        <v>64</v>
      </c>
      <c r="Q67" s="49">
        <v>2</v>
      </c>
      <c r="R67" s="49" t="s">
        <v>83</v>
      </c>
      <c r="S67" s="49" t="s">
        <v>66</v>
      </c>
      <c r="T67" s="49" t="s">
        <v>85</v>
      </c>
      <c r="U67" s="49" t="s">
        <v>509</v>
      </c>
      <c r="V67" s="49" t="s">
        <v>510</v>
      </c>
      <c r="W67" s="49" t="s">
        <v>123</v>
      </c>
      <c r="X67" s="51" t="s">
        <v>511</v>
      </c>
      <c r="Y67" s="51" t="s">
        <v>72</v>
      </c>
      <c r="Z67" s="51" t="s">
        <v>512</v>
      </c>
      <c r="AA67" s="29">
        <v>1</v>
      </c>
      <c r="AB67" s="41"/>
      <c r="AC67" s="41"/>
      <c r="AD67" s="41"/>
      <c r="AE67" s="39"/>
      <c r="AF67" s="40"/>
      <c r="AG67" s="32"/>
      <c r="AH67" s="33"/>
      <c r="AI67" s="32"/>
      <c r="AJ67" s="33"/>
      <c r="AK67" s="32"/>
      <c r="AL67" s="33"/>
      <c r="AM67" s="32"/>
      <c r="AN67" s="33"/>
      <c r="AO67" s="34"/>
      <c r="AP67" s="35"/>
      <c r="AQ67" s="34"/>
      <c r="AR67" s="35"/>
      <c r="AS67" s="34"/>
      <c r="AT67" s="35"/>
      <c r="AU67" s="36"/>
      <c r="AV67" s="37"/>
      <c r="AW67" s="36"/>
      <c r="AX67" s="52">
        <f t="shared" si="3"/>
        <v>0</v>
      </c>
      <c r="AY67" s="52"/>
      <c r="AZ67" s="52"/>
      <c r="BA67" s="53"/>
      <c r="BB67" s="53"/>
      <c r="BC67" s="53"/>
      <c r="BD67" s="53"/>
      <c r="BE67" s="53"/>
      <c r="BF67" s="53"/>
      <c r="BG67" s="53"/>
      <c r="BH67" s="53"/>
      <c r="BI67" s="53"/>
      <c r="BJ67" s="53"/>
      <c r="BK67" s="53"/>
      <c r="BL67" s="53"/>
      <c r="BM67" s="53"/>
      <c r="BN67" s="53"/>
      <c r="BO67" s="53"/>
      <c r="BP67" s="53"/>
      <c r="BQ67" s="53"/>
      <c r="BR67" s="53"/>
      <c r="BS67" s="53"/>
      <c r="BT67" s="53"/>
      <c r="BU67" s="53"/>
      <c r="BV67" s="53"/>
      <c r="BW67" s="53"/>
      <c r="BX67" s="53"/>
      <c r="BY67" s="53"/>
      <c r="BZ67" s="53"/>
      <c r="CA67" s="53"/>
      <c r="CB67" s="53"/>
      <c r="CC67" s="53"/>
      <c r="CD67" s="53"/>
      <c r="CE67" s="53"/>
      <c r="CF67" s="53"/>
      <c r="CG67" s="53"/>
      <c r="CH67" s="53"/>
      <c r="CI67" s="53"/>
      <c r="CJ67" s="53"/>
      <c r="CK67" s="53"/>
      <c r="CL67" s="53"/>
      <c r="CM67" s="53"/>
      <c r="CN67" s="53"/>
      <c r="CO67" s="53"/>
      <c r="CP67" s="53"/>
      <c r="CQ67" s="53"/>
      <c r="CR67" s="53"/>
      <c r="CS67" s="53"/>
      <c r="CT67" s="53"/>
      <c r="CU67" s="53"/>
      <c r="CV67" s="53"/>
      <c r="CW67" s="53"/>
      <c r="CX67" s="53"/>
      <c r="CY67" s="53"/>
      <c r="CZ67" s="53"/>
      <c r="DA67" s="53"/>
      <c r="DB67" s="53"/>
      <c r="DC67" s="53"/>
      <c r="DD67" s="53"/>
      <c r="DE67" s="53"/>
      <c r="DF67" s="53"/>
      <c r="DG67" s="53"/>
      <c r="DH67" s="53"/>
      <c r="DI67" s="53"/>
      <c r="DJ67" s="53"/>
      <c r="DK67" s="53"/>
      <c r="DL67" s="53"/>
      <c r="DM67" s="53"/>
      <c r="DN67" s="53"/>
      <c r="DO67" s="53"/>
      <c r="DP67" s="53"/>
      <c r="DQ67" s="53"/>
      <c r="DR67" s="53"/>
      <c r="DS67" s="53"/>
      <c r="DT67" s="53"/>
      <c r="DU67" s="53"/>
      <c r="DV67" s="53"/>
      <c r="DW67" s="53"/>
      <c r="DX67" s="53"/>
      <c r="DY67" s="53"/>
      <c r="DZ67" s="53"/>
      <c r="EA67" s="53"/>
      <c r="EB67" s="53"/>
      <c r="EC67" s="53"/>
      <c r="ED67" s="53"/>
      <c r="EE67" s="53"/>
      <c r="EF67" s="53"/>
      <c r="EG67" s="53"/>
      <c r="EH67" s="53"/>
      <c r="EI67" s="53"/>
      <c r="EJ67" s="53"/>
      <c r="EK67" s="53"/>
      <c r="EL67" s="53"/>
      <c r="EM67" s="53"/>
      <c r="EN67" s="53"/>
      <c r="EO67" s="53"/>
      <c r="EP67" s="53"/>
      <c r="EQ67" s="53"/>
      <c r="ER67" s="54"/>
      <c r="ES67" s="54"/>
      <c r="ET67" s="54"/>
      <c r="EU67" s="54"/>
      <c r="EV67" s="54"/>
      <c r="EW67" s="54"/>
      <c r="EX67" s="54"/>
      <c r="EY67" s="54"/>
      <c r="EZ67" s="54"/>
      <c r="FA67" s="54"/>
      <c r="FB67" s="54"/>
      <c r="FC67" s="54"/>
      <c r="FD67" s="54"/>
      <c r="FE67" s="54"/>
      <c r="FF67" s="54"/>
      <c r="FG67" s="54"/>
      <c r="FH67" s="54"/>
      <c r="FI67" s="54"/>
      <c r="FJ67" s="54"/>
      <c r="FK67" s="54"/>
      <c r="FL67" s="54"/>
      <c r="FM67" s="54"/>
      <c r="FN67" s="54"/>
      <c r="FO67" s="54"/>
      <c r="FP67" s="54"/>
      <c r="FQ67" s="54"/>
    </row>
    <row r="68" spans="1:173" s="15" customFormat="1" ht="110.25" customHeight="1" x14ac:dyDescent="0.25">
      <c r="A68" s="46" t="s">
        <v>502</v>
      </c>
      <c r="B68" s="46" t="s">
        <v>513</v>
      </c>
      <c r="C68" s="46" t="s">
        <v>504</v>
      </c>
      <c r="D68" s="46" t="s">
        <v>114</v>
      </c>
      <c r="E68" s="47" t="s">
        <v>514</v>
      </c>
      <c r="F68" s="46">
        <v>216683</v>
      </c>
      <c r="G68" s="46">
        <v>218630</v>
      </c>
      <c r="H68" s="46" t="s">
        <v>506</v>
      </c>
      <c r="I68" s="46" t="s">
        <v>502</v>
      </c>
      <c r="J68" s="65">
        <v>1.1655092592592592E-2</v>
      </c>
      <c r="K68" s="46" t="s">
        <v>59</v>
      </c>
      <c r="L68" s="46" t="s">
        <v>507</v>
      </c>
      <c r="M68" s="46" t="s">
        <v>508</v>
      </c>
      <c r="N68" s="46" t="s">
        <v>119</v>
      </c>
      <c r="O68" s="46" t="s">
        <v>63</v>
      </c>
      <c r="P68" s="46" t="s">
        <v>64</v>
      </c>
      <c r="Q68" s="46">
        <v>2</v>
      </c>
      <c r="R68" s="46" t="s">
        <v>83</v>
      </c>
      <c r="S68" s="46" t="s">
        <v>66</v>
      </c>
      <c r="T68" s="46" t="s">
        <v>85</v>
      </c>
      <c r="U68" s="46" t="s">
        <v>509</v>
      </c>
      <c r="V68" s="46" t="s">
        <v>510</v>
      </c>
      <c r="W68" s="46" t="s">
        <v>123</v>
      </c>
      <c r="X68" s="48" t="s">
        <v>515</v>
      </c>
      <c r="Y68" s="48" t="s">
        <v>72</v>
      </c>
      <c r="Z68" s="48" t="s">
        <v>516</v>
      </c>
      <c r="AA68" s="29">
        <v>1</v>
      </c>
      <c r="AB68" s="41"/>
      <c r="AC68" s="41"/>
      <c r="AD68" s="41"/>
      <c r="AE68" s="39"/>
      <c r="AF68" s="40"/>
      <c r="AG68" s="32"/>
      <c r="AH68" s="33"/>
      <c r="AI68" s="32"/>
      <c r="AJ68" s="33"/>
      <c r="AK68" s="32"/>
      <c r="AL68" s="33"/>
      <c r="AM68" s="32"/>
      <c r="AN68" s="33"/>
      <c r="AO68" s="34"/>
      <c r="AP68" s="35"/>
      <c r="AQ68" s="34"/>
      <c r="AR68" s="35"/>
      <c r="AS68" s="34"/>
      <c r="AT68" s="35"/>
      <c r="AU68" s="36"/>
      <c r="AV68" s="37"/>
      <c r="AW68" s="36"/>
      <c r="AX68" s="52">
        <f t="shared" si="3"/>
        <v>0</v>
      </c>
      <c r="AY68" s="52"/>
      <c r="AZ68" s="52"/>
      <c r="BA68" s="53"/>
      <c r="BB68" s="53"/>
      <c r="BC68" s="53"/>
      <c r="BD68" s="53"/>
      <c r="BE68" s="53"/>
      <c r="BF68" s="53"/>
      <c r="BG68" s="53"/>
      <c r="BH68" s="53"/>
      <c r="BI68" s="53"/>
      <c r="BJ68" s="53"/>
      <c r="BK68" s="53"/>
      <c r="BL68" s="53"/>
      <c r="BM68" s="53"/>
      <c r="BN68" s="53"/>
      <c r="BO68" s="53"/>
      <c r="BP68" s="53"/>
      <c r="BQ68" s="53"/>
      <c r="BR68" s="53"/>
      <c r="BS68" s="53"/>
      <c r="BT68" s="53"/>
      <c r="BU68" s="53"/>
      <c r="BV68" s="53"/>
      <c r="BW68" s="53"/>
      <c r="BX68" s="53"/>
      <c r="BY68" s="53"/>
      <c r="BZ68" s="53"/>
      <c r="CA68" s="53"/>
      <c r="CB68" s="53"/>
      <c r="CC68" s="53"/>
      <c r="CD68" s="53"/>
      <c r="CE68" s="53"/>
      <c r="CF68" s="53"/>
      <c r="CG68" s="53"/>
      <c r="CH68" s="53"/>
      <c r="CI68" s="53"/>
      <c r="CJ68" s="53"/>
      <c r="CK68" s="53"/>
      <c r="CL68" s="53"/>
      <c r="CM68" s="53"/>
      <c r="CN68" s="53"/>
      <c r="CO68" s="53"/>
      <c r="CP68" s="53"/>
      <c r="CQ68" s="53"/>
      <c r="CR68" s="53"/>
      <c r="CS68" s="53"/>
      <c r="CT68" s="53"/>
      <c r="CU68" s="53"/>
      <c r="CV68" s="53"/>
      <c r="CW68" s="53"/>
      <c r="CX68" s="53"/>
      <c r="CY68" s="53"/>
      <c r="CZ68" s="53"/>
      <c r="DA68" s="53"/>
      <c r="DB68" s="53"/>
      <c r="DC68" s="53"/>
      <c r="DD68" s="53"/>
      <c r="DE68" s="53"/>
      <c r="DF68" s="53"/>
      <c r="DG68" s="53"/>
      <c r="DH68" s="53"/>
      <c r="DI68" s="53"/>
      <c r="DJ68" s="53"/>
      <c r="DK68" s="53"/>
      <c r="DL68" s="53"/>
      <c r="DM68" s="53"/>
      <c r="DN68" s="53"/>
      <c r="DO68" s="53"/>
      <c r="DP68" s="53"/>
      <c r="DQ68" s="53"/>
      <c r="DR68" s="53"/>
      <c r="DS68" s="53"/>
      <c r="DT68" s="53"/>
      <c r="DU68" s="53"/>
      <c r="DV68" s="53"/>
      <c r="DW68" s="53"/>
      <c r="DX68" s="53"/>
      <c r="DY68" s="53"/>
      <c r="DZ68" s="53"/>
      <c r="EA68" s="53"/>
      <c r="EB68" s="53"/>
      <c r="EC68" s="53"/>
      <c r="ED68" s="53"/>
      <c r="EE68" s="53"/>
      <c r="EF68" s="53"/>
      <c r="EG68" s="53"/>
      <c r="EH68" s="53"/>
      <c r="EI68" s="53"/>
      <c r="EJ68" s="53"/>
      <c r="EK68" s="53"/>
      <c r="EL68" s="53"/>
      <c r="EM68" s="53"/>
      <c r="EN68" s="53"/>
      <c r="EO68" s="53"/>
      <c r="EP68" s="53"/>
      <c r="EQ68" s="53"/>
      <c r="ER68" s="54"/>
      <c r="ES68" s="54"/>
      <c r="ET68" s="54"/>
      <c r="EU68" s="54"/>
      <c r="EV68" s="54"/>
      <c r="EW68" s="54"/>
      <c r="EX68" s="54"/>
      <c r="EY68" s="54"/>
      <c r="EZ68" s="54"/>
      <c r="FA68" s="54"/>
      <c r="FB68" s="54"/>
      <c r="FC68" s="54"/>
      <c r="FD68" s="54"/>
      <c r="FE68" s="54"/>
      <c r="FF68" s="54"/>
      <c r="FG68" s="54"/>
      <c r="FH68" s="54"/>
      <c r="FI68" s="54"/>
      <c r="FJ68" s="54"/>
      <c r="FK68" s="54"/>
      <c r="FL68" s="54"/>
      <c r="FM68" s="54"/>
      <c r="FN68" s="54"/>
      <c r="FO68" s="54"/>
      <c r="FP68" s="54"/>
      <c r="FQ68" s="54"/>
    </row>
    <row r="69" spans="1:173" s="15" customFormat="1" ht="110.25" customHeight="1" x14ac:dyDescent="0.25">
      <c r="A69" s="49" t="s">
        <v>502</v>
      </c>
      <c r="B69" s="49" t="s">
        <v>517</v>
      </c>
      <c r="C69" s="49" t="s">
        <v>504</v>
      </c>
      <c r="D69" s="49" t="s">
        <v>114</v>
      </c>
      <c r="E69" s="49" t="s">
        <v>518</v>
      </c>
      <c r="F69" s="49">
        <v>295995</v>
      </c>
      <c r="G69" s="49">
        <v>298580</v>
      </c>
      <c r="H69" s="49" t="s">
        <v>506</v>
      </c>
      <c r="I69" s="49" t="s">
        <v>502</v>
      </c>
      <c r="J69" s="64">
        <v>1.1655092592592592E-2</v>
      </c>
      <c r="K69" s="49" t="s">
        <v>59</v>
      </c>
      <c r="L69" s="49" t="s">
        <v>507</v>
      </c>
      <c r="M69" s="49" t="s">
        <v>508</v>
      </c>
      <c r="N69" s="49" t="s">
        <v>119</v>
      </c>
      <c r="O69" s="49" t="s">
        <v>63</v>
      </c>
      <c r="P69" s="49" t="s">
        <v>64</v>
      </c>
      <c r="Q69" s="49">
        <v>2</v>
      </c>
      <c r="R69" s="49" t="s">
        <v>83</v>
      </c>
      <c r="S69" s="49" t="s">
        <v>66</v>
      </c>
      <c r="T69" s="49" t="s">
        <v>85</v>
      </c>
      <c r="U69" s="49" t="s">
        <v>509</v>
      </c>
      <c r="V69" s="49" t="s">
        <v>510</v>
      </c>
      <c r="W69" s="49" t="s">
        <v>123</v>
      </c>
      <c r="X69" s="51" t="s">
        <v>519</v>
      </c>
      <c r="Y69" s="51" t="s">
        <v>72</v>
      </c>
      <c r="Z69" s="51" t="s">
        <v>520</v>
      </c>
      <c r="AA69" s="29">
        <v>1</v>
      </c>
      <c r="AB69" s="41"/>
      <c r="AC69" s="41"/>
      <c r="AD69" s="41"/>
      <c r="AE69" s="39"/>
      <c r="AF69" s="40"/>
      <c r="AG69" s="32"/>
      <c r="AH69" s="33"/>
      <c r="AI69" s="32"/>
      <c r="AJ69" s="33"/>
      <c r="AK69" s="32"/>
      <c r="AL69" s="33"/>
      <c r="AM69" s="32"/>
      <c r="AN69" s="33"/>
      <c r="AO69" s="34"/>
      <c r="AP69" s="35"/>
      <c r="AQ69" s="34"/>
      <c r="AR69" s="35"/>
      <c r="AS69" s="34"/>
      <c r="AT69" s="35"/>
      <c r="AU69" s="36"/>
      <c r="AV69" s="37"/>
      <c r="AW69" s="36"/>
      <c r="AX69" s="52">
        <f t="shared" si="3"/>
        <v>0</v>
      </c>
      <c r="AY69" s="52"/>
      <c r="AZ69" s="52"/>
      <c r="BA69" s="53"/>
      <c r="BB69" s="53"/>
      <c r="BC69" s="53"/>
      <c r="BD69" s="53"/>
      <c r="BE69" s="53"/>
      <c r="BF69" s="53"/>
      <c r="BG69" s="53"/>
      <c r="BH69" s="53"/>
      <c r="BI69" s="53"/>
      <c r="BJ69" s="53"/>
      <c r="BK69" s="53"/>
      <c r="BL69" s="53"/>
      <c r="BM69" s="53"/>
      <c r="BN69" s="53"/>
      <c r="BO69" s="53"/>
      <c r="BP69" s="53"/>
      <c r="BQ69" s="53"/>
      <c r="BR69" s="53"/>
      <c r="BS69" s="53"/>
      <c r="BT69" s="53"/>
      <c r="BU69" s="53"/>
      <c r="BV69" s="53"/>
      <c r="BW69" s="53"/>
      <c r="BX69" s="53"/>
      <c r="BY69" s="53"/>
      <c r="BZ69" s="53"/>
      <c r="CA69" s="53"/>
      <c r="CB69" s="53"/>
      <c r="CC69" s="53"/>
      <c r="CD69" s="53"/>
      <c r="CE69" s="53"/>
      <c r="CF69" s="53"/>
      <c r="CG69" s="53"/>
      <c r="CH69" s="53"/>
      <c r="CI69" s="53"/>
      <c r="CJ69" s="53"/>
      <c r="CK69" s="53"/>
      <c r="CL69" s="53"/>
      <c r="CM69" s="53"/>
      <c r="CN69" s="53"/>
      <c r="CO69" s="53"/>
      <c r="CP69" s="53"/>
      <c r="CQ69" s="53"/>
      <c r="CR69" s="53"/>
      <c r="CS69" s="53"/>
      <c r="CT69" s="53"/>
      <c r="CU69" s="53"/>
      <c r="CV69" s="53"/>
      <c r="CW69" s="53"/>
      <c r="CX69" s="53"/>
      <c r="CY69" s="53"/>
      <c r="CZ69" s="53"/>
      <c r="DA69" s="53"/>
      <c r="DB69" s="53"/>
      <c r="DC69" s="53"/>
      <c r="DD69" s="53"/>
      <c r="DE69" s="53"/>
      <c r="DF69" s="53"/>
      <c r="DG69" s="53"/>
      <c r="DH69" s="53"/>
      <c r="DI69" s="53"/>
      <c r="DJ69" s="53"/>
      <c r="DK69" s="53"/>
      <c r="DL69" s="53"/>
      <c r="DM69" s="53"/>
      <c r="DN69" s="53"/>
      <c r="DO69" s="53"/>
      <c r="DP69" s="53"/>
      <c r="DQ69" s="53"/>
      <c r="DR69" s="53"/>
      <c r="DS69" s="53"/>
      <c r="DT69" s="53"/>
      <c r="DU69" s="53"/>
      <c r="DV69" s="53"/>
      <c r="DW69" s="53"/>
      <c r="DX69" s="53"/>
      <c r="DY69" s="53"/>
      <c r="DZ69" s="53"/>
      <c r="EA69" s="53"/>
      <c r="EB69" s="53"/>
      <c r="EC69" s="53"/>
      <c r="ED69" s="53"/>
      <c r="EE69" s="53"/>
      <c r="EF69" s="53"/>
      <c r="EG69" s="53"/>
      <c r="EH69" s="53"/>
      <c r="EI69" s="53"/>
      <c r="EJ69" s="53"/>
      <c r="EK69" s="53"/>
      <c r="EL69" s="53"/>
      <c r="EM69" s="53"/>
      <c r="EN69" s="53"/>
      <c r="EO69" s="53"/>
      <c r="EP69" s="53"/>
      <c r="EQ69" s="53"/>
      <c r="ER69" s="54"/>
      <c r="ES69" s="54"/>
      <c r="ET69" s="54"/>
      <c r="EU69" s="54"/>
      <c r="EV69" s="54"/>
      <c r="EW69" s="54"/>
      <c r="EX69" s="54"/>
      <c r="EY69" s="54"/>
      <c r="EZ69" s="54"/>
      <c r="FA69" s="54"/>
      <c r="FB69" s="54"/>
      <c r="FC69" s="54"/>
      <c r="FD69" s="54"/>
      <c r="FE69" s="54"/>
      <c r="FF69" s="54"/>
      <c r="FG69" s="54"/>
      <c r="FH69" s="54"/>
      <c r="FI69" s="54"/>
      <c r="FJ69" s="54"/>
      <c r="FK69" s="54"/>
      <c r="FL69" s="54"/>
      <c r="FM69" s="54"/>
      <c r="FN69" s="54"/>
      <c r="FO69" s="54"/>
      <c r="FP69" s="54"/>
      <c r="FQ69" s="54"/>
    </row>
    <row r="70" spans="1:173" s="15" customFormat="1" ht="110.25" customHeight="1" x14ac:dyDescent="0.25">
      <c r="A70" s="46" t="s">
        <v>502</v>
      </c>
      <c r="B70" s="46" t="s">
        <v>521</v>
      </c>
      <c r="C70" s="46" t="s">
        <v>504</v>
      </c>
      <c r="D70" s="46" t="s">
        <v>114</v>
      </c>
      <c r="E70" s="46" t="s">
        <v>522</v>
      </c>
      <c r="F70" s="46">
        <v>616760</v>
      </c>
      <c r="G70" s="46">
        <v>624005</v>
      </c>
      <c r="H70" s="46" t="s">
        <v>506</v>
      </c>
      <c r="I70" s="46" t="s">
        <v>502</v>
      </c>
      <c r="J70" s="65">
        <v>1.1655092592592592E-2</v>
      </c>
      <c r="K70" s="46" t="s">
        <v>59</v>
      </c>
      <c r="L70" s="46" t="s">
        <v>507</v>
      </c>
      <c r="M70" s="46" t="s">
        <v>508</v>
      </c>
      <c r="N70" s="46" t="s">
        <v>119</v>
      </c>
      <c r="O70" s="46" t="s">
        <v>63</v>
      </c>
      <c r="P70" s="46" t="s">
        <v>64</v>
      </c>
      <c r="Q70" s="46">
        <v>2</v>
      </c>
      <c r="R70" s="46" t="s">
        <v>83</v>
      </c>
      <c r="S70" s="46" t="s">
        <v>66</v>
      </c>
      <c r="T70" s="46" t="s">
        <v>85</v>
      </c>
      <c r="U70" s="46" t="s">
        <v>509</v>
      </c>
      <c r="V70" s="46" t="s">
        <v>510</v>
      </c>
      <c r="W70" s="46" t="s">
        <v>123</v>
      </c>
      <c r="X70" s="48" t="s">
        <v>523</v>
      </c>
      <c r="Y70" s="48" t="s">
        <v>72</v>
      </c>
      <c r="Z70" s="48" t="s">
        <v>524</v>
      </c>
      <c r="AA70" s="29">
        <v>1</v>
      </c>
      <c r="AB70" s="41"/>
      <c r="AC70" s="41"/>
      <c r="AD70" s="41"/>
      <c r="AE70" s="39"/>
      <c r="AF70" s="40"/>
      <c r="AG70" s="32"/>
      <c r="AH70" s="33"/>
      <c r="AI70" s="32"/>
      <c r="AJ70" s="33"/>
      <c r="AK70" s="32"/>
      <c r="AL70" s="33"/>
      <c r="AM70" s="32"/>
      <c r="AN70" s="33"/>
      <c r="AO70" s="34"/>
      <c r="AP70" s="35"/>
      <c r="AQ70" s="34"/>
      <c r="AR70" s="35"/>
      <c r="AS70" s="34"/>
      <c r="AT70" s="35"/>
      <c r="AU70" s="36"/>
      <c r="AV70" s="37"/>
      <c r="AW70" s="36"/>
      <c r="AX70" s="52">
        <f t="shared" si="3"/>
        <v>0</v>
      </c>
      <c r="AY70" s="52"/>
      <c r="AZ70" s="52"/>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c r="DB70" s="53"/>
      <c r="DC70" s="53"/>
      <c r="DD70" s="53"/>
      <c r="DE70" s="53"/>
      <c r="DF70" s="53"/>
      <c r="DG70" s="53"/>
      <c r="DH70" s="53"/>
      <c r="DI70" s="53"/>
      <c r="DJ70" s="53"/>
      <c r="DK70" s="53"/>
      <c r="DL70" s="53"/>
      <c r="DM70" s="53"/>
      <c r="DN70" s="53"/>
      <c r="DO70" s="53"/>
      <c r="DP70" s="53"/>
      <c r="DQ70" s="53"/>
      <c r="DR70" s="53"/>
      <c r="DS70" s="53"/>
      <c r="DT70" s="53"/>
      <c r="DU70" s="53"/>
      <c r="DV70" s="53"/>
      <c r="DW70" s="53"/>
      <c r="DX70" s="53"/>
      <c r="DY70" s="53"/>
      <c r="DZ70" s="53"/>
      <c r="EA70" s="53"/>
      <c r="EB70" s="53"/>
      <c r="EC70" s="53"/>
      <c r="ED70" s="53"/>
      <c r="EE70" s="53"/>
      <c r="EF70" s="53"/>
      <c r="EG70" s="53"/>
      <c r="EH70" s="53"/>
      <c r="EI70" s="53"/>
      <c r="EJ70" s="53"/>
      <c r="EK70" s="53"/>
      <c r="EL70" s="53"/>
      <c r="EM70" s="53"/>
      <c r="EN70" s="53"/>
      <c r="EO70" s="53"/>
      <c r="EP70" s="53"/>
      <c r="EQ70" s="53"/>
      <c r="ER70" s="54"/>
      <c r="ES70" s="54"/>
      <c r="ET70" s="54"/>
      <c r="EU70" s="54"/>
      <c r="EV70" s="54"/>
      <c r="EW70" s="54"/>
      <c r="EX70" s="54"/>
      <c r="EY70" s="54"/>
      <c r="EZ70" s="54"/>
      <c r="FA70" s="54"/>
      <c r="FB70" s="54"/>
      <c r="FC70" s="54"/>
      <c r="FD70" s="54"/>
      <c r="FE70" s="54"/>
      <c r="FF70" s="54"/>
      <c r="FG70" s="54"/>
      <c r="FH70" s="54"/>
      <c r="FI70" s="54"/>
      <c r="FJ70" s="54"/>
      <c r="FK70" s="54"/>
      <c r="FL70" s="54"/>
      <c r="FM70" s="54"/>
      <c r="FN70" s="54"/>
      <c r="FO70" s="54"/>
      <c r="FP70" s="54"/>
      <c r="FQ70" s="54"/>
    </row>
    <row r="71" spans="1:173" s="15" customFormat="1" ht="110.25" customHeight="1" x14ac:dyDescent="0.25">
      <c r="A71" s="49" t="s">
        <v>502</v>
      </c>
      <c r="B71" s="49" t="s">
        <v>525</v>
      </c>
      <c r="C71" s="49" t="s">
        <v>504</v>
      </c>
      <c r="D71" s="49" t="s">
        <v>114</v>
      </c>
      <c r="E71" s="49" t="s">
        <v>526</v>
      </c>
      <c r="F71" s="49">
        <v>863795</v>
      </c>
      <c r="G71" s="49">
        <v>867270</v>
      </c>
      <c r="H71" s="49" t="s">
        <v>506</v>
      </c>
      <c r="I71" s="49" t="s">
        <v>502</v>
      </c>
      <c r="J71" s="64">
        <v>1.1655092592592592E-2</v>
      </c>
      <c r="K71" s="49" t="s">
        <v>59</v>
      </c>
      <c r="L71" s="49" t="s">
        <v>507</v>
      </c>
      <c r="M71" s="49" t="s">
        <v>508</v>
      </c>
      <c r="N71" s="49" t="s">
        <v>119</v>
      </c>
      <c r="O71" s="49" t="s">
        <v>63</v>
      </c>
      <c r="P71" s="49" t="s">
        <v>64</v>
      </c>
      <c r="Q71" s="49">
        <v>2</v>
      </c>
      <c r="R71" s="49" t="s">
        <v>83</v>
      </c>
      <c r="S71" s="49" t="s">
        <v>66</v>
      </c>
      <c r="T71" s="49" t="s">
        <v>85</v>
      </c>
      <c r="U71" s="49" t="s">
        <v>509</v>
      </c>
      <c r="V71" s="49" t="s">
        <v>510</v>
      </c>
      <c r="W71" s="49" t="s">
        <v>123</v>
      </c>
      <c r="X71" s="51" t="s">
        <v>527</v>
      </c>
      <c r="Y71" s="51" t="s">
        <v>72</v>
      </c>
      <c r="Z71" s="51" t="s">
        <v>528</v>
      </c>
      <c r="AA71" s="29">
        <v>1</v>
      </c>
      <c r="AB71" s="41"/>
      <c r="AC71" s="41"/>
      <c r="AD71" s="41"/>
      <c r="AE71" s="39"/>
      <c r="AF71" s="40"/>
      <c r="AG71" s="32"/>
      <c r="AH71" s="33"/>
      <c r="AI71" s="32"/>
      <c r="AJ71" s="33"/>
      <c r="AK71" s="32"/>
      <c r="AL71" s="33"/>
      <c r="AM71" s="32"/>
      <c r="AN71" s="33"/>
      <c r="AO71" s="34"/>
      <c r="AP71" s="35"/>
      <c r="AQ71" s="34"/>
      <c r="AR71" s="35"/>
      <c r="AS71" s="34"/>
      <c r="AT71" s="35"/>
      <c r="AU71" s="36"/>
      <c r="AV71" s="37"/>
      <c r="AW71" s="36"/>
      <c r="AX71" s="52">
        <f t="shared" si="3"/>
        <v>0</v>
      </c>
      <c r="AY71" s="52"/>
      <c r="AZ71" s="52"/>
      <c r="BA71" s="53"/>
      <c r="BB71" s="53"/>
      <c r="BC71" s="53"/>
      <c r="BD71" s="53"/>
      <c r="BE71" s="53"/>
      <c r="BF71" s="53"/>
      <c r="BG71" s="53"/>
      <c r="BH71" s="53"/>
      <c r="BI71" s="53"/>
      <c r="BJ71" s="53"/>
      <c r="BK71" s="53"/>
      <c r="BL71" s="53"/>
      <c r="BM71" s="53"/>
      <c r="BN71" s="53"/>
      <c r="BO71" s="53"/>
      <c r="BP71" s="53"/>
      <c r="BQ71" s="53"/>
      <c r="BR71" s="53"/>
      <c r="BS71" s="53"/>
      <c r="BT71" s="53"/>
      <c r="BU71" s="53"/>
      <c r="BV71" s="53"/>
      <c r="BW71" s="53"/>
      <c r="BX71" s="53"/>
      <c r="BY71" s="53"/>
      <c r="BZ71" s="53"/>
      <c r="CA71" s="53"/>
      <c r="CB71" s="53"/>
      <c r="CC71" s="53"/>
      <c r="CD71" s="53"/>
      <c r="CE71" s="53"/>
      <c r="CF71" s="53"/>
      <c r="CG71" s="53"/>
      <c r="CH71" s="53"/>
      <c r="CI71" s="53"/>
      <c r="CJ71" s="53"/>
      <c r="CK71" s="53"/>
      <c r="CL71" s="53"/>
      <c r="CM71" s="53"/>
      <c r="CN71" s="53"/>
      <c r="CO71" s="53"/>
      <c r="CP71" s="53"/>
      <c r="CQ71" s="53"/>
      <c r="CR71" s="53"/>
      <c r="CS71" s="53"/>
      <c r="CT71" s="53"/>
      <c r="CU71" s="53"/>
      <c r="CV71" s="53"/>
      <c r="CW71" s="53"/>
      <c r="CX71" s="53"/>
      <c r="CY71" s="53"/>
      <c r="CZ71" s="53"/>
      <c r="DA71" s="53"/>
      <c r="DB71" s="53"/>
      <c r="DC71" s="53"/>
      <c r="DD71" s="53"/>
      <c r="DE71" s="53"/>
      <c r="DF71" s="53"/>
      <c r="DG71" s="53"/>
      <c r="DH71" s="53"/>
      <c r="DI71" s="53"/>
      <c r="DJ71" s="53"/>
      <c r="DK71" s="53"/>
      <c r="DL71" s="53"/>
      <c r="DM71" s="53"/>
      <c r="DN71" s="53"/>
      <c r="DO71" s="53"/>
      <c r="DP71" s="53"/>
      <c r="DQ71" s="53"/>
      <c r="DR71" s="53"/>
      <c r="DS71" s="53"/>
      <c r="DT71" s="53"/>
      <c r="DU71" s="53"/>
      <c r="DV71" s="53"/>
      <c r="DW71" s="53"/>
      <c r="DX71" s="53"/>
      <c r="DY71" s="53"/>
      <c r="DZ71" s="53"/>
      <c r="EA71" s="53"/>
      <c r="EB71" s="53"/>
      <c r="EC71" s="53"/>
      <c r="ED71" s="53"/>
      <c r="EE71" s="53"/>
      <c r="EF71" s="53"/>
      <c r="EG71" s="53"/>
      <c r="EH71" s="53"/>
      <c r="EI71" s="53"/>
      <c r="EJ71" s="53"/>
      <c r="EK71" s="53"/>
      <c r="EL71" s="53"/>
      <c r="EM71" s="53"/>
      <c r="EN71" s="53"/>
      <c r="EO71" s="53"/>
      <c r="EP71" s="53"/>
      <c r="EQ71" s="53"/>
      <c r="ER71" s="54"/>
      <c r="ES71" s="54"/>
      <c r="ET71" s="54"/>
      <c r="EU71" s="54"/>
      <c r="EV71" s="54"/>
      <c r="EW71" s="54"/>
      <c r="EX71" s="54"/>
      <c r="EY71" s="54"/>
      <c r="EZ71" s="54"/>
      <c r="FA71" s="54"/>
      <c r="FB71" s="54"/>
      <c r="FC71" s="54"/>
      <c r="FD71" s="54"/>
      <c r="FE71" s="54"/>
      <c r="FF71" s="54"/>
      <c r="FG71" s="54"/>
      <c r="FH71" s="54"/>
      <c r="FI71" s="54"/>
      <c r="FJ71" s="54"/>
      <c r="FK71" s="54"/>
      <c r="FL71" s="54"/>
      <c r="FM71" s="54"/>
      <c r="FN71" s="54"/>
      <c r="FO71" s="54"/>
      <c r="FP71" s="54"/>
      <c r="FQ71" s="54"/>
    </row>
    <row r="72" spans="1:173" ht="110.25" customHeight="1" x14ac:dyDescent="0.25">
      <c r="A72" s="46" t="s">
        <v>529</v>
      </c>
      <c r="B72" s="46" t="s">
        <v>530</v>
      </c>
      <c r="C72" s="46" t="s">
        <v>531</v>
      </c>
      <c r="D72" s="46">
        <v>2022</v>
      </c>
      <c r="E72" s="47" t="s">
        <v>532</v>
      </c>
      <c r="F72" s="46">
        <v>695000</v>
      </c>
      <c r="G72" s="46">
        <v>695644</v>
      </c>
      <c r="H72" s="46" t="s">
        <v>533</v>
      </c>
      <c r="I72" s="46" t="s">
        <v>529</v>
      </c>
      <c r="J72" s="65">
        <v>2.7210648148148147E-2</v>
      </c>
      <c r="K72" s="46" t="s">
        <v>79</v>
      </c>
      <c r="L72" s="46" t="s">
        <v>534</v>
      </c>
      <c r="M72" s="46" t="s">
        <v>535</v>
      </c>
      <c r="N72" s="46" t="s">
        <v>97</v>
      </c>
      <c r="O72" s="46" t="s">
        <v>63</v>
      </c>
      <c r="P72" s="46" t="s">
        <v>64</v>
      </c>
      <c r="Q72" s="46">
        <v>3</v>
      </c>
      <c r="R72" s="46" t="s">
        <v>99</v>
      </c>
      <c r="S72" s="46" t="s">
        <v>84</v>
      </c>
      <c r="T72" s="46" t="s">
        <v>85</v>
      </c>
      <c r="U72" s="46" t="s">
        <v>153</v>
      </c>
      <c r="V72" s="46" t="s">
        <v>86</v>
      </c>
      <c r="W72" s="46" t="s">
        <v>100</v>
      </c>
      <c r="X72" s="48" t="s">
        <v>536</v>
      </c>
      <c r="Y72" s="48" t="s">
        <v>72</v>
      </c>
      <c r="Z72" s="48" t="s">
        <v>537</v>
      </c>
      <c r="AA72" s="29"/>
      <c r="AB72" s="30"/>
      <c r="AC72" s="38"/>
      <c r="AD72" s="29"/>
      <c r="AE72" s="39">
        <v>1</v>
      </c>
      <c r="AF72" s="40"/>
      <c r="AG72" s="32"/>
      <c r="AH72" s="33"/>
      <c r="AI72" s="32">
        <v>1</v>
      </c>
      <c r="AJ72" s="33"/>
      <c r="AK72" s="32"/>
      <c r="AL72" s="33">
        <v>1</v>
      </c>
      <c r="AM72" s="32"/>
      <c r="AN72" s="33"/>
      <c r="AO72" s="34"/>
      <c r="AP72" s="35"/>
      <c r="AQ72" s="34"/>
      <c r="AR72" s="35"/>
      <c r="AS72" s="34"/>
      <c r="AT72" s="35"/>
      <c r="AU72" s="36"/>
      <c r="AV72" s="37"/>
      <c r="AW72" s="36"/>
      <c r="AX72" s="52">
        <f t="shared" si="3"/>
        <v>1</v>
      </c>
      <c r="AY72" s="52"/>
      <c r="AZ72" s="52"/>
      <c r="ER72" s="54"/>
      <c r="ES72" s="54"/>
      <c r="ET72" s="54"/>
      <c r="EU72" s="54"/>
      <c r="EV72" s="54"/>
      <c r="EW72" s="54"/>
      <c r="EX72" s="54"/>
      <c r="EY72" s="54"/>
      <c r="EZ72" s="54"/>
      <c r="FA72" s="54"/>
      <c r="FB72" s="54"/>
      <c r="FC72" s="54"/>
      <c r="FD72" s="54"/>
      <c r="FE72" s="54"/>
      <c r="FF72" s="54"/>
      <c r="FG72" s="54"/>
      <c r="FH72" s="54"/>
      <c r="FI72" s="54"/>
      <c r="FJ72" s="54"/>
      <c r="FK72" s="54"/>
      <c r="FL72" s="54"/>
      <c r="FM72" s="54"/>
      <c r="FN72" s="54"/>
      <c r="FO72" s="54"/>
      <c r="FP72" s="54"/>
      <c r="FQ72" s="54"/>
    </row>
    <row r="73" spans="1:173" ht="110.25" customHeight="1" x14ac:dyDescent="0.25">
      <c r="A73" s="49" t="s">
        <v>538</v>
      </c>
      <c r="B73" s="49" t="s">
        <v>539</v>
      </c>
      <c r="C73" s="49" t="s">
        <v>540</v>
      </c>
      <c r="D73" s="49">
        <v>2019</v>
      </c>
      <c r="E73" s="50" t="s">
        <v>541</v>
      </c>
      <c r="F73" s="49">
        <v>18268</v>
      </c>
      <c r="G73" s="49">
        <v>24850</v>
      </c>
      <c r="H73" s="49" t="s">
        <v>542</v>
      </c>
      <c r="I73" s="49" t="s">
        <v>538</v>
      </c>
      <c r="J73" s="64">
        <v>2.1435185185185186E-2</v>
      </c>
      <c r="K73" s="49" t="s">
        <v>79</v>
      </c>
      <c r="L73" s="49" t="s">
        <v>543</v>
      </c>
      <c r="M73" s="49" t="s">
        <v>544</v>
      </c>
      <c r="N73" s="49" t="s">
        <v>273</v>
      </c>
      <c r="O73" s="49" t="s">
        <v>98</v>
      </c>
      <c r="P73" s="49" t="s">
        <v>120</v>
      </c>
      <c r="Q73" s="49">
        <v>2</v>
      </c>
      <c r="R73" s="49" t="s">
        <v>99</v>
      </c>
      <c r="S73" s="49" t="s">
        <v>84</v>
      </c>
      <c r="T73" s="49" t="s">
        <v>67</v>
      </c>
      <c r="U73" s="49" t="s">
        <v>545</v>
      </c>
      <c r="V73" s="49" t="s">
        <v>86</v>
      </c>
      <c r="W73" s="49" t="s">
        <v>100</v>
      </c>
      <c r="X73" s="51" t="s">
        <v>546</v>
      </c>
      <c r="Y73" s="51" t="s">
        <v>72</v>
      </c>
      <c r="Z73" s="51" t="s">
        <v>547</v>
      </c>
      <c r="AA73" s="29"/>
      <c r="AB73" s="30"/>
      <c r="AC73" s="38"/>
      <c r="AD73" s="29"/>
      <c r="AE73" s="39">
        <v>1</v>
      </c>
      <c r="AF73" s="40"/>
      <c r="AG73" s="32"/>
      <c r="AH73" s="33"/>
      <c r="AI73" s="32"/>
      <c r="AJ73" s="33"/>
      <c r="AK73" s="32"/>
      <c r="AL73" s="33"/>
      <c r="AM73" s="32"/>
      <c r="AN73" s="33">
        <v>1</v>
      </c>
      <c r="AO73" s="34">
        <v>1</v>
      </c>
      <c r="AP73" s="35"/>
      <c r="AQ73" s="34"/>
      <c r="AR73" s="35"/>
      <c r="AS73" s="34"/>
      <c r="AT73" s="35"/>
      <c r="AU73" s="36"/>
      <c r="AV73" s="37"/>
      <c r="AW73" s="36"/>
      <c r="AX73" s="52">
        <f t="shared" si="3"/>
        <v>1</v>
      </c>
      <c r="AY73" s="52"/>
      <c r="AZ73" s="52"/>
      <c r="ER73" s="54"/>
      <c r="ES73" s="54"/>
      <c r="ET73" s="54"/>
      <c r="EU73" s="54"/>
      <c r="EV73" s="54"/>
      <c r="EW73" s="54"/>
      <c r="EX73" s="54"/>
      <c r="EY73" s="54"/>
      <c r="EZ73" s="54"/>
      <c r="FA73" s="54"/>
      <c r="FB73" s="54"/>
      <c r="FC73" s="54"/>
      <c r="FD73" s="54"/>
      <c r="FE73" s="54"/>
      <c r="FF73" s="54"/>
      <c r="FG73" s="54"/>
      <c r="FH73" s="54"/>
      <c r="FI73" s="54"/>
      <c r="FJ73" s="54"/>
      <c r="FK73" s="54"/>
      <c r="FL73" s="54"/>
      <c r="FM73" s="54"/>
      <c r="FN73" s="54"/>
      <c r="FO73" s="54"/>
      <c r="FP73" s="54"/>
      <c r="FQ73" s="54"/>
    </row>
    <row r="74" spans="1:173" ht="110.25" customHeight="1" x14ac:dyDescent="0.25">
      <c r="A74" s="46" t="s">
        <v>538</v>
      </c>
      <c r="B74" s="46" t="s">
        <v>548</v>
      </c>
      <c r="C74" s="46" t="s">
        <v>540</v>
      </c>
      <c r="D74" s="46">
        <v>2019</v>
      </c>
      <c r="E74" s="47" t="s">
        <v>549</v>
      </c>
      <c r="F74" s="46">
        <v>1098908</v>
      </c>
      <c r="G74" s="46">
        <v>1101953</v>
      </c>
      <c r="H74" s="46" t="s">
        <v>550</v>
      </c>
      <c r="I74" s="46" t="s">
        <v>538</v>
      </c>
      <c r="J74" s="65">
        <v>2.1435185185185186E-2</v>
      </c>
      <c r="K74" s="46" t="s">
        <v>79</v>
      </c>
      <c r="L74" s="46" t="s">
        <v>543</v>
      </c>
      <c r="M74" s="46" t="s">
        <v>544</v>
      </c>
      <c r="N74" s="46" t="s">
        <v>97</v>
      </c>
      <c r="O74" s="46" t="s">
        <v>63</v>
      </c>
      <c r="P74" s="46" t="s">
        <v>120</v>
      </c>
      <c r="Q74" s="46">
        <v>2</v>
      </c>
      <c r="R74" s="46" t="s">
        <v>99</v>
      </c>
      <c r="S74" s="46" t="s">
        <v>84</v>
      </c>
      <c r="T74" s="46" t="s">
        <v>67</v>
      </c>
      <c r="U74" s="46" t="s">
        <v>121</v>
      </c>
      <c r="V74" s="46" t="s">
        <v>86</v>
      </c>
      <c r="W74" s="46" t="s">
        <v>100</v>
      </c>
      <c r="X74" s="48" t="s">
        <v>551</v>
      </c>
      <c r="Y74" s="48" t="s">
        <v>72</v>
      </c>
      <c r="Z74" s="48" t="s">
        <v>552</v>
      </c>
      <c r="AA74" s="29"/>
      <c r="AB74" s="30"/>
      <c r="AC74" s="38"/>
      <c r="AD74" s="29"/>
      <c r="AE74" s="39">
        <v>1</v>
      </c>
      <c r="AF74" s="40"/>
      <c r="AG74" s="32"/>
      <c r="AH74" s="33"/>
      <c r="AI74" s="32"/>
      <c r="AJ74" s="33"/>
      <c r="AK74" s="32"/>
      <c r="AL74" s="33"/>
      <c r="AM74" s="32"/>
      <c r="AN74" s="33">
        <v>1</v>
      </c>
      <c r="AO74" s="34"/>
      <c r="AP74" s="35"/>
      <c r="AQ74" s="34"/>
      <c r="AR74" s="35"/>
      <c r="AS74" s="34"/>
      <c r="AT74" s="35">
        <v>1</v>
      </c>
      <c r="AU74" s="36"/>
      <c r="AV74" s="37"/>
      <c r="AW74" s="36"/>
      <c r="AX74" s="52">
        <f t="shared" si="3"/>
        <v>1</v>
      </c>
      <c r="AY74" s="52"/>
      <c r="AZ74" s="52"/>
      <c r="ER74" s="54"/>
      <c r="ES74" s="54"/>
      <c r="ET74" s="54"/>
      <c r="EU74" s="54"/>
      <c r="EV74" s="54"/>
      <c r="EW74" s="54"/>
      <c r="EX74" s="54"/>
      <c r="EY74" s="54"/>
      <c r="EZ74" s="54"/>
      <c r="FA74" s="54"/>
      <c r="FB74" s="54"/>
      <c r="FC74" s="54"/>
      <c r="FD74" s="54"/>
      <c r="FE74" s="54"/>
      <c r="FF74" s="54"/>
      <c r="FG74" s="54"/>
      <c r="FH74" s="54"/>
      <c r="FI74" s="54"/>
      <c r="FJ74" s="54"/>
      <c r="FK74" s="54"/>
      <c r="FL74" s="54"/>
      <c r="FM74" s="54"/>
      <c r="FN74" s="54"/>
      <c r="FO74" s="54"/>
      <c r="FP74" s="54"/>
      <c r="FQ74" s="54"/>
    </row>
    <row r="75" spans="1:173" s="15" customFormat="1" ht="110.25" customHeight="1" x14ac:dyDescent="0.25">
      <c r="A75" s="49" t="s">
        <v>553</v>
      </c>
      <c r="B75" s="49" t="s">
        <v>554</v>
      </c>
      <c r="C75" s="49" t="s">
        <v>555</v>
      </c>
      <c r="D75" s="49">
        <v>2019</v>
      </c>
      <c r="E75" s="50" t="s">
        <v>556</v>
      </c>
      <c r="F75" s="49">
        <v>395643</v>
      </c>
      <c r="G75" s="49">
        <v>400240</v>
      </c>
      <c r="H75" s="49" t="s">
        <v>557</v>
      </c>
      <c r="I75" s="49" t="s">
        <v>553</v>
      </c>
      <c r="J75" s="64">
        <v>9.1550925925925931E-3</v>
      </c>
      <c r="K75" s="49" t="s">
        <v>79</v>
      </c>
      <c r="L75" s="49" t="s">
        <v>558</v>
      </c>
      <c r="M75" s="49" t="s">
        <v>559</v>
      </c>
      <c r="N75" s="49" t="s">
        <v>273</v>
      </c>
      <c r="O75" s="49" t="s">
        <v>98</v>
      </c>
      <c r="P75" s="49" t="s">
        <v>120</v>
      </c>
      <c r="Q75" s="49">
        <v>2</v>
      </c>
      <c r="R75" s="49" t="s">
        <v>358</v>
      </c>
      <c r="S75" s="49" t="s">
        <v>84</v>
      </c>
      <c r="T75" s="49" t="s">
        <v>85</v>
      </c>
      <c r="U75" s="49" t="s">
        <v>121</v>
      </c>
      <c r="V75" s="49" t="s">
        <v>86</v>
      </c>
      <c r="W75" s="49" t="s">
        <v>70</v>
      </c>
      <c r="X75" s="51" t="s">
        <v>560</v>
      </c>
      <c r="Y75" s="51" t="s">
        <v>72</v>
      </c>
      <c r="Z75" s="51" t="s">
        <v>561</v>
      </c>
      <c r="AA75" s="29">
        <v>1</v>
      </c>
      <c r="AB75" s="41"/>
      <c r="AC75" s="41"/>
      <c r="AD75" s="41"/>
      <c r="AE75" s="39"/>
      <c r="AF75" s="40"/>
      <c r="AG75" s="32"/>
      <c r="AH75" s="33"/>
      <c r="AI75" s="32"/>
      <c r="AJ75" s="33"/>
      <c r="AK75" s="32"/>
      <c r="AL75" s="33"/>
      <c r="AM75" s="32"/>
      <c r="AN75" s="33"/>
      <c r="AO75" s="34"/>
      <c r="AP75" s="35"/>
      <c r="AQ75" s="34"/>
      <c r="AR75" s="35"/>
      <c r="AS75" s="34"/>
      <c r="AT75" s="35"/>
      <c r="AU75" s="36"/>
      <c r="AV75" s="37"/>
      <c r="AW75" s="36"/>
      <c r="AX75" s="52">
        <f t="shared" si="3"/>
        <v>0</v>
      </c>
      <c r="AY75" s="52"/>
      <c r="AZ75" s="52"/>
      <c r="BA75" s="53"/>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c r="CD75" s="53"/>
      <c r="CE75" s="53"/>
      <c r="CF75" s="53"/>
      <c r="CG75" s="53"/>
      <c r="CH75" s="53"/>
      <c r="CI75" s="53"/>
      <c r="CJ75" s="53"/>
      <c r="CK75" s="53"/>
      <c r="CL75" s="53"/>
      <c r="CM75" s="53"/>
      <c r="CN75" s="53"/>
      <c r="CO75" s="53"/>
      <c r="CP75" s="53"/>
      <c r="CQ75" s="53"/>
      <c r="CR75" s="53"/>
      <c r="CS75" s="53"/>
      <c r="CT75" s="53"/>
      <c r="CU75" s="53"/>
      <c r="CV75" s="53"/>
      <c r="CW75" s="53"/>
      <c r="CX75" s="53"/>
      <c r="CY75" s="53"/>
      <c r="CZ75" s="53"/>
      <c r="DA75" s="53"/>
      <c r="DB75" s="53"/>
      <c r="DC75" s="53"/>
      <c r="DD75" s="53"/>
      <c r="DE75" s="53"/>
      <c r="DF75" s="53"/>
      <c r="DG75" s="53"/>
      <c r="DH75" s="53"/>
      <c r="DI75" s="53"/>
      <c r="DJ75" s="53"/>
      <c r="DK75" s="53"/>
      <c r="DL75" s="53"/>
      <c r="DM75" s="53"/>
      <c r="DN75" s="53"/>
      <c r="DO75" s="53"/>
      <c r="DP75" s="53"/>
      <c r="DQ75" s="53"/>
      <c r="DR75" s="53"/>
      <c r="DS75" s="53"/>
      <c r="DT75" s="53"/>
      <c r="DU75" s="53"/>
      <c r="DV75" s="53"/>
      <c r="DW75" s="53"/>
      <c r="DX75" s="53"/>
      <c r="DY75" s="53"/>
      <c r="DZ75" s="53"/>
      <c r="EA75" s="53"/>
      <c r="EB75" s="53"/>
      <c r="EC75" s="53"/>
      <c r="ED75" s="53"/>
      <c r="EE75" s="53"/>
      <c r="EF75" s="53"/>
      <c r="EG75" s="53"/>
      <c r="EH75" s="53"/>
      <c r="EI75" s="53"/>
      <c r="EJ75" s="53"/>
      <c r="EK75" s="53"/>
      <c r="EL75" s="53"/>
      <c r="EM75" s="53"/>
      <c r="EN75" s="53"/>
      <c r="EO75" s="53"/>
      <c r="EP75" s="53"/>
      <c r="EQ75" s="53"/>
      <c r="ER75" s="54"/>
      <c r="ES75" s="54"/>
      <c r="ET75" s="54"/>
      <c r="EU75" s="54"/>
      <c r="EV75" s="54"/>
      <c r="EW75" s="54"/>
      <c r="EX75" s="54"/>
      <c r="EY75" s="54"/>
      <c r="EZ75" s="54"/>
      <c r="FA75" s="54"/>
      <c r="FB75" s="54"/>
      <c r="FC75" s="54"/>
      <c r="FD75" s="54"/>
      <c r="FE75" s="54"/>
      <c r="FF75" s="54"/>
      <c r="FG75" s="54"/>
      <c r="FH75" s="54"/>
      <c r="FI75" s="54"/>
      <c r="FJ75" s="54"/>
      <c r="FK75" s="54"/>
      <c r="FL75" s="54"/>
      <c r="FM75" s="54"/>
      <c r="FN75" s="54"/>
      <c r="FO75" s="54"/>
      <c r="FP75" s="54"/>
      <c r="FQ75" s="54"/>
    </row>
    <row r="76" spans="1:173" ht="110.25" customHeight="1" x14ac:dyDescent="0.25">
      <c r="A76" s="46" t="s">
        <v>562</v>
      </c>
      <c r="B76" s="46" t="s">
        <v>563</v>
      </c>
      <c r="C76" s="46" t="s">
        <v>564</v>
      </c>
      <c r="D76" s="46">
        <v>2019</v>
      </c>
      <c r="E76" s="47" t="s">
        <v>565</v>
      </c>
      <c r="F76" s="46">
        <v>3274152</v>
      </c>
      <c r="G76" s="46">
        <v>3276234</v>
      </c>
      <c r="H76" s="46" t="s">
        <v>185</v>
      </c>
      <c r="I76" s="46" t="s">
        <v>562</v>
      </c>
      <c r="J76" s="65">
        <v>4.8437500000000001E-2</v>
      </c>
      <c r="K76" s="46" t="s">
        <v>79</v>
      </c>
      <c r="L76" s="46" t="s">
        <v>566</v>
      </c>
      <c r="M76" s="46" t="s">
        <v>567</v>
      </c>
      <c r="N76" s="46" t="s">
        <v>186</v>
      </c>
      <c r="O76" s="46" t="s">
        <v>63</v>
      </c>
      <c r="P76" s="46" t="s">
        <v>120</v>
      </c>
      <c r="Q76" s="46">
        <v>4</v>
      </c>
      <c r="R76" s="46" t="s">
        <v>83</v>
      </c>
      <c r="S76" s="46" t="s">
        <v>84</v>
      </c>
      <c r="T76" s="46" t="s">
        <v>85</v>
      </c>
      <c r="U76" s="46" t="s">
        <v>187</v>
      </c>
      <c r="V76" s="46" t="s">
        <v>86</v>
      </c>
      <c r="W76" s="46" t="s">
        <v>123</v>
      </c>
      <c r="X76" s="48" t="s">
        <v>568</v>
      </c>
      <c r="Y76" s="48" t="s">
        <v>72</v>
      </c>
      <c r="Z76" s="48" t="s">
        <v>569</v>
      </c>
      <c r="AA76" s="29"/>
      <c r="AB76" s="30"/>
      <c r="AC76" s="38"/>
      <c r="AD76" s="29"/>
      <c r="AE76" s="39">
        <v>1</v>
      </c>
      <c r="AF76" s="40"/>
      <c r="AG76" s="32"/>
      <c r="AH76" s="33">
        <v>1</v>
      </c>
      <c r="AI76" s="32"/>
      <c r="AJ76" s="33"/>
      <c r="AK76" s="32">
        <v>1</v>
      </c>
      <c r="AL76" s="33"/>
      <c r="AM76" s="32"/>
      <c r="AN76" s="33"/>
      <c r="AO76" s="34"/>
      <c r="AP76" s="35"/>
      <c r="AQ76" s="34"/>
      <c r="AR76" s="35"/>
      <c r="AS76" s="34"/>
      <c r="AT76" s="35"/>
      <c r="AU76" s="36"/>
      <c r="AV76" s="37"/>
      <c r="AW76" s="36"/>
      <c r="AX76" s="52">
        <f t="shared" si="3"/>
        <v>1</v>
      </c>
      <c r="AY76" s="52"/>
      <c r="AZ76" s="52"/>
      <c r="ER76" s="54"/>
      <c r="ES76" s="54"/>
      <c r="ET76" s="54"/>
      <c r="EU76" s="54"/>
      <c r="EV76" s="54"/>
      <c r="EW76" s="54"/>
      <c r="EX76" s="54"/>
      <c r="EY76" s="54"/>
      <c r="EZ76" s="54"/>
      <c r="FA76" s="54"/>
      <c r="FB76" s="54"/>
      <c r="FC76" s="54"/>
      <c r="FD76" s="54"/>
      <c r="FE76" s="54"/>
      <c r="FF76" s="54"/>
      <c r="FG76" s="54"/>
      <c r="FH76" s="54"/>
      <c r="FI76" s="54"/>
      <c r="FJ76" s="54"/>
      <c r="FK76" s="54"/>
      <c r="FL76" s="54"/>
      <c r="FM76" s="54"/>
      <c r="FN76" s="54"/>
      <c r="FO76" s="54"/>
      <c r="FP76" s="54"/>
      <c r="FQ76" s="54"/>
    </row>
    <row r="77" spans="1:173" ht="110.25" customHeight="1" x14ac:dyDescent="0.25">
      <c r="A77" s="49" t="s">
        <v>570</v>
      </c>
      <c r="B77" s="49" t="s">
        <v>571</v>
      </c>
      <c r="C77" s="49" t="s">
        <v>572</v>
      </c>
      <c r="D77" s="49">
        <v>2023</v>
      </c>
      <c r="E77" s="50" t="s">
        <v>573</v>
      </c>
      <c r="F77" s="49">
        <v>99490</v>
      </c>
      <c r="G77" s="49">
        <v>108315</v>
      </c>
      <c r="H77" s="49" t="s">
        <v>574</v>
      </c>
      <c r="I77" s="49" t="s">
        <v>570</v>
      </c>
      <c r="J77" s="64">
        <v>2.1724537037037039E-2</v>
      </c>
      <c r="K77" s="49" t="s">
        <v>79</v>
      </c>
      <c r="L77" s="49" t="s">
        <v>575</v>
      </c>
      <c r="M77" s="49" t="s">
        <v>576</v>
      </c>
      <c r="N77" s="49" t="s">
        <v>97</v>
      </c>
      <c r="O77" s="49" t="s">
        <v>98</v>
      </c>
      <c r="P77" s="49" t="s">
        <v>64</v>
      </c>
      <c r="Q77" s="49">
        <v>2</v>
      </c>
      <c r="R77" s="49" t="s">
        <v>577</v>
      </c>
      <c r="S77" s="49" t="s">
        <v>84</v>
      </c>
      <c r="T77" s="49" t="s">
        <v>85</v>
      </c>
      <c r="U77" s="49" t="s">
        <v>68</v>
      </c>
      <c r="V77" s="49" t="s">
        <v>86</v>
      </c>
      <c r="W77" s="49" t="s">
        <v>398</v>
      </c>
      <c r="X77" s="51" t="s">
        <v>578</v>
      </c>
      <c r="Y77" s="51" t="s">
        <v>72</v>
      </c>
      <c r="Z77" s="51" t="s">
        <v>579</v>
      </c>
      <c r="AA77" s="29"/>
      <c r="AB77" s="30"/>
      <c r="AC77" s="38"/>
      <c r="AD77" s="29"/>
      <c r="AE77" s="39">
        <v>1</v>
      </c>
      <c r="AF77" s="40"/>
      <c r="AG77" s="32">
        <v>1</v>
      </c>
      <c r="AH77" s="33"/>
      <c r="AI77" s="32">
        <v>1</v>
      </c>
      <c r="AJ77" s="33"/>
      <c r="AK77" s="32"/>
      <c r="AL77" s="33"/>
      <c r="AM77" s="32"/>
      <c r="AN77" s="33"/>
      <c r="AO77" s="34"/>
      <c r="AP77" s="35"/>
      <c r="AQ77" s="34"/>
      <c r="AR77" s="35"/>
      <c r="AS77" s="34"/>
      <c r="AT77" s="35"/>
      <c r="AU77" s="36"/>
      <c r="AV77" s="37"/>
      <c r="AW77" s="36"/>
      <c r="AX77" s="52">
        <f t="shared" si="3"/>
        <v>1</v>
      </c>
      <c r="AY77" s="52"/>
      <c r="AZ77" s="52"/>
      <c r="ER77" s="54"/>
      <c r="ES77" s="54"/>
      <c r="ET77" s="54"/>
      <c r="EU77" s="54"/>
      <c r="EV77" s="54"/>
      <c r="EW77" s="54"/>
      <c r="EX77" s="54"/>
      <c r="EY77" s="54"/>
      <c r="EZ77" s="54"/>
      <c r="FA77" s="54"/>
      <c r="FB77" s="54"/>
      <c r="FC77" s="54"/>
      <c r="FD77" s="54"/>
      <c r="FE77" s="54"/>
      <c r="FF77" s="54"/>
      <c r="FG77" s="54"/>
      <c r="FH77" s="54"/>
      <c r="FI77" s="54"/>
      <c r="FJ77" s="54"/>
      <c r="FK77" s="54"/>
      <c r="FL77" s="54"/>
      <c r="FM77" s="54"/>
      <c r="FN77" s="54"/>
      <c r="FO77" s="54"/>
      <c r="FP77" s="54"/>
      <c r="FQ77" s="54"/>
    </row>
    <row r="78" spans="1:173" ht="110.25" customHeight="1" x14ac:dyDescent="0.25">
      <c r="A78" s="46" t="s">
        <v>570</v>
      </c>
      <c r="B78" s="46" t="s">
        <v>580</v>
      </c>
      <c r="C78" s="46" t="s">
        <v>572</v>
      </c>
      <c r="D78" s="46">
        <v>2023</v>
      </c>
      <c r="E78" s="47" t="s">
        <v>581</v>
      </c>
      <c r="F78" s="46">
        <v>455503</v>
      </c>
      <c r="G78" s="46">
        <v>460813</v>
      </c>
      <c r="H78" s="46" t="s">
        <v>574</v>
      </c>
      <c r="I78" s="46" t="s">
        <v>570</v>
      </c>
      <c r="J78" s="65">
        <v>2.1724537037037039E-2</v>
      </c>
      <c r="K78" s="46" t="s">
        <v>79</v>
      </c>
      <c r="L78" s="46" t="s">
        <v>575</v>
      </c>
      <c r="M78" s="46" t="s">
        <v>576</v>
      </c>
      <c r="N78" s="46" t="s">
        <v>97</v>
      </c>
      <c r="O78" s="46" t="s">
        <v>98</v>
      </c>
      <c r="P78" s="46" t="s">
        <v>64</v>
      </c>
      <c r="Q78" s="46">
        <v>2</v>
      </c>
      <c r="R78" s="46" t="s">
        <v>577</v>
      </c>
      <c r="S78" s="46" t="s">
        <v>84</v>
      </c>
      <c r="T78" s="46" t="s">
        <v>85</v>
      </c>
      <c r="U78" s="46" t="s">
        <v>68</v>
      </c>
      <c r="V78" s="46" t="s">
        <v>86</v>
      </c>
      <c r="W78" s="46" t="s">
        <v>398</v>
      </c>
      <c r="X78" s="48" t="s">
        <v>582</v>
      </c>
      <c r="Y78" s="48" t="s">
        <v>72</v>
      </c>
      <c r="Z78" s="48" t="s">
        <v>583</v>
      </c>
      <c r="AA78" s="29"/>
      <c r="AB78" s="30"/>
      <c r="AC78" s="38"/>
      <c r="AD78" s="29"/>
      <c r="AE78" s="39">
        <v>1</v>
      </c>
      <c r="AF78" s="40"/>
      <c r="AG78" s="32"/>
      <c r="AH78" s="33"/>
      <c r="AI78" s="32"/>
      <c r="AJ78" s="33"/>
      <c r="AK78" s="32"/>
      <c r="AL78" s="33"/>
      <c r="AM78" s="32"/>
      <c r="AN78" s="33"/>
      <c r="AO78" s="34">
        <v>1</v>
      </c>
      <c r="AP78" s="35"/>
      <c r="AQ78" s="34"/>
      <c r="AR78" s="35"/>
      <c r="AS78" s="34"/>
      <c r="AT78" s="35"/>
      <c r="AU78" s="36"/>
      <c r="AV78" s="37"/>
      <c r="AW78" s="36"/>
      <c r="AX78" s="52">
        <f t="shared" si="3"/>
        <v>0</v>
      </c>
      <c r="AY78" s="52"/>
      <c r="AZ78" s="52"/>
      <c r="ER78" s="54"/>
      <c r="ES78" s="54"/>
      <c r="ET78" s="54"/>
      <c r="EU78" s="54"/>
      <c r="EV78" s="54"/>
      <c r="EW78" s="54"/>
      <c r="EX78" s="54"/>
      <c r="EY78" s="54"/>
      <c r="EZ78" s="54"/>
      <c r="FA78" s="54"/>
      <c r="FB78" s="54"/>
      <c r="FC78" s="54"/>
      <c r="FD78" s="54"/>
      <c r="FE78" s="54"/>
      <c r="FF78" s="54"/>
      <c r="FG78" s="54"/>
      <c r="FH78" s="54"/>
      <c r="FI78" s="54"/>
      <c r="FJ78" s="54"/>
      <c r="FK78" s="54"/>
      <c r="FL78" s="54"/>
      <c r="FM78" s="54"/>
      <c r="FN78" s="54"/>
      <c r="FO78" s="54"/>
      <c r="FP78" s="54"/>
      <c r="FQ78" s="54"/>
    </row>
    <row r="79" spans="1:173" ht="110.25" customHeight="1" x14ac:dyDescent="0.25">
      <c r="A79" s="49" t="s">
        <v>570</v>
      </c>
      <c r="B79" s="49" t="s">
        <v>584</v>
      </c>
      <c r="C79" s="49" t="s">
        <v>572</v>
      </c>
      <c r="D79" s="49">
        <v>2023</v>
      </c>
      <c r="E79" s="49" t="s">
        <v>585</v>
      </c>
      <c r="F79" s="49">
        <v>1559872</v>
      </c>
      <c r="G79" s="49">
        <v>1562518</v>
      </c>
      <c r="H79" s="49" t="s">
        <v>574</v>
      </c>
      <c r="I79" s="49" t="s">
        <v>570</v>
      </c>
      <c r="J79" s="64">
        <v>2.1724537037037039E-2</v>
      </c>
      <c r="K79" s="49" t="s">
        <v>79</v>
      </c>
      <c r="L79" s="49" t="s">
        <v>575</v>
      </c>
      <c r="M79" s="49" t="s">
        <v>576</v>
      </c>
      <c r="N79" s="49" t="s">
        <v>97</v>
      </c>
      <c r="O79" s="49" t="s">
        <v>98</v>
      </c>
      <c r="P79" s="49" t="s">
        <v>64</v>
      </c>
      <c r="Q79" s="49">
        <v>2</v>
      </c>
      <c r="R79" s="49" t="s">
        <v>577</v>
      </c>
      <c r="S79" s="49" t="s">
        <v>84</v>
      </c>
      <c r="T79" s="49" t="s">
        <v>85</v>
      </c>
      <c r="U79" s="49" t="s">
        <v>68</v>
      </c>
      <c r="V79" s="49" t="s">
        <v>86</v>
      </c>
      <c r="W79" s="49" t="s">
        <v>398</v>
      </c>
      <c r="X79" s="51" t="s">
        <v>586</v>
      </c>
      <c r="Y79" s="51" t="s">
        <v>72</v>
      </c>
      <c r="Z79" s="51" t="s">
        <v>587</v>
      </c>
      <c r="AA79" s="29"/>
      <c r="AB79" s="30"/>
      <c r="AC79" s="38"/>
      <c r="AD79" s="29"/>
      <c r="AE79" s="39">
        <v>1</v>
      </c>
      <c r="AF79" s="40"/>
      <c r="AG79" s="32"/>
      <c r="AH79" s="33">
        <v>1</v>
      </c>
      <c r="AI79" s="32"/>
      <c r="AJ79" s="33"/>
      <c r="AK79" s="32"/>
      <c r="AL79" s="33"/>
      <c r="AM79" s="32"/>
      <c r="AN79" s="33"/>
      <c r="AO79" s="34"/>
      <c r="AP79" s="35"/>
      <c r="AQ79" s="34"/>
      <c r="AR79" s="35"/>
      <c r="AS79" s="34"/>
      <c r="AT79" s="35">
        <v>1</v>
      </c>
      <c r="AU79" s="36"/>
      <c r="AV79" s="37"/>
      <c r="AW79" s="36"/>
      <c r="AX79" s="52">
        <f t="shared" si="3"/>
        <v>1</v>
      </c>
      <c r="AY79" s="52"/>
      <c r="AZ79" s="52"/>
      <c r="ER79" s="54"/>
      <c r="ES79" s="54"/>
      <c r="ET79" s="54"/>
      <c r="EU79" s="54"/>
      <c r="EV79" s="54"/>
      <c r="EW79" s="54"/>
      <c r="EX79" s="54"/>
      <c r="EY79" s="54"/>
      <c r="EZ79" s="54"/>
      <c r="FA79" s="54"/>
      <c r="FB79" s="54"/>
      <c r="FC79" s="54"/>
      <c r="FD79" s="54"/>
      <c r="FE79" s="54"/>
      <c r="FF79" s="54"/>
      <c r="FG79" s="54"/>
      <c r="FH79" s="54"/>
      <c r="FI79" s="54"/>
      <c r="FJ79" s="54"/>
      <c r="FK79" s="54"/>
      <c r="FL79" s="54"/>
      <c r="FM79" s="54"/>
      <c r="FN79" s="54"/>
      <c r="FO79" s="54"/>
      <c r="FP79" s="54"/>
      <c r="FQ79" s="54"/>
    </row>
    <row r="80" spans="1:173" s="15" customFormat="1" ht="110.25" customHeight="1" x14ac:dyDescent="0.25">
      <c r="A80" s="46" t="s">
        <v>588</v>
      </c>
      <c r="B80" s="46" t="s">
        <v>589</v>
      </c>
      <c r="C80" s="46" t="s">
        <v>590</v>
      </c>
      <c r="D80" s="46">
        <v>2019</v>
      </c>
      <c r="E80" s="47" t="s">
        <v>591</v>
      </c>
      <c r="F80" s="46">
        <v>643011</v>
      </c>
      <c r="G80" s="46">
        <v>648647</v>
      </c>
      <c r="H80" s="46" t="s">
        <v>592</v>
      </c>
      <c r="I80" s="46" t="s">
        <v>588</v>
      </c>
      <c r="J80" s="65">
        <v>4.5277777777777778E-2</v>
      </c>
      <c r="K80" s="46" t="s">
        <v>79</v>
      </c>
      <c r="L80" s="46" t="s">
        <v>593</v>
      </c>
      <c r="M80" s="46" t="s">
        <v>594</v>
      </c>
      <c r="N80" s="46" t="s">
        <v>186</v>
      </c>
      <c r="O80" s="46" t="s">
        <v>98</v>
      </c>
      <c r="P80" s="46" t="s">
        <v>120</v>
      </c>
      <c r="Q80" s="46">
        <v>4</v>
      </c>
      <c r="R80" s="46" t="s">
        <v>358</v>
      </c>
      <c r="S80" s="46" t="s">
        <v>84</v>
      </c>
      <c r="T80" s="46" t="s">
        <v>85</v>
      </c>
      <c r="U80" s="46" t="s">
        <v>121</v>
      </c>
      <c r="V80" s="46" t="s">
        <v>86</v>
      </c>
      <c r="W80" s="46" t="s">
        <v>70</v>
      </c>
      <c r="X80" s="48" t="s">
        <v>595</v>
      </c>
      <c r="Y80" s="48" t="s">
        <v>72</v>
      </c>
      <c r="Z80" s="48" t="s">
        <v>596</v>
      </c>
      <c r="AA80" s="29">
        <v>1</v>
      </c>
      <c r="AB80" s="41"/>
      <c r="AC80" s="41"/>
      <c r="AD80" s="41"/>
      <c r="AE80" s="39"/>
      <c r="AF80" s="40"/>
      <c r="AG80" s="32"/>
      <c r="AH80" s="33"/>
      <c r="AI80" s="32"/>
      <c r="AJ80" s="33"/>
      <c r="AK80" s="32"/>
      <c r="AL80" s="33"/>
      <c r="AM80" s="32"/>
      <c r="AN80" s="33"/>
      <c r="AO80" s="34"/>
      <c r="AP80" s="35"/>
      <c r="AQ80" s="34"/>
      <c r="AR80" s="35"/>
      <c r="AS80" s="34"/>
      <c r="AT80" s="35"/>
      <c r="AU80" s="36"/>
      <c r="AV80" s="37"/>
      <c r="AW80" s="36"/>
      <c r="AX80" s="52">
        <f t="shared" si="3"/>
        <v>0</v>
      </c>
      <c r="AY80" s="52"/>
      <c r="AZ80" s="52"/>
      <c r="BA80" s="53"/>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3"/>
      <c r="CX80" s="53"/>
      <c r="CY80" s="53"/>
      <c r="CZ80" s="53"/>
      <c r="DA80" s="53"/>
      <c r="DB80" s="53"/>
      <c r="DC80" s="53"/>
      <c r="DD80" s="53"/>
      <c r="DE80" s="53"/>
      <c r="DF80" s="53"/>
      <c r="DG80" s="53"/>
      <c r="DH80" s="53"/>
      <c r="DI80" s="53"/>
      <c r="DJ80" s="53"/>
      <c r="DK80" s="53"/>
      <c r="DL80" s="53"/>
      <c r="DM80" s="53"/>
      <c r="DN80" s="53"/>
      <c r="DO80" s="53"/>
      <c r="DP80" s="53"/>
      <c r="DQ80" s="53"/>
      <c r="DR80" s="53"/>
      <c r="DS80" s="53"/>
      <c r="DT80" s="53"/>
      <c r="DU80" s="53"/>
      <c r="DV80" s="53"/>
      <c r="DW80" s="53"/>
      <c r="DX80" s="53"/>
      <c r="DY80" s="53"/>
      <c r="DZ80" s="53"/>
      <c r="EA80" s="53"/>
      <c r="EB80" s="53"/>
      <c r="EC80" s="53"/>
      <c r="ED80" s="53"/>
      <c r="EE80" s="53"/>
      <c r="EF80" s="53"/>
      <c r="EG80" s="53"/>
      <c r="EH80" s="53"/>
      <c r="EI80" s="53"/>
      <c r="EJ80" s="53"/>
      <c r="EK80" s="53"/>
      <c r="EL80" s="53"/>
      <c r="EM80" s="53"/>
      <c r="EN80" s="53"/>
      <c r="EO80" s="53"/>
      <c r="EP80" s="53"/>
      <c r="EQ80" s="53"/>
      <c r="ER80" s="54"/>
      <c r="ES80" s="54"/>
      <c r="ET80" s="54"/>
      <c r="EU80" s="54"/>
      <c r="EV80" s="54"/>
      <c r="EW80" s="54"/>
      <c r="EX80" s="54"/>
      <c r="EY80" s="54"/>
      <c r="EZ80" s="54"/>
      <c r="FA80" s="54"/>
      <c r="FB80" s="54"/>
      <c r="FC80" s="54"/>
      <c r="FD80" s="54"/>
      <c r="FE80" s="54"/>
      <c r="FF80" s="54"/>
      <c r="FG80" s="54"/>
      <c r="FH80" s="54"/>
      <c r="FI80" s="54"/>
      <c r="FJ80" s="54"/>
      <c r="FK80" s="54"/>
      <c r="FL80" s="54"/>
      <c r="FM80" s="54"/>
      <c r="FN80" s="54"/>
      <c r="FO80" s="54"/>
      <c r="FP80" s="54"/>
      <c r="FQ80" s="54"/>
    </row>
    <row r="81" spans="1:173" s="15" customFormat="1" ht="110.25" customHeight="1" x14ac:dyDescent="0.25">
      <c r="A81" s="49" t="s">
        <v>588</v>
      </c>
      <c r="B81" s="49" t="s">
        <v>597</v>
      </c>
      <c r="C81" s="49" t="s">
        <v>590</v>
      </c>
      <c r="D81" s="49">
        <v>2019</v>
      </c>
      <c r="E81" s="50" t="s">
        <v>598</v>
      </c>
      <c r="F81" s="49">
        <v>1724912</v>
      </c>
      <c r="G81" s="49">
        <v>1731878</v>
      </c>
      <c r="H81" s="49" t="s">
        <v>592</v>
      </c>
      <c r="I81" s="49" t="s">
        <v>588</v>
      </c>
      <c r="J81" s="64">
        <v>4.5277777777777778E-2</v>
      </c>
      <c r="K81" s="49" t="s">
        <v>79</v>
      </c>
      <c r="L81" s="49" t="s">
        <v>593</v>
      </c>
      <c r="M81" s="49" t="s">
        <v>594</v>
      </c>
      <c r="N81" s="49" t="s">
        <v>186</v>
      </c>
      <c r="O81" s="49" t="s">
        <v>98</v>
      </c>
      <c r="P81" s="49" t="s">
        <v>120</v>
      </c>
      <c r="Q81" s="49">
        <v>4</v>
      </c>
      <c r="R81" s="49" t="s">
        <v>358</v>
      </c>
      <c r="S81" s="49" t="s">
        <v>84</v>
      </c>
      <c r="T81" s="49" t="s">
        <v>85</v>
      </c>
      <c r="U81" s="49" t="s">
        <v>121</v>
      </c>
      <c r="V81" s="49" t="s">
        <v>86</v>
      </c>
      <c r="W81" s="49" t="s">
        <v>70</v>
      </c>
      <c r="X81" s="51" t="s">
        <v>599</v>
      </c>
      <c r="Y81" s="51" t="s">
        <v>72</v>
      </c>
      <c r="Z81" s="51" t="s">
        <v>600</v>
      </c>
      <c r="AA81" s="29">
        <v>1</v>
      </c>
      <c r="AB81" s="41"/>
      <c r="AC81" s="41"/>
      <c r="AD81" s="41"/>
      <c r="AE81" s="39"/>
      <c r="AF81" s="40"/>
      <c r="AG81" s="32"/>
      <c r="AH81" s="33"/>
      <c r="AI81" s="32"/>
      <c r="AJ81" s="33"/>
      <c r="AK81" s="32"/>
      <c r="AL81" s="33"/>
      <c r="AM81" s="32"/>
      <c r="AN81" s="33"/>
      <c r="AO81" s="34"/>
      <c r="AP81" s="35"/>
      <c r="AQ81" s="34"/>
      <c r="AR81" s="35"/>
      <c r="AS81" s="34"/>
      <c r="AT81" s="35"/>
      <c r="AU81" s="36"/>
      <c r="AV81" s="37"/>
      <c r="AW81" s="36"/>
      <c r="AX81" s="52">
        <f t="shared" si="3"/>
        <v>0</v>
      </c>
      <c r="AY81" s="52"/>
      <c r="AZ81" s="52"/>
      <c r="BA81" s="53"/>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c r="CD81" s="53"/>
      <c r="CE81" s="53"/>
      <c r="CF81" s="53"/>
      <c r="CG81" s="53"/>
      <c r="CH81" s="53"/>
      <c r="CI81" s="53"/>
      <c r="CJ81" s="53"/>
      <c r="CK81" s="53"/>
      <c r="CL81" s="53"/>
      <c r="CM81" s="53"/>
      <c r="CN81" s="53"/>
      <c r="CO81" s="53"/>
      <c r="CP81" s="53"/>
      <c r="CQ81" s="53"/>
      <c r="CR81" s="53"/>
      <c r="CS81" s="53"/>
      <c r="CT81" s="53"/>
      <c r="CU81" s="53"/>
      <c r="CV81" s="53"/>
      <c r="CW81" s="53"/>
      <c r="CX81" s="53"/>
      <c r="CY81" s="53"/>
      <c r="CZ81" s="53"/>
      <c r="DA81" s="53"/>
      <c r="DB81" s="53"/>
      <c r="DC81" s="53"/>
      <c r="DD81" s="53"/>
      <c r="DE81" s="53"/>
      <c r="DF81" s="53"/>
      <c r="DG81" s="53"/>
      <c r="DH81" s="53"/>
      <c r="DI81" s="53"/>
      <c r="DJ81" s="53"/>
      <c r="DK81" s="53"/>
      <c r="DL81" s="53"/>
      <c r="DM81" s="53"/>
      <c r="DN81" s="53"/>
      <c r="DO81" s="53"/>
      <c r="DP81" s="53"/>
      <c r="DQ81" s="53"/>
      <c r="DR81" s="53"/>
      <c r="DS81" s="53"/>
      <c r="DT81" s="53"/>
      <c r="DU81" s="53"/>
      <c r="DV81" s="53"/>
      <c r="DW81" s="53"/>
      <c r="DX81" s="53"/>
      <c r="DY81" s="53"/>
      <c r="DZ81" s="53"/>
      <c r="EA81" s="53"/>
      <c r="EB81" s="53"/>
      <c r="EC81" s="53"/>
      <c r="ED81" s="53"/>
      <c r="EE81" s="53"/>
      <c r="EF81" s="53"/>
      <c r="EG81" s="53"/>
      <c r="EH81" s="53"/>
      <c r="EI81" s="53"/>
      <c r="EJ81" s="53"/>
      <c r="EK81" s="53"/>
      <c r="EL81" s="53"/>
      <c r="EM81" s="53"/>
      <c r="EN81" s="53"/>
      <c r="EO81" s="53"/>
      <c r="EP81" s="53"/>
      <c r="EQ81" s="53"/>
      <c r="ER81" s="54"/>
      <c r="ES81" s="54"/>
      <c r="ET81" s="54"/>
      <c r="EU81" s="54"/>
      <c r="EV81" s="54"/>
      <c r="EW81" s="54"/>
      <c r="EX81" s="54"/>
      <c r="EY81" s="54"/>
      <c r="EZ81" s="54"/>
      <c r="FA81" s="54"/>
      <c r="FB81" s="54"/>
      <c r="FC81" s="54"/>
      <c r="FD81" s="54"/>
      <c r="FE81" s="54"/>
      <c r="FF81" s="54"/>
      <c r="FG81" s="54"/>
      <c r="FH81" s="54"/>
      <c r="FI81" s="54"/>
      <c r="FJ81" s="54"/>
      <c r="FK81" s="54"/>
      <c r="FL81" s="54"/>
      <c r="FM81" s="54"/>
      <c r="FN81" s="54"/>
      <c r="FO81" s="54"/>
      <c r="FP81" s="54"/>
      <c r="FQ81" s="54"/>
    </row>
    <row r="82" spans="1:173" s="15" customFormat="1" ht="110.25" customHeight="1" x14ac:dyDescent="0.25">
      <c r="A82" s="46" t="s">
        <v>601</v>
      </c>
      <c r="B82" s="46" t="s">
        <v>602</v>
      </c>
      <c r="C82" s="46" t="s">
        <v>603</v>
      </c>
      <c r="D82" s="46" t="s">
        <v>114</v>
      </c>
      <c r="E82" s="47" t="s">
        <v>604</v>
      </c>
      <c r="F82" s="46">
        <v>2329840</v>
      </c>
      <c r="G82" s="46">
        <v>2333981</v>
      </c>
      <c r="H82" s="46" t="s">
        <v>605</v>
      </c>
      <c r="I82" s="46" t="s">
        <v>601</v>
      </c>
      <c r="J82" s="65">
        <v>6.0057870370370373E-2</v>
      </c>
      <c r="K82" s="46" t="s">
        <v>79</v>
      </c>
      <c r="L82" s="46" t="s">
        <v>606</v>
      </c>
      <c r="M82" s="46" t="s">
        <v>607</v>
      </c>
      <c r="N82" s="46" t="s">
        <v>605</v>
      </c>
      <c r="O82" s="46" t="s">
        <v>605</v>
      </c>
      <c r="P82" s="46" t="s">
        <v>64</v>
      </c>
      <c r="Q82" s="46">
        <v>1</v>
      </c>
      <c r="R82" s="46" t="s">
        <v>605</v>
      </c>
      <c r="S82" s="46" t="s">
        <v>66</v>
      </c>
      <c r="T82" s="46" t="s">
        <v>85</v>
      </c>
      <c r="U82" s="46" t="s">
        <v>605</v>
      </c>
      <c r="V82" s="46" t="s">
        <v>274</v>
      </c>
      <c r="W82" s="46" t="s">
        <v>605</v>
      </c>
      <c r="X82" s="48" t="s">
        <v>608</v>
      </c>
      <c r="Y82" s="48" t="s">
        <v>72</v>
      </c>
      <c r="Z82" s="48" t="s">
        <v>609</v>
      </c>
      <c r="AA82" s="29">
        <v>1</v>
      </c>
      <c r="AB82" s="41"/>
      <c r="AC82" s="41"/>
      <c r="AD82" s="41"/>
      <c r="AE82" s="39"/>
      <c r="AF82" s="40"/>
      <c r="AG82" s="32"/>
      <c r="AH82" s="33"/>
      <c r="AI82" s="32"/>
      <c r="AJ82" s="33"/>
      <c r="AK82" s="32"/>
      <c r="AL82" s="33"/>
      <c r="AM82" s="32"/>
      <c r="AN82" s="33"/>
      <c r="AO82" s="34"/>
      <c r="AP82" s="35"/>
      <c r="AQ82" s="34"/>
      <c r="AR82" s="35"/>
      <c r="AS82" s="34"/>
      <c r="AT82" s="35"/>
      <c r="AU82" s="36"/>
      <c r="AV82" s="37"/>
      <c r="AW82" s="36"/>
      <c r="AX82" s="52">
        <f t="shared" si="3"/>
        <v>0</v>
      </c>
      <c r="AY82" s="52"/>
      <c r="AZ82" s="52"/>
      <c r="BA82" s="53"/>
      <c r="BB82" s="53"/>
      <c r="BC82" s="53"/>
      <c r="BD82" s="53"/>
      <c r="BE82" s="53"/>
      <c r="BF82" s="53"/>
      <c r="BG82" s="53"/>
      <c r="BH82" s="53"/>
      <c r="BI82" s="53"/>
      <c r="BJ82" s="53"/>
      <c r="BK82" s="53"/>
      <c r="BL82" s="53"/>
      <c r="BM82" s="53"/>
      <c r="BN82" s="53"/>
      <c r="BO82" s="53"/>
      <c r="BP82" s="53"/>
      <c r="BQ82" s="53"/>
      <c r="BR82" s="53"/>
      <c r="BS82" s="53"/>
      <c r="BT82" s="53"/>
      <c r="BU82" s="53"/>
      <c r="BV82" s="53"/>
      <c r="BW82" s="53"/>
      <c r="BX82" s="53"/>
      <c r="BY82" s="53"/>
      <c r="BZ82" s="53"/>
      <c r="CA82" s="53"/>
      <c r="CB82" s="53"/>
      <c r="CC82" s="53"/>
      <c r="CD82" s="53"/>
      <c r="CE82" s="53"/>
      <c r="CF82" s="53"/>
      <c r="CG82" s="53"/>
      <c r="CH82" s="53"/>
      <c r="CI82" s="53"/>
      <c r="CJ82" s="53"/>
      <c r="CK82" s="53"/>
      <c r="CL82" s="53"/>
      <c r="CM82" s="53"/>
      <c r="CN82" s="53"/>
      <c r="CO82" s="53"/>
      <c r="CP82" s="53"/>
      <c r="CQ82" s="53"/>
      <c r="CR82" s="53"/>
      <c r="CS82" s="53"/>
      <c r="CT82" s="53"/>
      <c r="CU82" s="53"/>
      <c r="CV82" s="53"/>
      <c r="CW82" s="53"/>
      <c r="CX82" s="53"/>
      <c r="CY82" s="53"/>
      <c r="CZ82" s="53"/>
      <c r="DA82" s="53"/>
      <c r="DB82" s="53"/>
      <c r="DC82" s="53"/>
      <c r="DD82" s="53"/>
      <c r="DE82" s="53"/>
      <c r="DF82" s="53"/>
      <c r="DG82" s="53"/>
      <c r="DH82" s="53"/>
      <c r="DI82" s="53"/>
      <c r="DJ82" s="53"/>
      <c r="DK82" s="53"/>
      <c r="DL82" s="53"/>
      <c r="DM82" s="53"/>
      <c r="DN82" s="53"/>
      <c r="DO82" s="53"/>
      <c r="DP82" s="53"/>
      <c r="DQ82" s="53"/>
      <c r="DR82" s="53"/>
      <c r="DS82" s="53"/>
      <c r="DT82" s="53"/>
      <c r="DU82" s="53"/>
      <c r="DV82" s="53"/>
      <c r="DW82" s="53"/>
      <c r="DX82" s="53"/>
      <c r="DY82" s="53"/>
      <c r="DZ82" s="53"/>
      <c r="EA82" s="53"/>
      <c r="EB82" s="53"/>
      <c r="EC82" s="53"/>
      <c r="ED82" s="53"/>
      <c r="EE82" s="53"/>
      <c r="EF82" s="53"/>
      <c r="EG82" s="53"/>
      <c r="EH82" s="53"/>
      <c r="EI82" s="53"/>
      <c r="EJ82" s="53"/>
      <c r="EK82" s="53"/>
      <c r="EL82" s="53"/>
      <c r="EM82" s="53"/>
      <c r="EN82" s="53"/>
      <c r="EO82" s="53"/>
      <c r="EP82" s="53"/>
      <c r="EQ82" s="53"/>
      <c r="ER82" s="54"/>
      <c r="ES82" s="54"/>
      <c r="ET82" s="54"/>
      <c r="EU82" s="54"/>
      <c r="EV82" s="54"/>
      <c r="EW82" s="54"/>
      <c r="EX82" s="54"/>
      <c r="EY82" s="54"/>
      <c r="EZ82" s="54"/>
      <c r="FA82" s="54"/>
      <c r="FB82" s="54"/>
      <c r="FC82" s="54"/>
      <c r="FD82" s="54"/>
      <c r="FE82" s="54"/>
      <c r="FF82" s="54"/>
      <c r="FG82" s="54"/>
      <c r="FH82" s="54"/>
      <c r="FI82" s="54"/>
      <c r="FJ82" s="54"/>
      <c r="FK82" s="54"/>
      <c r="FL82" s="54"/>
      <c r="FM82" s="54"/>
      <c r="FN82" s="54"/>
      <c r="FO82" s="54"/>
      <c r="FP82" s="54"/>
      <c r="FQ82" s="54"/>
    </row>
    <row r="83" spans="1:173" ht="110.25" customHeight="1" x14ac:dyDescent="0.25">
      <c r="A83" s="49" t="s">
        <v>610</v>
      </c>
      <c r="B83" s="49" t="s">
        <v>611</v>
      </c>
      <c r="C83" s="49" t="s">
        <v>612</v>
      </c>
      <c r="D83" s="49">
        <v>2020</v>
      </c>
      <c r="E83" s="50" t="s">
        <v>613</v>
      </c>
      <c r="F83" s="49">
        <v>882479</v>
      </c>
      <c r="G83" s="49">
        <v>885739</v>
      </c>
      <c r="H83" s="49" t="s">
        <v>614</v>
      </c>
      <c r="I83" s="49" t="s">
        <v>610</v>
      </c>
      <c r="J83" s="64">
        <v>4.2002314814814812E-2</v>
      </c>
      <c r="K83" s="49" t="s">
        <v>59</v>
      </c>
      <c r="L83" s="49" t="s">
        <v>615</v>
      </c>
      <c r="M83" s="49" t="s">
        <v>616</v>
      </c>
      <c r="N83" s="49" t="s">
        <v>97</v>
      </c>
      <c r="O83" s="49" t="s">
        <v>98</v>
      </c>
      <c r="P83" s="49" t="s">
        <v>617</v>
      </c>
      <c r="Q83" s="49">
        <v>4</v>
      </c>
      <c r="R83" s="49" t="s">
        <v>99</v>
      </c>
      <c r="S83" s="49" t="s">
        <v>66</v>
      </c>
      <c r="T83" s="49" t="s">
        <v>67</v>
      </c>
      <c r="U83" s="49" t="s">
        <v>263</v>
      </c>
      <c r="V83" s="49" t="s">
        <v>69</v>
      </c>
      <c r="W83" s="49" t="s">
        <v>100</v>
      </c>
      <c r="X83" s="51" t="s">
        <v>2292</v>
      </c>
      <c r="Y83" s="51" t="s">
        <v>72</v>
      </c>
      <c r="Z83" s="51" t="s">
        <v>2299</v>
      </c>
      <c r="AA83" s="29"/>
      <c r="AB83" s="30"/>
      <c r="AC83" s="38"/>
      <c r="AD83" s="29"/>
      <c r="AE83" s="39">
        <v>1</v>
      </c>
      <c r="AF83" s="40">
        <v>1</v>
      </c>
      <c r="AG83" s="32"/>
      <c r="AH83" s="33"/>
      <c r="AI83" s="32"/>
      <c r="AJ83" s="33"/>
      <c r="AK83" s="32"/>
      <c r="AL83" s="33"/>
      <c r="AM83" s="32"/>
      <c r="AN83" s="33"/>
      <c r="AO83" s="34">
        <v>1</v>
      </c>
      <c r="AP83" s="35"/>
      <c r="AQ83" s="34"/>
      <c r="AR83" s="35"/>
      <c r="AS83" s="34"/>
      <c r="AT83" s="35"/>
      <c r="AU83" s="36"/>
      <c r="AV83" s="37"/>
      <c r="AW83" s="36">
        <v>1</v>
      </c>
      <c r="AX83" s="52">
        <f t="shared" si="3"/>
        <v>1</v>
      </c>
      <c r="AY83" s="52"/>
      <c r="AZ83" s="52"/>
      <c r="ER83" s="54"/>
      <c r="ES83" s="54"/>
      <c r="ET83" s="54"/>
      <c r="EU83" s="54"/>
      <c r="EV83" s="54"/>
      <c r="EW83" s="54"/>
      <c r="EX83" s="54"/>
      <c r="EY83" s="54"/>
      <c r="EZ83" s="54"/>
      <c r="FA83" s="54"/>
      <c r="FB83" s="54"/>
      <c r="FC83" s="54"/>
      <c r="FD83" s="54"/>
      <c r="FE83" s="54"/>
      <c r="FF83" s="54"/>
      <c r="FG83" s="54"/>
      <c r="FH83" s="54"/>
      <c r="FI83" s="54"/>
      <c r="FJ83" s="54"/>
      <c r="FK83" s="54"/>
      <c r="FL83" s="54"/>
      <c r="FM83" s="54"/>
      <c r="FN83" s="54"/>
      <c r="FO83" s="54"/>
      <c r="FP83" s="54"/>
      <c r="FQ83" s="54"/>
    </row>
    <row r="84" spans="1:173" ht="110.25" customHeight="1" x14ac:dyDescent="0.25">
      <c r="A84" s="46" t="s">
        <v>610</v>
      </c>
      <c r="B84" s="46" t="s">
        <v>618</v>
      </c>
      <c r="C84" s="46" t="s">
        <v>612</v>
      </c>
      <c r="D84" s="46">
        <v>2020</v>
      </c>
      <c r="E84" s="47" t="s">
        <v>619</v>
      </c>
      <c r="F84" s="46">
        <v>1146289</v>
      </c>
      <c r="G84" s="46">
        <v>1148879</v>
      </c>
      <c r="H84" s="46" t="s">
        <v>620</v>
      </c>
      <c r="I84" s="46" t="s">
        <v>610</v>
      </c>
      <c r="J84" s="65">
        <v>4.2002314814814812E-2</v>
      </c>
      <c r="K84" s="46" t="s">
        <v>59</v>
      </c>
      <c r="L84" s="46" t="s">
        <v>615</v>
      </c>
      <c r="M84" s="46" t="s">
        <v>616</v>
      </c>
      <c r="N84" s="46" t="s">
        <v>97</v>
      </c>
      <c r="O84" s="46" t="s">
        <v>63</v>
      </c>
      <c r="P84" s="46" t="s">
        <v>617</v>
      </c>
      <c r="Q84" s="46">
        <v>4</v>
      </c>
      <c r="R84" s="46" t="s">
        <v>621</v>
      </c>
      <c r="S84" s="46" t="s">
        <v>66</v>
      </c>
      <c r="T84" s="46" t="s">
        <v>67</v>
      </c>
      <c r="U84" s="46" t="s">
        <v>263</v>
      </c>
      <c r="V84" s="46" t="s">
        <v>69</v>
      </c>
      <c r="W84" s="46" t="s">
        <v>621</v>
      </c>
      <c r="X84" s="48" t="s">
        <v>622</v>
      </c>
      <c r="Y84" s="48" t="s">
        <v>72</v>
      </c>
      <c r="Z84" s="48" t="s">
        <v>623</v>
      </c>
      <c r="AA84" s="29"/>
      <c r="AB84" s="30"/>
      <c r="AC84" s="38"/>
      <c r="AD84" s="29"/>
      <c r="AE84" s="39">
        <v>1</v>
      </c>
      <c r="AF84" s="40"/>
      <c r="AG84" s="32"/>
      <c r="AH84" s="33"/>
      <c r="AI84" s="32"/>
      <c r="AJ84" s="33"/>
      <c r="AK84" s="32"/>
      <c r="AL84" s="33"/>
      <c r="AM84" s="32">
        <v>1</v>
      </c>
      <c r="AN84" s="33">
        <v>1</v>
      </c>
      <c r="AO84" s="34"/>
      <c r="AP84" s="35"/>
      <c r="AQ84" s="34"/>
      <c r="AR84" s="35"/>
      <c r="AS84" s="34"/>
      <c r="AT84" s="35"/>
      <c r="AU84" s="36"/>
      <c r="AV84" s="37"/>
      <c r="AW84" s="36"/>
      <c r="AX84" s="52">
        <f t="shared" si="3"/>
        <v>1</v>
      </c>
      <c r="AY84" s="52"/>
      <c r="AZ84" s="52"/>
      <c r="ER84" s="54"/>
      <c r="ES84" s="54"/>
      <c r="ET84" s="54"/>
      <c r="EU84" s="54"/>
      <c r="EV84" s="54"/>
      <c r="EW84" s="54"/>
      <c r="EX84" s="54"/>
      <c r="EY84" s="54"/>
      <c r="EZ84" s="54"/>
      <c r="FA84" s="54"/>
      <c r="FB84" s="54"/>
      <c r="FC84" s="54"/>
      <c r="FD84" s="54"/>
      <c r="FE84" s="54"/>
      <c r="FF84" s="54"/>
      <c r="FG84" s="54"/>
      <c r="FH84" s="54"/>
      <c r="FI84" s="54"/>
      <c r="FJ84" s="54"/>
      <c r="FK84" s="54"/>
      <c r="FL84" s="54"/>
      <c r="FM84" s="54"/>
      <c r="FN84" s="54"/>
      <c r="FO84" s="54"/>
      <c r="FP84" s="54"/>
      <c r="FQ84" s="54"/>
    </row>
    <row r="85" spans="1:173" s="15" customFormat="1" ht="110.25" customHeight="1" x14ac:dyDescent="0.25">
      <c r="A85" s="49" t="s">
        <v>624</v>
      </c>
      <c r="B85" s="49" t="s">
        <v>625</v>
      </c>
      <c r="C85" s="49" t="s">
        <v>626</v>
      </c>
      <c r="D85" s="49">
        <v>2019</v>
      </c>
      <c r="E85" s="50" t="s">
        <v>627</v>
      </c>
      <c r="F85" s="49">
        <v>614210</v>
      </c>
      <c r="G85" s="49">
        <v>615118</v>
      </c>
      <c r="H85" s="49" t="s">
        <v>628</v>
      </c>
      <c r="I85" s="49" t="s">
        <v>624</v>
      </c>
      <c r="J85" s="64">
        <v>1.9212962962962963E-2</v>
      </c>
      <c r="K85" s="49" t="s">
        <v>79</v>
      </c>
      <c r="L85" s="49" t="s">
        <v>629</v>
      </c>
      <c r="M85" s="49" t="s">
        <v>630</v>
      </c>
      <c r="N85" s="49" t="s">
        <v>97</v>
      </c>
      <c r="O85" s="49" t="s">
        <v>63</v>
      </c>
      <c r="P85" s="49" t="s">
        <v>120</v>
      </c>
      <c r="Q85" s="49">
        <v>3</v>
      </c>
      <c r="R85" s="49" t="s">
        <v>99</v>
      </c>
      <c r="S85" s="49" t="s">
        <v>84</v>
      </c>
      <c r="T85" s="49" t="s">
        <v>67</v>
      </c>
      <c r="U85" s="49" t="s">
        <v>631</v>
      </c>
      <c r="V85" s="49" t="s">
        <v>86</v>
      </c>
      <c r="W85" s="49" t="s">
        <v>100</v>
      </c>
      <c r="X85" s="51" t="s">
        <v>632</v>
      </c>
      <c r="Y85" s="51" t="s">
        <v>72</v>
      </c>
      <c r="Z85" s="51" t="s">
        <v>633</v>
      </c>
      <c r="AA85" s="29"/>
      <c r="AB85" s="41"/>
      <c r="AC85" s="41"/>
      <c r="AD85" s="41"/>
      <c r="AE85" s="18">
        <v>1</v>
      </c>
      <c r="AF85" s="19"/>
      <c r="AG85" s="32"/>
      <c r="AH85" s="33"/>
      <c r="AI85" s="32"/>
      <c r="AJ85" s="33"/>
      <c r="AK85" s="32"/>
      <c r="AL85" s="33"/>
      <c r="AM85" s="32"/>
      <c r="AN85" s="33">
        <v>1</v>
      </c>
      <c r="AO85" s="34"/>
      <c r="AP85" s="35"/>
      <c r="AQ85" s="34"/>
      <c r="AR85" s="35"/>
      <c r="AS85" s="34"/>
      <c r="AT85" s="35"/>
      <c r="AU85" s="36"/>
      <c r="AV85" s="37">
        <v>1</v>
      </c>
      <c r="AW85" s="36"/>
      <c r="AX85" s="52">
        <f t="shared" si="3"/>
        <v>1</v>
      </c>
      <c r="AY85" s="52"/>
      <c r="AZ85" s="52"/>
      <c r="BA85" s="53"/>
      <c r="BB85" s="53"/>
      <c r="BC85" s="53"/>
      <c r="BD85" s="53"/>
      <c r="BE85" s="53"/>
      <c r="BF85" s="53"/>
      <c r="BG85" s="53"/>
      <c r="BH85" s="53"/>
      <c r="BI85" s="53"/>
      <c r="BJ85" s="53"/>
      <c r="BK85" s="53"/>
      <c r="BL85" s="53"/>
      <c r="BM85" s="53"/>
      <c r="BN85" s="53"/>
      <c r="BO85" s="53"/>
      <c r="BP85" s="53"/>
      <c r="BQ85" s="53"/>
      <c r="BR85" s="53"/>
      <c r="BS85" s="53"/>
      <c r="BT85" s="53"/>
      <c r="BU85" s="53"/>
      <c r="BV85" s="53"/>
      <c r="BW85" s="53"/>
      <c r="BX85" s="53"/>
      <c r="BY85" s="53"/>
      <c r="BZ85" s="53"/>
      <c r="CA85" s="53"/>
      <c r="CB85" s="53"/>
      <c r="CC85" s="53"/>
      <c r="CD85" s="53"/>
      <c r="CE85" s="53"/>
      <c r="CF85" s="53"/>
      <c r="CG85" s="53"/>
      <c r="CH85" s="53"/>
      <c r="CI85" s="53"/>
      <c r="CJ85" s="53"/>
      <c r="CK85" s="53"/>
      <c r="CL85" s="53"/>
      <c r="CM85" s="53"/>
      <c r="CN85" s="53"/>
      <c r="CO85" s="53"/>
      <c r="CP85" s="53"/>
      <c r="CQ85" s="53"/>
      <c r="CR85" s="53"/>
      <c r="CS85" s="53"/>
      <c r="CT85" s="53"/>
      <c r="CU85" s="53"/>
      <c r="CV85" s="53"/>
      <c r="CW85" s="53"/>
      <c r="CX85" s="53"/>
      <c r="CY85" s="53"/>
      <c r="CZ85" s="53"/>
      <c r="DA85" s="53"/>
      <c r="DB85" s="53"/>
      <c r="DC85" s="53"/>
      <c r="DD85" s="53"/>
      <c r="DE85" s="53"/>
      <c r="DF85" s="53"/>
      <c r="DG85" s="53"/>
      <c r="DH85" s="53"/>
      <c r="DI85" s="53"/>
      <c r="DJ85" s="53"/>
      <c r="DK85" s="53"/>
      <c r="DL85" s="53"/>
      <c r="DM85" s="53"/>
      <c r="DN85" s="53"/>
      <c r="DO85" s="53"/>
      <c r="DP85" s="53"/>
      <c r="DQ85" s="53"/>
      <c r="DR85" s="53"/>
      <c r="DS85" s="53"/>
      <c r="DT85" s="53"/>
      <c r="DU85" s="53"/>
      <c r="DV85" s="53"/>
      <c r="DW85" s="53"/>
      <c r="DX85" s="53"/>
      <c r="DY85" s="53"/>
      <c r="DZ85" s="53"/>
      <c r="EA85" s="53"/>
      <c r="EB85" s="53"/>
      <c r="EC85" s="53"/>
      <c r="ED85" s="53"/>
      <c r="EE85" s="53"/>
      <c r="EF85" s="53"/>
      <c r="EG85" s="53"/>
      <c r="EH85" s="53"/>
      <c r="EI85" s="53"/>
      <c r="EJ85" s="53"/>
      <c r="EK85" s="53"/>
      <c r="EL85" s="53"/>
      <c r="EM85" s="53"/>
      <c r="EN85" s="53"/>
      <c r="EO85" s="53"/>
      <c r="EP85" s="53"/>
      <c r="EQ85" s="53"/>
      <c r="ER85" s="54"/>
      <c r="ES85" s="54"/>
      <c r="ET85" s="54"/>
      <c r="EU85" s="54"/>
      <c r="EV85" s="54"/>
      <c r="EW85" s="54"/>
      <c r="EX85" s="54"/>
      <c r="EY85" s="54"/>
      <c r="EZ85" s="54"/>
      <c r="FA85" s="54"/>
      <c r="FB85" s="54"/>
      <c r="FC85" s="54"/>
      <c r="FD85" s="54"/>
      <c r="FE85" s="54"/>
      <c r="FF85" s="54"/>
      <c r="FG85" s="54"/>
      <c r="FH85" s="54"/>
      <c r="FI85" s="54"/>
      <c r="FJ85" s="54"/>
      <c r="FK85" s="54"/>
      <c r="FL85" s="54"/>
      <c r="FM85" s="54"/>
      <c r="FN85" s="54"/>
      <c r="FO85" s="54"/>
      <c r="FP85" s="54"/>
      <c r="FQ85" s="54"/>
    </row>
    <row r="86" spans="1:173" ht="110.25" customHeight="1" x14ac:dyDescent="0.25">
      <c r="A86" s="46" t="s">
        <v>624</v>
      </c>
      <c r="B86" s="46" t="s">
        <v>634</v>
      </c>
      <c r="C86" s="46" t="s">
        <v>626</v>
      </c>
      <c r="D86" s="46">
        <v>2019</v>
      </c>
      <c r="E86" s="47" t="s">
        <v>635</v>
      </c>
      <c r="F86" s="46">
        <v>1649663</v>
      </c>
      <c r="G86" s="46">
        <v>1654200</v>
      </c>
      <c r="H86" s="46" t="s">
        <v>542</v>
      </c>
      <c r="I86" s="46" t="s">
        <v>624</v>
      </c>
      <c r="J86" s="65">
        <v>1.9212962962962963E-2</v>
      </c>
      <c r="K86" s="46" t="s">
        <v>79</v>
      </c>
      <c r="L86" s="46" t="s">
        <v>629</v>
      </c>
      <c r="M86" s="46" t="s">
        <v>630</v>
      </c>
      <c r="N86" s="46" t="s">
        <v>273</v>
      </c>
      <c r="O86" s="46" t="s">
        <v>98</v>
      </c>
      <c r="P86" s="46" t="s">
        <v>120</v>
      </c>
      <c r="Q86" s="46">
        <v>3</v>
      </c>
      <c r="R86" s="46" t="s">
        <v>99</v>
      </c>
      <c r="S86" s="46" t="s">
        <v>84</v>
      </c>
      <c r="T86" s="46" t="s">
        <v>67</v>
      </c>
      <c r="U86" s="46" t="s">
        <v>545</v>
      </c>
      <c r="V86" s="46" t="s">
        <v>86</v>
      </c>
      <c r="W86" s="46" t="s">
        <v>100</v>
      </c>
      <c r="X86" s="48" t="s">
        <v>2293</v>
      </c>
      <c r="Y86" s="48" t="s">
        <v>72</v>
      </c>
      <c r="Z86" s="48" t="s">
        <v>2300</v>
      </c>
      <c r="AA86" s="29"/>
      <c r="AB86" s="30"/>
      <c r="AC86" s="38"/>
      <c r="AD86" s="29"/>
      <c r="AE86" s="39">
        <v>1</v>
      </c>
      <c r="AF86" s="40">
        <v>1</v>
      </c>
      <c r="AG86" s="32"/>
      <c r="AH86" s="33"/>
      <c r="AI86" s="32"/>
      <c r="AJ86" s="33"/>
      <c r="AK86" s="32"/>
      <c r="AL86" s="33"/>
      <c r="AM86" s="32"/>
      <c r="AN86" s="33">
        <v>1</v>
      </c>
      <c r="AO86" s="34">
        <v>1</v>
      </c>
      <c r="AP86" s="35"/>
      <c r="AQ86" s="34"/>
      <c r="AR86" s="35"/>
      <c r="AS86" s="34"/>
      <c r="AT86" s="35"/>
      <c r="AU86" s="36"/>
      <c r="AV86" s="37"/>
      <c r="AW86" s="36"/>
      <c r="AX86" s="52">
        <f t="shared" si="3"/>
        <v>1</v>
      </c>
      <c r="AY86" s="52"/>
      <c r="AZ86" s="52"/>
      <c r="ER86" s="54"/>
      <c r="ES86" s="54"/>
      <c r="ET86" s="54"/>
      <c r="EU86" s="54"/>
      <c r="EV86" s="54"/>
      <c r="EW86" s="54"/>
      <c r="EX86" s="54"/>
      <c r="EY86" s="54"/>
      <c r="EZ86" s="54"/>
      <c r="FA86" s="54"/>
      <c r="FB86" s="54"/>
      <c r="FC86" s="54"/>
      <c r="FD86" s="54"/>
      <c r="FE86" s="54"/>
      <c r="FF86" s="54"/>
      <c r="FG86" s="54"/>
      <c r="FH86" s="54"/>
      <c r="FI86" s="54"/>
      <c r="FJ86" s="54"/>
      <c r="FK86" s="54"/>
      <c r="FL86" s="54"/>
      <c r="FM86" s="54"/>
      <c r="FN86" s="54"/>
      <c r="FO86" s="54"/>
      <c r="FP86" s="54"/>
      <c r="FQ86" s="54"/>
    </row>
    <row r="87" spans="1:173" s="15" customFormat="1" ht="110.25" customHeight="1" x14ac:dyDescent="0.25">
      <c r="A87" s="49" t="s">
        <v>636</v>
      </c>
      <c r="B87" s="49" t="s">
        <v>637</v>
      </c>
      <c r="C87" s="49" t="s">
        <v>638</v>
      </c>
      <c r="D87" s="49">
        <v>2019</v>
      </c>
      <c r="E87" s="50" t="s">
        <v>639</v>
      </c>
      <c r="F87" s="49">
        <v>348136</v>
      </c>
      <c r="G87" s="49">
        <v>351920</v>
      </c>
      <c r="H87" s="49" t="s">
        <v>640</v>
      </c>
      <c r="I87" s="49" t="s">
        <v>636</v>
      </c>
      <c r="J87" s="64">
        <v>7.9907407407407413E-2</v>
      </c>
      <c r="K87" s="49" t="s">
        <v>79</v>
      </c>
      <c r="L87" s="49" t="s">
        <v>641</v>
      </c>
      <c r="M87" s="49" t="s">
        <v>642</v>
      </c>
      <c r="N87" s="49" t="s">
        <v>643</v>
      </c>
      <c r="O87" s="49" t="s">
        <v>98</v>
      </c>
      <c r="P87" s="49" t="s">
        <v>120</v>
      </c>
      <c r="Q87" s="49">
        <v>2</v>
      </c>
      <c r="R87" s="49" t="s">
        <v>83</v>
      </c>
      <c r="S87" s="49" t="s">
        <v>84</v>
      </c>
      <c r="T87" s="49" t="s">
        <v>85</v>
      </c>
      <c r="U87" s="49" t="s">
        <v>644</v>
      </c>
      <c r="V87" s="49" t="s">
        <v>86</v>
      </c>
      <c r="W87" s="49" t="s">
        <v>87</v>
      </c>
      <c r="X87" s="51" t="s">
        <v>645</v>
      </c>
      <c r="Y87" s="51" t="s">
        <v>72</v>
      </c>
      <c r="Z87" s="51" t="s">
        <v>646</v>
      </c>
      <c r="AA87" s="29">
        <v>1</v>
      </c>
      <c r="AB87" s="41"/>
      <c r="AC87" s="41"/>
      <c r="AD87" s="41"/>
      <c r="AE87" s="39"/>
      <c r="AF87" s="40"/>
      <c r="AG87" s="32"/>
      <c r="AH87" s="33"/>
      <c r="AI87" s="32"/>
      <c r="AJ87" s="33"/>
      <c r="AK87" s="32"/>
      <c r="AL87" s="33"/>
      <c r="AM87" s="32"/>
      <c r="AN87" s="33"/>
      <c r="AO87" s="34"/>
      <c r="AP87" s="35"/>
      <c r="AQ87" s="34"/>
      <c r="AR87" s="35"/>
      <c r="AS87" s="34"/>
      <c r="AT87" s="35"/>
      <c r="AU87" s="36"/>
      <c r="AV87" s="37"/>
      <c r="AW87" s="36"/>
      <c r="AX87" s="52">
        <f t="shared" si="3"/>
        <v>0</v>
      </c>
      <c r="AY87" s="52"/>
      <c r="AZ87" s="52"/>
      <c r="BA87" s="53"/>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c r="CD87" s="53"/>
      <c r="CE87" s="53"/>
      <c r="CF87" s="53"/>
      <c r="CG87" s="53"/>
      <c r="CH87" s="53"/>
      <c r="CI87" s="53"/>
      <c r="CJ87" s="53"/>
      <c r="CK87" s="53"/>
      <c r="CL87" s="53"/>
      <c r="CM87" s="53"/>
      <c r="CN87" s="53"/>
      <c r="CO87" s="53"/>
      <c r="CP87" s="53"/>
      <c r="CQ87" s="53"/>
      <c r="CR87" s="53"/>
      <c r="CS87" s="53"/>
      <c r="CT87" s="53"/>
      <c r="CU87" s="53"/>
      <c r="CV87" s="53"/>
      <c r="CW87" s="53"/>
      <c r="CX87" s="53"/>
      <c r="CY87" s="53"/>
      <c r="CZ87" s="53"/>
      <c r="DA87" s="53"/>
      <c r="DB87" s="53"/>
      <c r="DC87" s="53"/>
      <c r="DD87" s="53"/>
      <c r="DE87" s="53"/>
      <c r="DF87" s="53"/>
      <c r="DG87" s="53"/>
      <c r="DH87" s="53"/>
      <c r="DI87" s="53"/>
      <c r="DJ87" s="53"/>
      <c r="DK87" s="53"/>
      <c r="DL87" s="53"/>
      <c r="DM87" s="53"/>
      <c r="DN87" s="53"/>
      <c r="DO87" s="53"/>
      <c r="DP87" s="53"/>
      <c r="DQ87" s="53"/>
      <c r="DR87" s="53"/>
      <c r="DS87" s="53"/>
      <c r="DT87" s="53"/>
      <c r="DU87" s="53"/>
      <c r="DV87" s="53"/>
      <c r="DW87" s="53"/>
      <c r="DX87" s="53"/>
      <c r="DY87" s="53"/>
      <c r="DZ87" s="53"/>
      <c r="EA87" s="53"/>
      <c r="EB87" s="53"/>
      <c r="EC87" s="53"/>
      <c r="ED87" s="53"/>
      <c r="EE87" s="53"/>
      <c r="EF87" s="53"/>
      <c r="EG87" s="53"/>
      <c r="EH87" s="53"/>
      <c r="EI87" s="53"/>
      <c r="EJ87" s="53"/>
      <c r="EK87" s="53"/>
      <c r="EL87" s="53"/>
      <c r="EM87" s="53"/>
      <c r="EN87" s="53"/>
      <c r="EO87" s="53"/>
      <c r="EP87" s="53"/>
      <c r="EQ87" s="53"/>
      <c r="ER87" s="54"/>
      <c r="ES87" s="54"/>
      <c r="ET87" s="54"/>
      <c r="EU87" s="54"/>
      <c r="EV87" s="54"/>
      <c r="EW87" s="54"/>
      <c r="EX87" s="54"/>
      <c r="EY87" s="54"/>
      <c r="EZ87" s="54"/>
      <c r="FA87" s="54"/>
      <c r="FB87" s="54"/>
      <c r="FC87" s="54"/>
      <c r="FD87" s="54"/>
      <c r="FE87" s="54"/>
      <c r="FF87" s="54"/>
      <c r="FG87" s="54"/>
      <c r="FH87" s="54"/>
      <c r="FI87" s="54"/>
      <c r="FJ87" s="54"/>
      <c r="FK87" s="54"/>
      <c r="FL87" s="54"/>
      <c r="FM87" s="54"/>
      <c r="FN87" s="54"/>
      <c r="FO87" s="54"/>
      <c r="FP87" s="54"/>
      <c r="FQ87" s="54"/>
    </row>
    <row r="88" spans="1:173" ht="110.25" customHeight="1" x14ac:dyDescent="0.25">
      <c r="A88" s="46" t="s">
        <v>636</v>
      </c>
      <c r="B88" s="46" t="s">
        <v>647</v>
      </c>
      <c r="C88" s="46" t="s">
        <v>638</v>
      </c>
      <c r="D88" s="46">
        <v>2019</v>
      </c>
      <c r="E88" s="47" t="s">
        <v>648</v>
      </c>
      <c r="F88" s="46">
        <v>398706</v>
      </c>
      <c r="G88" s="46">
        <v>405255</v>
      </c>
      <c r="H88" s="46" t="s">
        <v>640</v>
      </c>
      <c r="I88" s="46" t="s">
        <v>636</v>
      </c>
      <c r="J88" s="65">
        <v>7.9907407407407413E-2</v>
      </c>
      <c r="K88" s="46" t="s">
        <v>79</v>
      </c>
      <c r="L88" s="46" t="s">
        <v>641</v>
      </c>
      <c r="M88" s="46" t="s">
        <v>642</v>
      </c>
      <c r="N88" s="46" t="s">
        <v>643</v>
      </c>
      <c r="O88" s="46" t="s">
        <v>98</v>
      </c>
      <c r="P88" s="46" t="s">
        <v>120</v>
      </c>
      <c r="Q88" s="46">
        <v>2</v>
      </c>
      <c r="R88" s="46" t="s">
        <v>83</v>
      </c>
      <c r="S88" s="46" t="s">
        <v>84</v>
      </c>
      <c r="T88" s="46" t="s">
        <v>85</v>
      </c>
      <c r="U88" s="46" t="s">
        <v>644</v>
      </c>
      <c r="V88" s="46" t="s">
        <v>86</v>
      </c>
      <c r="W88" s="46" t="s">
        <v>87</v>
      </c>
      <c r="X88" s="48" t="s">
        <v>649</v>
      </c>
      <c r="Y88" s="48" t="s">
        <v>72</v>
      </c>
      <c r="Z88" s="48" t="s">
        <v>650</v>
      </c>
      <c r="AA88" s="29"/>
      <c r="AB88" s="30"/>
      <c r="AC88" s="38"/>
      <c r="AD88" s="29"/>
      <c r="AE88" s="39">
        <v>1</v>
      </c>
      <c r="AF88" s="40"/>
      <c r="AG88" s="32"/>
      <c r="AH88" s="33"/>
      <c r="AI88" s="32"/>
      <c r="AJ88" s="33"/>
      <c r="AK88" s="32"/>
      <c r="AL88" s="33"/>
      <c r="AM88" s="32"/>
      <c r="AN88" s="33"/>
      <c r="AO88" s="34">
        <v>1</v>
      </c>
      <c r="AP88" s="35"/>
      <c r="AQ88" s="34"/>
      <c r="AR88" s="35"/>
      <c r="AS88" s="34"/>
      <c r="AT88" s="35"/>
      <c r="AU88" s="36"/>
      <c r="AV88" s="37"/>
      <c r="AW88" s="36"/>
      <c r="AX88" s="52">
        <f t="shared" si="3"/>
        <v>0</v>
      </c>
      <c r="AY88" s="52"/>
      <c r="AZ88" s="52"/>
      <c r="ER88" s="54"/>
      <c r="ES88" s="54"/>
      <c r="ET88" s="54"/>
      <c r="EU88" s="54"/>
      <c r="EV88" s="54"/>
      <c r="EW88" s="54"/>
      <c r="EX88" s="54"/>
      <c r="EY88" s="54"/>
      <c r="EZ88" s="54"/>
      <c r="FA88" s="54"/>
      <c r="FB88" s="54"/>
      <c r="FC88" s="54"/>
      <c r="FD88" s="54"/>
      <c r="FE88" s="54"/>
      <c r="FF88" s="54"/>
      <c r="FG88" s="54"/>
      <c r="FH88" s="54"/>
      <c r="FI88" s="54"/>
      <c r="FJ88" s="54"/>
      <c r="FK88" s="54"/>
      <c r="FL88" s="54"/>
      <c r="FM88" s="54"/>
      <c r="FN88" s="54"/>
      <c r="FO88" s="54"/>
      <c r="FP88" s="54"/>
      <c r="FQ88" s="54"/>
    </row>
    <row r="89" spans="1:173" ht="110.25" customHeight="1" x14ac:dyDescent="0.25">
      <c r="A89" s="49" t="s">
        <v>636</v>
      </c>
      <c r="B89" s="49" t="s">
        <v>651</v>
      </c>
      <c r="C89" s="49" t="s">
        <v>638</v>
      </c>
      <c r="D89" s="49">
        <v>2019</v>
      </c>
      <c r="E89" s="50" t="s">
        <v>652</v>
      </c>
      <c r="F89" s="49">
        <v>3228272</v>
      </c>
      <c r="G89" s="49">
        <v>3230715</v>
      </c>
      <c r="H89" s="49" t="s">
        <v>640</v>
      </c>
      <c r="I89" s="49" t="s">
        <v>636</v>
      </c>
      <c r="J89" s="64">
        <v>7.9907407407407413E-2</v>
      </c>
      <c r="K89" s="49" t="s">
        <v>79</v>
      </c>
      <c r="L89" s="49" t="s">
        <v>641</v>
      </c>
      <c r="M89" s="49" t="s">
        <v>642</v>
      </c>
      <c r="N89" s="49" t="s">
        <v>643</v>
      </c>
      <c r="O89" s="49" t="s">
        <v>98</v>
      </c>
      <c r="P89" s="49" t="s">
        <v>120</v>
      </c>
      <c r="Q89" s="49">
        <v>2</v>
      </c>
      <c r="R89" s="49" t="s">
        <v>83</v>
      </c>
      <c r="S89" s="49" t="s">
        <v>84</v>
      </c>
      <c r="T89" s="49" t="s">
        <v>85</v>
      </c>
      <c r="U89" s="49" t="s">
        <v>644</v>
      </c>
      <c r="V89" s="49" t="s">
        <v>86</v>
      </c>
      <c r="W89" s="49" t="s">
        <v>87</v>
      </c>
      <c r="X89" s="51" t="s">
        <v>653</v>
      </c>
      <c r="Y89" s="51" t="s">
        <v>72</v>
      </c>
      <c r="Z89" s="51" t="s">
        <v>2301</v>
      </c>
      <c r="AA89" s="29"/>
      <c r="AB89" s="30"/>
      <c r="AC89" s="38"/>
      <c r="AD89" s="29"/>
      <c r="AE89" s="39">
        <v>1</v>
      </c>
      <c r="AF89" s="40">
        <v>1</v>
      </c>
      <c r="AG89" s="32"/>
      <c r="AH89" s="33"/>
      <c r="AI89" s="32"/>
      <c r="AJ89" s="33"/>
      <c r="AK89" s="32"/>
      <c r="AL89" s="33"/>
      <c r="AM89" s="32"/>
      <c r="AN89" s="33"/>
      <c r="AO89" s="34"/>
      <c r="AP89" s="35"/>
      <c r="AQ89" s="34"/>
      <c r="AR89" s="35"/>
      <c r="AS89" s="34"/>
      <c r="AT89" s="35"/>
      <c r="AU89" s="36"/>
      <c r="AV89" s="37"/>
      <c r="AW89" s="36"/>
      <c r="AX89" s="52">
        <f t="shared" si="3"/>
        <v>0</v>
      </c>
      <c r="AY89" s="52"/>
      <c r="AZ89" s="52"/>
      <c r="ER89" s="54"/>
      <c r="ES89" s="54"/>
      <c r="ET89" s="54"/>
      <c r="EU89" s="54"/>
      <c r="EV89" s="54"/>
      <c r="EW89" s="54"/>
      <c r="EX89" s="54"/>
      <c r="EY89" s="54"/>
      <c r="EZ89" s="54"/>
      <c r="FA89" s="54"/>
      <c r="FB89" s="54"/>
      <c r="FC89" s="54"/>
      <c r="FD89" s="54"/>
      <c r="FE89" s="54"/>
      <c r="FF89" s="54"/>
      <c r="FG89" s="54"/>
      <c r="FH89" s="54"/>
      <c r="FI89" s="54"/>
      <c r="FJ89" s="54"/>
      <c r="FK89" s="54"/>
      <c r="FL89" s="54"/>
      <c r="FM89" s="54"/>
      <c r="FN89" s="54"/>
      <c r="FO89" s="54"/>
      <c r="FP89" s="54"/>
      <c r="FQ89" s="54"/>
    </row>
    <row r="90" spans="1:173" s="15" customFormat="1" ht="110.25" customHeight="1" x14ac:dyDescent="0.25">
      <c r="A90" s="46" t="s">
        <v>654</v>
      </c>
      <c r="B90" s="46" t="s">
        <v>655</v>
      </c>
      <c r="C90" s="46" t="s">
        <v>656</v>
      </c>
      <c r="D90" s="46">
        <v>2024</v>
      </c>
      <c r="E90" s="47" t="s">
        <v>657</v>
      </c>
      <c r="F90" s="46">
        <v>2596054</v>
      </c>
      <c r="G90" s="46">
        <v>2598699</v>
      </c>
      <c r="H90" s="46" t="s">
        <v>658</v>
      </c>
      <c r="I90" s="46" t="s">
        <v>654</v>
      </c>
      <c r="J90" s="65">
        <v>3.3738425925925929E-2</v>
      </c>
      <c r="K90" s="46" t="s">
        <v>79</v>
      </c>
      <c r="L90" s="46" t="s">
        <v>659</v>
      </c>
      <c r="M90" s="46" t="s">
        <v>660</v>
      </c>
      <c r="N90" s="46" t="s">
        <v>97</v>
      </c>
      <c r="O90" s="46" t="s">
        <v>63</v>
      </c>
      <c r="P90" s="46" t="s">
        <v>64</v>
      </c>
      <c r="Q90" s="46">
        <v>2</v>
      </c>
      <c r="R90" s="46" t="s">
        <v>99</v>
      </c>
      <c r="S90" s="46" t="s">
        <v>84</v>
      </c>
      <c r="T90" s="46" t="s">
        <v>85</v>
      </c>
      <c r="U90" s="46" t="s">
        <v>68</v>
      </c>
      <c r="V90" s="46" t="s">
        <v>86</v>
      </c>
      <c r="W90" s="46" t="s">
        <v>100</v>
      </c>
      <c r="X90" s="48" t="s">
        <v>661</v>
      </c>
      <c r="Y90" s="48" t="s">
        <v>72</v>
      </c>
      <c r="Z90" s="48" t="s">
        <v>662</v>
      </c>
      <c r="AA90" s="29">
        <v>1</v>
      </c>
      <c r="AB90" s="41"/>
      <c r="AC90" s="41"/>
      <c r="AD90" s="41"/>
      <c r="AE90" s="39"/>
      <c r="AF90" s="40"/>
      <c r="AG90" s="32"/>
      <c r="AH90" s="33"/>
      <c r="AI90" s="32"/>
      <c r="AJ90" s="33"/>
      <c r="AK90" s="32"/>
      <c r="AL90" s="33"/>
      <c r="AM90" s="32"/>
      <c r="AN90" s="33"/>
      <c r="AO90" s="34"/>
      <c r="AP90" s="35"/>
      <c r="AQ90" s="34"/>
      <c r="AR90" s="35"/>
      <c r="AS90" s="34"/>
      <c r="AT90" s="35"/>
      <c r="AU90" s="36"/>
      <c r="AV90" s="37"/>
      <c r="AW90" s="36"/>
      <c r="AX90" s="52">
        <f t="shared" si="3"/>
        <v>0</v>
      </c>
      <c r="AY90" s="52"/>
      <c r="AZ90" s="52"/>
      <c r="BA90" s="53"/>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c r="CD90" s="53"/>
      <c r="CE90" s="53"/>
      <c r="CF90" s="53"/>
      <c r="CG90" s="53"/>
      <c r="CH90" s="53"/>
      <c r="CI90" s="53"/>
      <c r="CJ90" s="53"/>
      <c r="CK90" s="53"/>
      <c r="CL90" s="53"/>
      <c r="CM90" s="53"/>
      <c r="CN90" s="53"/>
      <c r="CO90" s="53"/>
      <c r="CP90" s="53"/>
      <c r="CQ90" s="53"/>
      <c r="CR90" s="53"/>
      <c r="CS90" s="53"/>
      <c r="CT90" s="53"/>
      <c r="CU90" s="53"/>
      <c r="CV90" s="53"/>
      <c r="CW90" s="53"/>
      <c r="CX90" s="53"/>
      <c r="CY90" s="53"/>
      <c r="CZ90" s="53"/>
      <c r="DA90" s="53"/>
      <c r="DB90" s="53"/>
      <c r="DC90" s="53"/>
      <c r="DD90" s="53"/>
      <c r="DE90" s="53"/>
      <c r="DF90" s="53"/>
      <c r="DG90" s="53"/>
      <c r="DH90" s="53"/>
      <c r="DI90" s="53"/>
      <c r="DJ90" s="53"/>
      <c r="DK90" s="53"/>
      <c r="DL90" s="53"/>
      <c r="DM90" s="53"/>
      <c r="DN90" s="53"/>
      <c r="DO90" s="53"/>
      <c r="DP90" s="53"/>
      <c r="DQ90" s="53"/>
      <c r="DR90" s="53"/>
      <c r="DS90" s="53"/>
      <c r="DT90" s="53"/>
      <c r="DU90" s="53"/>
      <c r="DV90" s="53"/>
      <c r="DW90" s="53"/>
      <c r="DX90" s="53"/>
      <c r="DY90" s="53"/>
      <c r="DZ90" s="53"/>
      <c r="EA90" s="53"/>
      <c r="EB90" s="53"/>
      <c r="EC90" s="53"/>
      <c r="ED90" s="53"/>
      <c r="EE90" s="53"/>
      <c r="EF90" s="53"/>
      <c r="EG90" s="53"/>
      <c r="EH90" s="53"/>
      <c r="EI90" s="53"/>
      <c r="EJ90" s="53"/>
      <c r="EK90" s="53"/>
      <c r="EL90" s="53"/>
      <c r="EM90" s="53"/>
      <c r="EN90" s="53"/>
      <c r="EO90" s="53"/>
      <c r="EP90" s="53"/>
      <c r="EQ90" s="53"/>
      <c r="ER90" s="54"/>
      <c r="ES90" s="54"/>
      <c r="ET90" s="54"/>
      <c r="EU90" s="54"/>
      <c r="EV90" s="54"/>
      <c r="EW90" s="54"/>
      <c r="EX90" s="54"/>
      <c r="EY90" s="54"/>
      <c r="EZ90" s="54"/>
      <c r="FA90" s="54"/>
      <c r="FB90" s="54"/>
      <c r="FC90" s="54"/>
      <c r="FD90" s="54"/>
      <c r="FE90" s="54"/>
      <c r="FF90" s="54"/>
      <c r="FG90" s="54"/>
      <c r="FH90" s="54"/>
      <c r="FI90" s="54"/>
      <c r="FJ90" s="54"/>
      <c r="FK90" s="54"/>
      <c r="FL90" s="54"/>
      <c r="FM90" s="54"/>
      <c r="FN90" s="54"/>
      <c r="FO90" s="54"/>
      <c r="FP90" s="54"/>
      <c r="FQ90" s="54"/>
    </row>
    <row r="91" spans="1:173" ht="110.25" customHeight="1" x14ac:dyDescent="0.25">
      <c r="A91" s="49" t="s">
        <v>654</v>
      </c>
      <c r="B91" s="49" t="s">
        <v>663</v>
      </c>
      <c r="C91" s="49" t="s">
        <v>656</v>
      </c>
      <c r="D91" s="49">
        <v>2024</v>
      </c>
      <c r="E91" s="50" t="s">
        <v>664</v>
      </c>
      <c r="F91" s="49">
        <v>2889694</v>
      </c>
      <c r="G91" s="49">
        <v>2893735</v>
      </c>
      <c r="H91" s="49" t="s">
        <v>658</v>
      </c>
      <c r="I91" s="49" t="s">
        <v>654</v>
      </c>
      <c r="J91" s="64">
        <v>3.3738425925925929E-2</v>
      </c>
      <c r="K91" s="49" t="s">
        <v>79</v>
      </c>
      <c r="L91" s="49" t="s">
        <v>659</v>
      </c>
      <c r="M91" s="49" t="s">
        <v>660</v>
      </c>
      <c r="N91" s="49" t="s">
        <v>97</v>
      </c>
      <c r="O91" s="49" t="s">
        <v>63</v>
      </c>
      <c r="P91" s="49" t="s">
        <v>64</v>
      </c>
      <c r="Q91" s="49">
        <v>2</v>
      </c>
      <c r="R91" s="49" t="s">
        <v>99</v>
      </c>
      <c r="S91" s="49" t="s">
        <v>84</v>
      </c>
      <c r="T91" s="49" t="s">
        <v>85</v>
      </c>
      <c r="U91" s="49" t="s">
        <v>68</v>
      </c>
      <c r="V91" s="49" t="s">
        <v>86</v>
      </c>
      <c r="W91" s="49" t="s">
        <v>100</v>
      </c>
      <c r="X91" s="51" t="s">
        <v>665</v>
      </c>
      <c r="Y91" s="51" t="s">
        <v>72</v>
      </c>
      <c r="Z91" s="51" t="s">
        <v>666</v>
      </c>
      <c r="AA91" s="29"/>
      <c r="AB91" s="30"/>
      <c r="AC91" s="38"/>
      <c r="AD91" s="29"/>
      <c r="AE91" s="39">
        <v>1</v>
      </c>
      <c r="AF91" s="40"/>
      <c r="AG91" s="32"/>
      <c r="AH91" s="33"/>
      <c r="AI91" s="32"/>
      <c r="AJ91" s="33"/>
      <c r="AK91" s="32"/>
      <c r="AL91" s="33"/>
      <c r="AM91" s="32"/>
      <c r="AN91" s="33">
        <v>1</v>
      </c>
      <c r="AO91" s="34"/>
      <c r="AP91" s="35"/>
      <c r="AQ91" s="34"/>
      <c r="AR91" s="35"/>
      <c r="AS91" s="34"/>
      <c r="AT91" s="35"/>
      <c r="AU91" s="36"/>
      <c r="AV91" s="37"/>
      <c r="AW91" s="36"/>
      <c r="AX91" s="52">
        <f t="shared" si="3"/>
        <v>0</v>
      </c>
      <c r="AY91" s="52"/>
      <c r="AZ91" s="52"/>
      <c r="ER91" s="54"/>
      <c r="ES91" s="54"/>
      <c r="ET91" s="54"/>
      <c r="EU91" s="54"/>
      <c r="EV91" s="54"/>
      <c r="EW91" s="54"/>
      <c r="EX91" s="54"/>
      <c r="EY91" s="54"/>
      <c r="EZ91" s="54"/>
      <c r="FA91" s="54"/>
      <c r="FB91" s="54"/>
      <c r="FC91" s="54"/>
      <c r="FD91" s="54"/>
      <c r="FE91" s="54"/>
      <c r="FF91" s="54"/>
      <c r="FG91" s="54"/>
      <c r="FH91" s="54"/>
      <c r="FI91" s="54"/>
      <c r="FJ91" s="54"/>
      <c r="FK91" s="54"/>
      <c r="FL91" s="54"/>
      <c r="FM91" s="54"/>
      <c r="FN91" s="54"/>
      <c r="FO91" s="54"/>
      <c r="FP91" s="54"/>
      <c r="FQ91" s="54"/>
    </row>
    <row r="92" spans="1:173" ht="110.25" customHeight="1" x14ac:dyDescent="0.25">
      <c r="A92" s="46" t="s">
        <v>667</v>
      </c>
      <c r="B92" s="46" t="s">
        <v>668</v>
      </c>
      <c r="C92" s="46" t="s">
        <v>669</v>
      </c>
      <c r="D92" s="46">
        <v>2022</v>
      </c>
      <c r="E92" s="47" t="s">
        <v>670</v>
      </c>
      <c r="F92" s="46">
        <v>1007671</v>
      </c>
      <c r="G92" s="46">
        <v>1008847</v>
      </c>
      <c r="H92" s="46" t="s">
        <v>671</v>
      </c>
      <c r="I92" s="46" t="s">
        <v>667</v>
      </c>
      <c r="J92" s="65">
        <v>2.0185185185185184E-2</v>
      </c>
      <c r="K92" s="46" t="s">
        <v>79</v>
      </c>
      <c r="L92" s="46" t="s">
        <v>672</v>
      </c>
      <c r="M92" s="46" t="s">
        <v>673</v>
      </c>
      <c r="N92" s="46" t="s">
        <v>643</v>
      </c>
      <c r="O92" s="46" t="s">
        <v>63</v>
      </c>
      <c r="P92" s="46" t="s">
        <v>64</v>
      </c>
      <c r="Q92" s="46">
        <v>2</v>
      </c>
      <c r="R92" s="46" t="s">
        <v>179</v>
      </c>
      <c r="S92" s="46" t="s">
        <v>84</v>
      </c>
      <c r="T92" s="46" t="s">
        <v>85</v>
      </c>
      <c r="U92" s="46" t="s">
        <v>68</v>
      </c>
      <c r="V92" s="46" t="s">
        <v>86</v>
      </c>
      <c r="W92" s="46" t="s">
        <v>70</v>
      </c>
      <c r="X92" s="48" t="s">
        <v>674</v>
      </c>
      <c r="Y92" s="48" t="s">
        <v>72</v>
      </c>
      <c r="Z92" s="48" t="s">
        <v>675</v>
      </c>
      <c r="AA92" s="29"/>
      <c r="AB92" s="30"/>
      <c r="AC92" s="38"/>
      <c r="AD92" s="29"/>
      <c r="AE92" s="39">
        <v>1</v>
      </c>
      <c r="AF92" s="40"/>
      <c r="AG92" s="32"/>
      <c r="AH92" s="33"/>
      <c r="AI92" s="32">
        <v>1</v>
      </c>
      <c r="AJ92" s="33"/>
      <c r="AK92" s="32"/>
      <c r="AL92" s="33"/>
      <c r="AM92" s="32"/>
      <c r="AN92" s="33"/>
      <c r="AO92" s="34"/>
      <c r="AP92" s="35"/>
      <c r="AQ92" s="34"/>
      <c r="AR92" s="35"/>
      <c r="AS92" s="34"/>
      <c r="AT92" s="35"/>
      <c r="AU92" s="36"/>
      <c r="AV92" s="37"/>
      <c r="AW92" s="36"/>
      <c r="AX92" s="52">
        <f t="shared" si="3"/>
        <v>0</v>
      </c>
      <c r="AY92" s="52"/>
      <c r="AZ92" s="52"/>
      <c r="ER92" s="54"/>
      <c r="ES92" s="54"/>
      <c r="ET92" s="54"/>
      <c r="EU92" s="54"/>
      <c r="EV92" s="54"/>
      <c r="EW92" s="54"/>
      <c r="EX92" s="54"/>
      <c r="EY92" s="54"/>
      <c r="EZ92" s="54"/>
      <c r="FA92" s="54"/>
      <c r="FB92" s="54"/>
      <c r="FC92" s="54"/>
      <c r="FD92" s="54"/>
      <c r="FE92" s="54"/>
      <c r="FF92" s="54"/>
      <c r="FG92" s="54"/>
      <c r="FH92" s="54"/>
      <c r="FI92" s="54"/>
      <c r="FJ92" s="54"/>
      <c r="FK92" s="54"/>
      <c r="FL92" s="54"/>
      <c r="FM92" s="54"/>
      <c r="FN92" s="54"/>
      <c r="FO92" s="54"/>
      <c r="FP92" s="54"/>
      <c r="FQ92" s="54"/>
    </row>
    <row r="93" spans="1:173" ht="110.25" customHeight="1" x14ac:dyDescent="0.25">
      <c r="A93" s="49" t="s">
        <v>667</v>
      </c>
      <c r="B93" s="49" t="s">
        <v>676</v>
      </c>
      <c r="C93" s="49" t="s">
        <v>669</v>
      </c>
      <c r="D93" s="49">
        <v>2022</v>
      </c>
      <c r="E93" s="49" t="s">
        <v>677</v>
      </c>
      <c r="F93" s="49">
        <v>1009392</v>
      </c>
      <c r="G93" s="49">
        <v>1010267</v>
      </c>
      <c r="H93" s="49" t="s">
        <v>671</v>
      </c>
      <c r="I93" s="49" t="s">
        <v>667</v>
      </c>
      <c r="J93" s="64">
        <v>2.0185185185185184E-2</v>
      </c>
      <c r="K93" s="49" t="s">
        <v>79</v>
      </c>
      <c r="L93" s="49" t="s">
        <v>672</v>
      </c>
      <c r="M93" s="49" t="s">
        <v>673</v>
      </c>
      <c r="N93" s="49" t="s">
        <v>643</v>
      </c>
      <c r="O93" s="49" t="s">
        <v>63</v>
      </c>
      <c r="P93" s="49" t="s">
        <v>64</v>
      </c>
      <c r="Q93" s="49">
        <v>2</v>
      </c>
      <c r="R93" s="49" t="s">
        <v>179</v>
      </c>
      <c r="S93" s="49" t="s">
        <v>84</v>
      </c>
      <c r="T93" s="49" t="s">
        <v>85</v>
      </c>
      <c r="U93" s="49" t="s">
        <v>68</v>
      </c>
      <c r="V93" s="49" t="s">
        <v>86</v>
      </c>
      <c r="W93" s="49" t="s">
        <v>70</v>
      </c>
      <c r="X93" s="51" t="s">
        <v>678</v>
      </c>
      <c r="Y93" s="51" t="s">
        <v>72</v>
      </c>
      <c r="Z93" s="51" t="s">
        <v>679</v>
      </c>
      <c r="AA93" s="29"/>
      <c r="AB93" s="30"/>
      <c r="AC93" s="38"/>
      <c r="AD93" s="29"/>
      <c r="AE93" s="39">
        <v>1</v>
      </c>
      <c r="AF93" s="40"/>
      <c r="AG93" s="32"/>
      <c r="AH93" s="33"/>
      <c r="AI93" s="32">
        <v>1</v>
      </c>
      <c r="AJ93" s="33"/>
      <c r="AK93" s="32"/>
      <c r="AL93" s="33"/>
      <c r="AM93" s="32"/>
      <c r="AN93" s="33"/>
      <c r="AO93" s="34"/>
      <c r="AP93" s="35"/>
      <c r="AQ93" s="34"/>
      <c r="AR93" s="35"/>
      <c r="AS93" s="34"/>
      <c r="AT93" s="35"/>
      <c r="AU93" s="36"/>
      <c r="AV93" s="37"/>
      <c r="AW93" s="36"/>
      <c r="AX93" s="52">
        <f t="shared" si="3"/>
        <v>0</v>
      </c>
      <c r="AY93" s="52"/>
      <c r="AZ93" s="52"/>
      <c r="ER93" s="54"/>
      <c r="ES93" s="54"/>
      <c r="ET93" s="54"/>
      <c r="EU93" s="54"/>
      <c r="EV93" s="54"/>
      <c r="EW93" s="54"/>
      <c r="EX93" s="54"/>
      <c r="EY93" s="54"/>
      <c r="EZ93" s="54"/>
      <c r="FA93" s="54"/>
      <c r="FB93" s="54"/>
      <c r="FC93" s="54"/>
      <c r="FD93" s="54"/>
      <c r="FE93" s="54"/>
      <c r="FF93" s="54"/>
      <c r="FG93" s="54"/>
      <c r="FH93" s="54"/>
      <c r="FI93" s="54"/>
      <c r="FJ93" s="54"/>
      <c r="FK93" s="54"/>
      <c r="FL93" s="54"/>
      <c r="FM93" s="54"/>
      <c r="FN93" s="54"/>
      <c r="FO93" s="54"/>
      <c r="FP93" s="54"/>
      <c r="FQ93" s="54"/>
    </row>
    <row r="94" spans="1:173" ht="110.25" customHeight="1" x14ac:dyDescent="0.25">
      <c r="A94" s="46" t="s">
        <v>680</v>
      </c>
      <c r="B94" s="46" t="s">
        <v>681</v>
      </c>
      <c r="C94" s="46" t="s">
        <v>682</v>
      </c>
      <c r="D94" s="46">
        <v>2022</v>
      </c>
      <c r="E94" s="47" t="s">
        <v>683</v>
      </c>
      <c r="F94" s="46">
        <v>293021</v>
      </c>
      <c r="G94" s="46">
        <v>294050</v>
      </c>
      <c r="H94" s="46" t="s">
        <v>684</v>
      </c>
      <c r="I94" s="46" t="s">
        <v>680</v>
      </c>
      <c r="J94" s="65">
        <v>8.4895833333333337E-2</v>
      </c>
      <c r="K94" s="46" t="s">
        <v>59</v>
      </c>
      <c r="L94" s="46" t="s">
        <v>685</v>
      </c>
      <c r="M94" s="46" t="s">
        <v>686</v>
      </c>
      <c r="N94" s="46" t="s">
        <v>186</v>
      </c>
      <c r="O94" s="46" t="s">
        <v>63</v>
      </c>
      <c r="P94" s="46" t="s">
        <v>687</v>
      </c>
      <c r="Q94" s="46">
        <v>3</v>
      </c>
      <c r="R94" s="46" t="s">
        <v>83</v>
      </c>
      <c r="S94" s="46" t="s">
        <v>66</v>
      </c>
      <c r="T94" s="46" t="s">
        <v>67</v>
      </c>
      <c r="U94" s="46" t="s">
        <v>68</v>
      </c>
      <c r="V94" s="46" t="s">
        <v>69</v>
      </c>
      <c r="W94" s="46" t="s">
        <v>87</v>
      </c>
      <c r="X94" s="48" t="s">
        <v>688</v>
      </c>
      <c r="Y94" s="48" t="s">
        <v>72</v>
      </c>
      <c r="Z94" s="48" t="s">
        <v>689</v>
      </c>
      <c r="AA94" s="29"/>
      <c r="AB94" s="30"/>
      <c r="AC94" s="38"/>
      <c r="AD94" s="29"/>
      <c r="AE94" s="39">
        <v>1</v>
      </c>
      <c r="AF94" s="40"/>
      <c r="AG94" s="32"/>
      <c r="AH94" s="33"/>
      <c r="AI94" s="32"/>
      <c r="AJ94" s="33"/>
      <c r="AK94" s="32"/>
      <c r="AL94" s="33"/>
      <c r="AM94" s="32"/>
      <c r="AN94" s="33">
        <v>1</v>
      </c>
      <c r="AO94" s="34"/>
      <c r="AP94" s="35"/>
      <c r="AQ94" s="34"/>
      <c r="AR94" s="35"/>
      <c r="AS94" s="34"/>
      <c r="AT94" s="35"/>
      <c r="AU94" s="36"/>
      <c r="AV94" s="37"/>
      <c r="AW94" s="36"/>
      <c r="AX94" s="52">
        <f t="shared" si="3"/>
        <v>0</v>
      </c>
      <c r="AY94" s="52"/>
      <c r="AZ94" s="52"/>
      <c r="ER94" s="54"/>
      <c r="ES94" s="54"/>
      <c r="ET94" s="54"/>
      <c r="EU94" s="54"/>
      <c r="EV94" s="54"/>
      <c r="EW94" s="54"/>
      <c r="EX94" s="54"/>
      <c r="EY94" s="54"/>
      <c r="EZ94" s="54"/>
      <c r="FA94" s="54"/>
      <c r="FB94" s="54"/>
      <c r="FC94" s="54"/>
      <c r="FD94" s="54"/>
      <c r="FE94" s="54"/>
      <c r="FF94" s="54"/>
      <c r="FG94" s="54"/>
      <c r="FH94" s="54"/>
      <c r="FI94" s="54"/>
      <c r="FJ94" s="54"/>
      <c r="FK94" s="54"/>
      <c r="FL94" s="54"/>
      <c r="FM94" s="54"/>
      <c r="FN94" s="54"/>
      <c r="FO94" s="54"/>
      <c r="FP94" s="54"/>
      <c r="FQ94" s="54"/>
    </row>
    <row r="95" spans="1:173" s="15" customFormat="1" ht="110.25" customHeight="1" x14ac:dyDescent="0.25">
      <c r="A95" s="49" t="s">
        <v>690</v>
      </c>
      <c r="B95" s="49" t="s">
        <v>691</v>
      </c>
      <c r="C95" s="49" t="s">
        <v>692</v>
      </c>
      <c r="D95" s="49">
        <v>2019</v>
      </c>
      <c r="E95" s="50" t="s">
        <v>693</v>
      </c>
      <c r="F95" s="49">
        <v>1660722</v>
      </c>
      <c r="G95" s="49">
        <v>1665128</v>
      </c>
      <c r="H95" s="49" t="s">
        <v>694</v>
      </c>
      <c r="I95" s="49" t="s">
        <v>690</v>
      </c>
      <c r="J95" s="64">
        <v>2.3275462962962963E-2</v>
      </c>
      <c r="K95" s="49" t="s">
        <v>79</v>
      </c>
      <c r="L95" s="49" t="s">
        <v>695</v>
      </c>
      <c r="M95" s="49" t="s">
        <v>696</v>
      </c>
      <c r="N95" s="49" t="s">
        <v>248</v>
      </c>
      <c r="O95" s="49" t="s">
        <v>98</v>
      </c>
      <c r="P95" s="49" t="s">
        <v>120</v>
      </c>
      <c r="Q95" s="49">
        <v>3</v>
      </c>
      <c r="R95" s="49" t="s">
        <v>160</v>
      </c>
      <c r="S95" s="49" t="s">
        <v>84</v>
      </c>
      <c r="T95" s="49" t="s">
        <v>85</v>
      </c>
      <c r="U95" s="49" t="s">
        <v>121</v>
      </c>
      <c r="V95" s="49" t="s">
        <v>86</v>
      </c>
      <c r="W95" s="49" t="s">
        <v>70</v>
      </c>
      <c r="X95" s="51" t="s">
        <v>697</v>
      </c>
      <c r="Y95" s="51" t="s">
        <v>72</v>
      </c>
      <c r="Z95" s="51" t="s">
        <v>698</v>
      </c>
      <c r="AA95" s="29">
        <v>1</v>
      </c>
      <c r="AB95" s="41"/>
      <c r="AC95" s="41"/>
      <c r="AD95" s="41"/>
      <c r="AE95" s="39"/>
      <c r="AF95" s="40"/>
      <c r="AG95" s="32"/>
      <c r="AH95" s="33"/>
      <c r="AI95" s="32"/>
      <c r="AJ95" s="33"/>
      <c r="AK95" s="32"/>
      <c r="AL95" s="33"/>
      <c r="AM95" s="32"/>
      <c r="AN95" s="33"/>
      <c r="AO95" s="34"/>
      <c r="AP95" s="35"/>
      <c r="AQ95" s="34"/>
      <c r="AR95" s="35"/>
      <c r="AS95" s="34"/>
      <c r="AT95" s="35"/>
      <c r="AU95" s="36"/>
      <c r="AV95" s="37"/>
      <c r="AW95" s="36"/>
      <c r="AX95" s="52">
        <f t="shared" si="3"/>
        <v>0</v>
      </c>
      <c r="AY95" s="52"/>
      <c r="AZ95" s="52"/>
      <c r="BA95" s="53"/>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c r="CD95" s="53"/>
      <c r="CE95" s="53"/>
      <c r="CF95" s="53"/>
      <c r="CG95" s="53"/>
      <c r="CH95" s="53"/>
      <c r="CI95" s="53"/>
      <c r="CJ95" s="53"/>
      <c r="CK95" s="53"/>
      <c r="CL95" s="53"/>
      <c r="CM95" s="53"/>
      <c r="CN95" s="53"/>
      <c r="CO95" s="53"/>
      <c r="CP95" s="53"/>
      <c r="CQ95" s="53"/>
      <c r="CR95" s="53"/>
      <c r="CS95" s="53"/>
      <c r="CT95" s="53"/>
      <c r="CU95" s="53"/>
      <c r="CV95" s="53"/>
      <c r="CW95" s="53"/>
      <c r="CX95" s="53"/>
      <c r="CY95" s="53"/>
      <c r="CZ95" s="53"/>
      <c r="DA95" s="53"/>
      <c r="DB95" s="53"/>
      <c r="DC95" s="53"/>
      <c r="DD95" s="53"/>
      <c r="DE95" s="53"/>
      <c r="DF95" s="53"/>
      <c r="DG95" s="53"/>
      <c r="DH95" s="53"/>
      <c r="DI95" s="53"/>
      <c r="DJ95" s="53"/>
      <c r="DK95" s="53"/>
      <c r="DL95" s="53"/>
      <c r="DM95" s="53"/>
      <c r="DN95" s="53"/>
      <c r="DO95" s="53"/>
      <c r="DP95" s="53"/>
      <c r="DQ95" s="53"/>
      <c r="DR95" s="53"/>
      <c r="DS95" s="53"/>
      <c r="DT95" s="53"/>
      <c r="DU95" s="53"/>
      <c r="DV95" s="53"/>
      <c r="DW95" s="53"/>
      <c r="DX95" s="53"/>
      <c r="DY95" s="53"/>
      <c r="DZ95" s="53"/>
      <c r="EA95" s="53"/>
      <c r="EB95" s="53"/>
      <c r="EC95" s="53"/>
      <c r="ED95" s="53"/>
      <c r="EE95" s="53"/>
      <c r="EF95" s="53"/>
      <c r="EG95" s="53"/>
      <c r="EH95" s="53"/>
      <c r="EI95" s="53"/>
      <c r="EJ95" s="53"/>
      <c r="EK95" s="53"/>
      <c r="EL95" s="53"/>
      <c r="EM95" s="53"/>
      <c r="EN95" s="53"/>
      <c r="EO95" s="53"/>
      <c r="EP95" s="53"/>
      <c r="EQ95" s="53"/>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row>
    <row r="96" spans="1:173" ht="110.25" customHeight="1" x14ac:dyDescent="0.25">
      <c r="A96" s="46" t="s">
        <v>699</v>
      </c>
      <c r="B96" s="46" t="s">
        <v>700</v>
      </c>
      <c r="C96" s="46" t="s">
        <v>701</v>
      </c>
      <c r="D96" s="46" t="s">
        <v>114</v>
      </c>
      <c r="E96" s="47" t="s">
        <v>702</v>
      </c>
      <c r="F96" s="46">
        <v>1130943</v>
      </c>
      <c r="G96" s="46">
        <v>1132695</v>
      </c>
      <c r="H96" s="46" t="s">
        <v>703</v>
      </c>
      <c r="I96" s="46" t="s">
        <v>699</v>
      </c>
      <c r="J96" s="65">
        <v>1.8310185185185186E-2</v>
      </c>
      <c r="K96" s="46" t="s">
        <v>79</v>
      </c>
      <c r="L96" s="46" t="s">
        <v>704</v>
      </c>
      <c r="M96" s="46" t="s">
        <v>705</v>
      </c>
      <c r="N96" s="46" t="s">
        <v>97</v>
      </c>
      <c r="O96" s="46" t="s">
        <v>63</v>
      </c>
      <c r="P96" s="46" t="s">
        <v>64</v>
      </c>
      <c r="Q96" s="46">
        <v>2</v>
      </c>
      <c r="R96" s="46" t="s">
        <v>99</v>
      </c>
      <c r="S96" s="46" t="s">
        <v>84</v>
      </c>
      <c r="T96" s="46" t="s">
        <v>85</v>
      </c>
      <c r="U96" s="46" t="s">
        <v>68</v>
      </c>
      <c r="V96" s="46" t="s">
        <v>122</v>
      </c>
      <c r="W96" s="46" t="s">
        <v>100</v>
      </c>
      <c r="X96" s="48" t="s">
        <v>706</v>
      </c>
      <c r="Y96" s="48" t="s">
        <v>72</v>
      </c>
      <c r="Z96" s="48" t="s">
        <v>707</v>
      </c>
      <c r="AA96" s="29"/>
      <c r="AB96" s="30"/>
      <c r="AC96" s="38"/>
      <c r="AD96" s="29"/>
      <c r="AE96" s="39">
        <v>1</v>
      </c>
      <c r="AF96" s="40"/>
      <c r="AG96" s="32"/>
      <c r="AH96" s="33"/>
      <c r="AI96" s="32"/>
      <c r="AJ96" s="33"/>
      <c r="AK96" s="32"/>
      <c r="AL96" s="33"/>
      <c r="AM96" s="32"/>
      <c r="AN96" s="33"/>
      <c r="AO96" s="34">
        <v>1</v>
      </c>
      <c r="AP96" s="35"/>
      <c r="AQ96" s="34"/>
      <c r="AR96" s="35"/>
      <c r="AS96" s="34"/>
      <c r="AT96" s="35"/>
      <c r="AU96" s="36"/>
      <c r="AV96" s="37"/>
      <c r="AW96" s="36"/>
      <c r="AX96" s="52">
        <f t="shared" si="3"/>
        <v>0</v>
      </c>
      <c r="AY96" s="52"/>
      <c r="AZ96" s="52"/>
      <c r="ER96" s="54"/>
      <c r="ES96" s="54"/>
      <c r="ET96" s="54"/>
      <c r="EU96" s="54"/>
      <c r="EV96" s="54"/>
      <c r="EW96" s="54"/>
      <c r="EX96" s="54"/>
      <c r="EY96" s="54"/>
      <c r="EZ96" s="54"/>
      <c r="FA96" s="54"/>
      <c r="FB96" s="54"/>
      <c r="FC96" s="54"/>
      <c r="FD96" s="54"/>
      <c r="FE96" s="54"/>
      <c r="FF96" s="54"/>
      <c r="FG96" s="54"/>
      <c r="FH96" s="54"/>
      <c r="FI96" s="54"/>
      <c r="FJ96" s="54"/>
      <c r="FK96" s="54"/>
      <c r="FL96" s="54"/>
      <c r="FM96" s="54"/>
      <c r="FN96" s="54"/>
      <c r="FO96" s="54"/>
      <c r="FP96" s="54"/>
      <c r="FQ96" s="54"/>
    </row>
    <row r="97" spans="1:173" s="15" customFormat="1" ht="110.25" customHeight="1" x14ac:dyDescent="0.25">
      <c r="A97" s="49" t="s">
        <v>699</v>
      </c>
      <c r="B97" s="49" t="s">
        <v>708</v>
      </c>
      <c r="C97" s="49" t="s">
        <v>701</v>
      </c>
      <c r="D97" s="49" t="s">
        <v>114</v>
      </c>
      <c r="E97" s="50" t="s">
        <v>709</v>
      </c>
      <c r="F97" s="49">
        <v>1479221</v>
      </c>
      <c r="G97" s="49">
        <v>1483370</v>
      </c>
      <c r="H97" s="49" t="s">
        <v>710</v>
      </c>
      <c r="I97" s="49" t="s">
        <v>699</v>
      </c>
      <c r="J97" s="64">
        <v>1.8310185185185186E-2</v>
      </c>
      <c r="K97" s="49" t="s">
        <v>79</v>
      </c>
      <c r="L97" s="49" t="s">
        <v>704</v>
      </c>
      <c r="M97" s="49" t="s">
        <v>705</v>
      </c>
      <c r="N97" s="49" t="s">
        <v>711</v>
      </c>
      <c r="O97" s="49" t="s">
        <v>63</v>
      </c>
      <c r="P97" s="49" t="s">
        <v>64</v>
      </c>
      <c r="Q97" s="49">
        <v>2</v>
      </c>
      <c r="R97" s="49" t="s">
        <v>83</v>
      </c>
      <c r="S97" s="49" t="s">
        <v>84</v>
      </c>
      <c r="T97" s="49" t="s">
        <v>85</v>
      </c>
      <c r="U97" s="49" t="s">
        <v>68</v>
      </c>
      <c r="V97" s="49" t="s">
        <v>122</v>
      </c>
      <c r="W97" s="49" t="s">
        <v>123</v>
      </c>
      <c r="X97" s="51" t="s">
        <v>712</v>
      </c>
      <c r="Y97" s="51" t="s">
        <v>72</v>
      </c>
      <c r="Z97" s="51" t="s">
        <v>713</v>
      </c>
      <c r="AA97" s="29">
        <v>1</v>
      </c>
      <c r="AB97" s="41"/>
      <c r="AC97" s="41"/>
      <c r="AD97" s="41"/>
      <c r="AE97" s="39"/>
      <c r="AF97" s="40"/>
      <c r="AG97" s="32"/>
      <c r="AH97" s="33"/>
      <c r="AI97" s="32"/>
      <c r="AJ97" s="33"/>
      <c r="AK97" s="32"/>
      <c r="AL97" s="33"/>
      <c r="AM97" s="32"/>
      <c r="AN97" s="33"/>
      <c r="AO97" s="34"/>
      <c r="AP97" s="35"/>
      <c r="AQ97" s="34"/>
      <c r="AR97" s="35"/>
      <c r="AS97" s="34"/>
      <c r="AT97" s="35"/>
      <c r="AU97" s="36"/>
      <c r="AV97" s="37"/>
      <c r="AW97" s="36"/>
      <c r="AX97" s="52">
        <f t="shared" si="3"/>
        <v>0</v>
      </c>
      <c r="AY97" s="52"/>
      <c r="AZ97" s="52"/>
      <c r="BA97" s="53"/>
      <c r="BB97" s="53"/>
      <c r="BC97" s="53"/>
      <c r="BD97" s="53"/>
      <c r="BE97" s="53"/>
      <c r="BF97" s="53"/>
      <c r="BG97" s="53"/>
      <c r="BH97" s="53"/>
      <c r="BI97" s="53"/>
      <c r="BJ97" s="53"/>
      <c r="BK97" s="53"/>
      <c r="BL97" s="53"/>
      <c r="BM97" s="53"/>
      <c r="BN97" s="53"/>
      <c r="BO97" s="53"/>
      <c r="BP97" s="53"/>
      <c r="BQ97" s="53"/>
      <c r="BR97" s="53"/>
      <c r="BS97" s="53"/>
      <c r="BT97" s="53"/>
      <c r="BU97" s="53"/>
      <c r="BV97" s="53"/>
      <c r="BW97" s="53"/>
      <c r="BX97" s="53"/>
      <c r="BY97" s="53"/>
      <c r="BZ97" s="53"/>
      <c r="CA97" s="53"/>
      <c r="CB97" s="53"/>
      <c r="CC97" s="53"/>
      <c r="CD97" s="53"/>
      <c r="CE97" s="53"/>
      <c r="CF97" s="53"/>
      <c r="CG97" s="53"/>
      <c r="CH97" s="53"/>
      <c r="CI97" s="53"/>
      <c r="CJ97" s="53"/>
      <c r="CK97" s="53"/>
      <c r="CL97" s="53"/>
      <c r="CM97" s="53"/>
      <c r="CN97" s="53"/>
      <c r="CO97" s="53"/>
      <c r="CP97" s="53"/>
      <c r="CQ97" s="53"/>
      <c r="CR97" s="53"/>
      <c r="CS97" s="53"/>
      <c r="CT97" s="53"/>
      <c r="CU97" s="53"/>
      <c r="CV97" s="53"/>
      <c r="CW97" s="53"/>
      <c r="CX97" s="53"/>
      <c r="CY97" s="53"/>
      <c r="CZ97" s="53"/>
      <c r="DA97" s="53"/>
      <c r="DB97" s="53"/>
      <c r="DC97" s="53"/>
      <c r="DD97" s="53"/>
      <c r="DE97" s="53"/>
      <c r="DF97" s="53"/>
      <c r="DG97" s="53"/>
      <c r="DH97" s="53"/>
      <c r="DI97" s="53"/>
      <c r="DJ97" s="53"/>
      <c r="DK97" s="53"/>
      <c r="DL97" s="53"/>
      <c r="DM97" s="53"/>
      <c r="DN97" s="53"/>
      <c r="DO97" s="53"/>
      <c r="DP97" s="53"/>
      <c r="DQ97" s="53"/>
      <c r="DR97" s="53"/>
      <c r="DS97" s="53"/>
      <c r="DT97" s="53"/>
      <c r="DU97" s="53"/>
      <c r="DV97" s="53"/>
      <c r="DW97" s="53"/>
      <c r="DX97" s="53"/>
      <c r="DY97" s="53"/>
      <c r="DZ97" s="53"/>
      <c r="EA97" s="53"/>
      <c r="EB97" s="53"/>
      <c r="EC97" s="53"/>
      <c r="ED97" s="53"/>
      <c r="EE97" s="53"/>
      <c r="EF97" s="53"/>
      <c r="EG97" s="53"/>
      <c r="EH97" s="53"/>
      <c r="EI97" s="53"/>
      <c r="EJ97" s="53"/>
      <c r="EK97" s="53"/>
      <c r="EL97" s="53"/>
      <c r="EM97" s="53"/>
      <c r="EN97" s="53"/>
      <c r="EO97" s="53"/>
      <c r="EP97" s="53"/>
      <c r="EQ97" s="53"/>
      <c r="ER97" s="54"/>
      <c r="ES97" s="54"/>
      <c r="ET97" s="54"/>
      <c r="EU97" s="54"/>
      <c r="EV97" s="54"/>
      <c r="EW97" s="54"/>
      <c r="EX97" s="54"/>
      <c r="EY97" s="54"/>
      <c r="EZ97" s="54"/>
      <c r="FA97" s="54"/>
      <c r="FB97" s="54"/>
      <c r="FC97" s="54"/>
      <c r="FD97" s="54"/>
      <c r="FE97" s="54"/>
      <c r="FF97" s="54"/>
      <c r="FG97" s="54"/>
      <c r="FH97" s="54"/>
      <c r="FI97" s="54"/>
      <c r="FJ97" s="54"/>
      <c r="FK97" s="54"/>
      <c r="FL97" s="54"/>
      <c r="FM97" s="54"/>
      <c r="FN97" s="54"/>
      <c r="FO97" s="54"/>
      <c r="FP97" s="54"/>
      <c r="FQ97" s="54"/>
    </row>
    <row r="98" spans="1:173" ht="110.25" customHeight="1" x14ac:dyDescent="0.25">
      <c r="A98" s="46" t="s">
        <v>714</v>
      </c>
      <c r="B98" s="46" t="s">
        <v>715</v>
      </c>
      <c r="C98" s="46" t="s">
        <v>716</v>
      </c>
      <c r="D98" s="46">
        <v>2022</v>
      </c>
      <c r="E98" s="47" t="s">
        <v>717</v>
      </c>
      <c r="F98" s="46">
        <v>36050</v>
      </c>
      <c r="G98" s="46">
        <v>38277</v>
      </c>
      <c r="H98" s="46" t="s">
        <v>718</v>
      </c>
      <c r="I98" s="46" t="s">
        <v>714</v>
      </c>
      <c r="J98" s="65">
        <v>2.2499999999999999E-2</v>
      </c>
      <c r="K98" s="46" t="s">
        <v>79</v>
      </c>
      <c r="L98" s="46" t="s">
        <v>719</v>
      </c>
      <c r="M98" s="46" t="s">
        <v>720</v>
      </c>
      <c r="N98" s="46" t="s">
        <v>82</v>
      </c>
      <c r="O98" s="46" t="s">
        <v>98</v>
      </c>
      <c r="P98" s="46" t="s">
        <v>64</v>
      </c>
      <c r="Q98" s="46">
        <v>2</v>
      </c>
      <c r="R98" s="46" t="s">
        <v>160</v>
      </c>
      <c r="S98" s="46" t="s">
        <v>84</v>
      </c>
      <c r="T98" s="46" t="s">
        <v>85</v>
      </c>
      <c r="U98" s="46" t="s">
        <v>68</v>
      </c>
      <c r="V98" s="46" t="s">
        <v>86</v>
      </c>
      <c r="W98" s="46" t="s">
        <v>87</v>
      </c>
      <c r="X98" s="48" t="s">
        <v>721</v>
      </c>
      <c r="Y98" s="48" t="s">
        <v>72</v>
      </c>
      <c r="Z98" s="48" t="s">
        <v>722</v>
      </c>
      <c r="AA98" s="29"/>
      <c r="AB98" s="30"/>
      <c r="AC98" s="38"/>
      <c r="AD98" s="29"/>
      <c r="AE98" s="39">
        <v>1</v>
      </c>
      <c r="AF98" s="40"/>
      <c r="AG98" s="32"/>
      <c r="AH98" s="33"/>
      <c r="AI98" s="32"/>
      <c r="AJ98" s="33"/>
      <c r="AK98" s="32"/>
      <c r="AL98" s="33"/>
      <c r="AM98" s="32"/>
      <c r="AN98" s="33">
        <v>1</v>
      </c>
      <c r="AO98" s="34"/>
      <c r="AP98" s="35"/>
      <c r="AQ98" s="34"/>
      <c r="AR98" s="35"/>
      <c r="AS98" s="34"/>
      <c r="AT98" s="35"/>
      <c r="AU98" s="36"/>
      <c r="AV98" s="37"/>
      <c r="AW98" s="36"/>
      <c r="AX98" s="52">
        <f t="shared" si="3"/>
        <v>0</v>
      </c>
      <c r="AY98" s="52"/>
      <c r="AZ98" s="52" t="s">
        <v>2277</v>
      </c>
    </row>
    <row r="99" spans="1:173" ht="110.25" customHeight="1" x14ac:dyDescent="0.25">
      <c r="A99" s="49" t="s">
        <v>714</v>
      </c>
      <c r="B99" s="49" t="s">
        <v>723</v>
      </c>
      <c r="C99" s="49" t="s">
        <v>716</v>
      </c>
      <c r="D99" s="49">
        <v>2022</v>
      </c>
      <c r="E99" s="50" t="s">
        <v>724</v>
      </c>
      <c r="F99" s="49">
        <v>1179952</v>
      </c>
      <c r="G99" s="49">
        <v>1183910</v>
      </c>
      <c r="H99" s="49" t="s">
        <v>718</v>
      </c>
      <c r="I99" s="49" t="s">
        <v>714</v>
      </c>
      <c r="J99" s="64">
        <v>2.2499999999999999E-2</v>
      </c>
      <c r="K99" s="49" t="s">
        <v>79</v>
      </c>
      <c r="L99" s="49" t="s">
        <v>719</v>
      </c>
      <c r="M99" s="49" t="s">
        <v>720</v>
      </c>
      <c r="N99" s="49" t="s">
        <v>82</v>
      </c>
      <c r="O99" s="49" t="s">
        <v>98</v>
      </c>
      <c r="P99" s="49" t="s">
        <v>64</v>
      </c>
      <c r="Q99" s="49">
        <v>2</v>
      </c>
      <c r="R99" s="49" t="s">
        <v>160</v>
      </c>
      <c r="S99" s="49" t="s">
        <v>84</v>
      </c>
      <c r="T99" s="49" t="s">
        <v>85</v>
      </c>
      <c r="U99" s="49" t="s">
        <v>68</v>
      </c>
      <c r="V99" s="49" t="s">
        <v>86</v>
      </c>
      <c r="W99" s="49" t="s">
        <v>87</v>
      </c>
      <c r="X99" s="51" t="s">
        <v>725</v>
      </c>
      <c r="Y99" s="51" t="s">
        <v>72</v>
      </c>
      <c r="Z99" s="51" t="s">
        <v>726</v>
      </c>
      <c r="AA99" s="29"/>
      <c r="AB99" s="30"/>
      <c r="AC99" s="38"/>
      <c r="AD99" s="29"/>
      <c r="AE99" s="39">
        <v>1</v>
      </c>
      <c r="AF99" s="40"/>
      <c r="AG99" s="32">
        <v>1</v>
      </c>
      <c r="AH99" s="33"/>
      <c r="AI99" s="32"/>
      <c r="AJ99" s="33"/>
      <c r="AK99" s="32"/>
      <c r="AL99" s="33"/>
      <c r="AM99" s="32"/>
      <c r="AN99" s="33">
        <v>1</v>
      </c>
      <c r="AO99" s="34"/>
      <c r="AP99" s="35"/>
      <c r="AQ99" s="34"/>
      <c r="AR99" s="35"/>
      <c r="AS99" s="34"/>
      <c r="AT99" s="35"/>
      <c r="AU99" s="36"/>
      <c r="AV99" s="37"/>
      <c r="AW99" s="36"/>
      <c r="AX99" s="52">
        <f t="shared" si="3"/>
        <v>1</v>
      </c>
      <c r="AY99" s="52"/>
      <c r="AZ99" s="52"/>
    </row>
    <row r="100" spans="1:173" ht="110.25" customHeight="1" x14ac:dyDescent="0.25">
      <c r="A100" s="46" t="s">
        <v>714</v>
      </c>
      <c r="B100" s="46" t="s">
        <v>727</v>
      </c>
      <c r="C100" s="46" t="s">
        <v>716</v>
      </c>
      <c r="D100" s="46">
        <v>2022</v>
      </c>
      <c r="E100" s="47" t="s">
        <v>728</v>
      </c>
      <c r="F100" s="46">
        <v>1258540</v>
      </c>
      <c r="G100" s="46">
        <v>1259330</v>
      </c>
      <c r="H100" s="46" t="s">
        <v>718</v>
      </c>
      <c r="I100" s="46" t="s">
        <v>714</v>
      </c>
      <c r="J100" s="65">
        <v>2.2499999999999999E-2</v>
      </c>
      <c r="K100" s="46" t="s">
        <v>79</v>
      </c>
      <c r="L100" s="46" t="s">
        <v>719</v>
      </c>
      <c r="M100" s="46" t="s">
        <v>720</v>
      </c>
      <c r="N100" s="46" t="s">
        <v>82</v>
      </c>
      <c r="O100" s="46" t="s">
        <v>98</v>
      </c>
      <c r="P100" s="46" t="s">
        <v>64</v>
      </c>
      <c r="Q100" s="46">
        <v>2</v>
      </c>
      <c r="R100" s="46" t="s">
        <v>160</v>
      </c>
      <c r="S100" s="46" t="s">
        <v>84</v>
      </c>
      <c r="T100" s="46" t="s">
        <v>85</v>
      </c>
      <c r="U100" s="46" t="s">
        <v>68</v>
      </c>
      <c r="V100" s="46" t="s">
        <v>86</v>
      </c>
      <c r="W100" s="46" t="s">
        <v>87</v>
      </c>
      <c r="X100" s="48" t="s">
        <v>729</v>
      </c>
      <c r="Y100" s="48" t="s">
        <v>72</v>
      </c>
      <c r="Z100" s="48" t="s">
        <v>730</v>
      </c>
      <c r="AA100" s="29"/>
      <c r="AB100" s="30"/>
      <c r="AC100" s="38"/>
      <c r="AD100" s="29"/>
      <c r="AE100" s="39">
        <v>1</v>
      </c>
      <c r="AF100" s="40"/>
      <c r="AG100" s="32"/>
      <c r="AH100" s="33"/>
      <c r="AI100" s="32"/>
      <c r="AJ100" s="33"/>
      <c r="AK100" s="32"/>
      <c r="AL100" s="33"/>
      <c r="AM100" s="32"/>
      <c r="AN100" s="33"/>
      <c r="AO100" s="34"/>
      <c r="AP100" s="35"/>
      <c r="AQ100" s="34">
        <v>1</v>
      </c>
      <c r="AR100" s="35"/>
      <c r="AS100" s="34"/>
      <c r="AT100" s="35"/>
      <c r="AU100" s="36"/>
      <c r="AV100" s="37"/>
      <c r="AW100" s="36"/>
      <c r="AX100" s="52">
        <f t="shared" si="3"/>
        <v>0</v>
      </c>
      <c r="AY100" s="52"/>
      <c r="AZ100" s="52"/>
    </row>
    <row r="101" spans="1:173" ht="110.25" customHeight="1" x14ac:dyDescent="0.25">
      <c r="A101" s="49" t="s">
        <v>714</v>
      </c>
      <c r="B101" s="49" t="s">
        <v>731</v>
      </c>
      <c r="C101" s="49" t="s">
        <v>716</v>
      </c>
      <c r="D101" s="49">
        <v>2022</v>
      </c>
      <c r="E101" s="50" t="s">
        <v>732</v>
      </c>
      <c r="F101" s="49">
        <v>1924470</v>
      </c>
      <c r="G101" s="49">
        <v>1926070</v>
      </c>
      <c r="H101" s="49" t="s">
        <v>197</v>
      </c>
      <c r="I101" s="49" t="s">
        <v>714</v>
      </c>
      <c r="J101" s="64">
        <v>2.2499999999999999E-2</v>
      </c>
      <c r="K101" s="49" t="s">
        <v>79</v>
      </c>
      <c r="L101" s="49" t="s">
        <v>719</v>
      </c>
      <c r="M101" s="49" t="s">
        <v>720</v>
      </c>
      <c r="N101" s="49" t="s">
        <v>97</v>
      </c>
      <c r="O101" s="49" t="s">
        <v>63</v>
      </c>
      <c r="P101" s="49" t="s">
        <v>64</v>
      </c>
      <c r="Q101" s="49">
        <v>2</v>
      </c>
      <c r="R101" s="49" t="s">
        <v>99</v>
      </c>
      <c r="S101" s="49" t="s">
        <v>84</v>
      </c>
      <c r="T101" s="49" t="s">
        <v>85</v>
      </c>
      <c r="U101" s="49" t="s">
        <v>68</v>
      </c>
      <c r="V101" s="49" t="s">
        <v>86</v>
      </c>
      <c r="W101" s="49" t="s">
        <v>100</v>
      </c>
      <c r="X101" s="51" t="s">
        <v>733</v>
      </c>
      <c r="Y101" s="51" t="s">
        <v>72</v>
      </c>
      <c r="Z101" s="51" t="s">
        <v>734</v>
      </c>
      <c r="AA101" s="29"/>
      <c r="AB101" s="30"/>
      <c r="AC101" s="38"/>
      <c r="AD101" s="29"/>
      <c r="AE101" s="39">
        <v>1</v>
      </c>
      <c r="AF101" s="40"/>
      <c r="AG101" s="32"/>
      <c r="AH101" s="33"/>
      <c r="AI101" s="32"/>
      <c r="AJ101" s="33"/>
      <c r="AK101" s="32"/>
      <c r="AL101" s="33"/>
      <c r="AM101" s="32"/>
      <c r="AN101" s="33">
        <v>1</v>
      </c>
      <c r="AO101" s="34"/>
      <c r="AP101" s="35"/>
      <c r="AQ101" s="34"/>
      <c r="AR101" s="35"/>
      <c r="AS101" s="34"/>
      <c r="AT101" s="35"/>
      <c r="AU101" s="36"/>
      <c r="AV101" s="37"/>
      <c r="AW101" s="36"/>
      <c r="AX101" s="52">
        <f t="shared" si="3"/>
        <v>0</v>
      </c>
      <c r="AY101" s="52"/>
      <c r="AZ101" s="52"/>
    </row>
    <row r="102" spans="1:173" ht="110.25" customHeight="1" x14ac:dyDescent="0.25">
      <c r="A102" s="46" t="s">
        <v>714</v>
      </c>
      <c r="B102" s="46" t="s">
        <v>735</v>
      </c>
      <c r="C102" s="46" t="s">
        <v>716</v>
      </c>
      <c r="D102" s="46">
        <v>2022</v>
      </c>
      <c r="E102" s="47" t="s">
        <v>736</v>
      </c>
      <c r="F102" s="46">
        <v>1930890</v>
      </c>
      <c r="G102" s="46">
        <v>1932203</v>
      </c>
      <c r="H102" s="46" t="s">
        <v>197</v>
      </c>
      <c r="I102" s="46" t="s">
        <v>714</v>
      </c>
      <c r="J102" s="65">
        <v>2.2499999999999999E-2</v>
      </c>
      <c r="K102" s="46" t="s">
        <v>79</v>
      </c>
      <c r="L102" s="46" t="s">
        <v>719</v>
      </c>
      <c r="M102" s="46" t="s">
        <v>720</v>
      </c>
      <c r="N102" s="46" t="s">
        <v>97</v>
      </c>
      <c r="O102" s="46" t="s">
        <v>63</v>
      </c>
      <c r="P102" s="46" t="s">
        <v>64</v>
      </c>
      <c r="Q102" s="46">
        <v>2</v>
      </c>
      <c r="R102" s="46" t="s">
        <v>99</v>
      </c>
      <c r="S102" s="46" t="s">
        <v>84</v>
      </c>
      <c r="T102" s="46" t="s">
        <v>85</v>
      </c>
      <c r="U102" s="46" t="s">
        <v>68</v>
      </c>
      <c r="V102" s="46" t="s">
        <v>86</v>
      </c>
      <c r="W102" s="46" t="s">
        <v>100</v>
      </c>
      <c r="X102" s="48" t="s">
        <v>737</v>
      </c>
      <c r="Y102" s="48" t="s">
        <v>72</v>
      </c>
      <c r="Z102" s="48" t="s">
        <v>738</v>
      </c>
      <c r="AA102" s="29"/>
      <c r="AB102" s="30"/>
      <c r="AC102" s="38"/>
      <c r="AD102" s="29"/>
      <c r="AE102" s="39">
        <v>1</v>
      </c>
      <c r="AF102" s="40"/>
      <c r="AG102" s="32"/>
      <c r="AH102" s="33"/>
      <c r="AI102" s="32"/>
      <c r="AJ102" s="33"/>
      <c r="AK102" s="32"/>
      <c r="AL102" s="33"/>
      <c r="AM102" s="32"/>
      <c r="AN102" s="33">
        <v>1</v>
      </c>
      <c r="AO102" s="34"/>
      <c r="AP102" s="35"/>
      <c r="AQ102" s="34"/>
      <c r="AR102" s="35"/>
      <c r="AS102" s="34"/>
      <c r="AT102" s="35"/>
      <c r="AU102" s="36"/>
      <c r="AV102" s="37"/>
      <c r="AW102" s="36"/>
      <c r="AX102" s="52">
        <f t="shared" si="3"/>
        <v>0</v>
      </c>
      <c r="AY102" s="52"/>
      <c r="AZ102" s="52"/>
    </row>
    <row r="103" spans="1:173" ht="110.25" customHeight="1" x14ac:dyDescent="0.25">
      <c r="A103" s="49" t="s">
        <v>739</v>
      </c>
      <c r="B103" s="49" t="s">
        <v>740</v>
      </c>
      <c r="C103" s="49" t="s">
        <v>741</v>
      </c>
      <c r="D103" s="49" t="s">
        <v>114</v>
      </c>
      <c r="E103" s="50" t="s">
        <v>742</v>
      </c>
      <c r="F103" s="49">
        <v>5489782</v>
      </c>
      <c r="G103" s="49">
        <v>5494078</v>
      </c>
      <c r="H103" s="49" t="s">
        <v>743</v>
      </c>
      <c r="I103" s="49" t="s">
        <v>739</v>
      </c>
      <c r="J103" s="64">
        <v>6.6944444444444445E-2</v>
      </c>
      <c r="K103" s="49" t="s">
        <v>79</v>
      </c>
      <c r="L103" s="49" t="s">
        <v>744</v>
      </c>
      <c r="M103" s="49" t="s">
        <v>745</v>
      </c>
      <c r="N103" s="49" t="s">
        <v>62</v>
      </c>
      <c r="O103" s="49" t="s">
        <v>98</v>
      </c>
      <c r="P103" s="49" t="s">
        <v>64</v>
      </c>
      <c r="Q103" s="49">
        <v>2</v>
      </c>
      <c r="R103" s="49" t="s">
        <v>83</v>
      </c>
      <c r="S103" s="49" t="s">
        <v>66</v>
      </c>
      <c r="T103" s="49" t="s">
        <v>85</v>
      </c>
      <c r="U103" s="49" t="s">
        <v>68</v>
      </c>
      <c r="V103" s="49" t="s">
        <v>274</v>
      </c>
      <c r="W103" s="49" t="s">
        <v>123</v>
      </c>
      <c r="X103" s="51" t="s">
        <v>746</v>
      </c>
      <c r="Y103" s="51" t="s">
        <v>72</v>
      </c>
      <c r="Z103" s="51" t="s">
        <v>747</v>
      </c>
      <c r="AA103" s="29"/>
      <c r="AB103" s="30"/>
      <c r="AC103" s="38"/>
      <c r="AD103" s="29"/>
      <c r="AE103" s="39">
        <v>1</v>
      </c>
      <c r="AF103" s="40"/>
      <c r="AG103" s="32"/>
      <c r="AH103" s="33">
        <v>1</v>
      </c>
      <c r="AI103" s="32"/>
      <c r="AJ103" s="33"/>
      <c r="AK103" s="32"/>
      <c r="AL103" s="33"/>
      <c r="AM103" s="32"/>
      <c r="AN103" s="33"/>
      <c r="AO103" s="34">
        <v>1</v>
      </c>
      <c r="AP103" s="35"/>
      <c r="AQ103" s="34"/>
      <c r="AR103" s="35"/>
      <c r="AS103" s="34"/>
      <c r="AT103" s="35"/>
      <c r="AU103" s="36"/>
      <c r="AV103" s="37"/>
      <c r="AW103" s="36"/>
      <c r="AX103" s="52">
        <f t="shared" si="3"/>
        <v>1</v>
      </c>
      <c r="AY103" s="52"/>
      <c r="AZ103" s="52"/>
    </row>
    <row r="104" spans="1:173" ht="110.25" customHeight="1" x14ac:dyDescent="0.25">
      <c r="A104" s="46" t="s">
        <v>739</v>
      </c>
      <c r="B104" s="46" t="s">
        <v>748</v>
      </c>
      <c r="C104" s="46" t="s">
        <v>741</v>
      </c>
      <c r="D104" s="46" t="s">
        <v>114</v>
      </c>
      <c r="E104" s="47" t="s">
        <v>749</v>
      </c>
      <c r="F104" s="46">
        <v>5709091</v>
      </c>
      <c r="G104" s="46">
        <v>5711582</v>
      </c>
      <c r="H104" s="46" t="s">
        <v>743</v>
      </c>
      <c r="I104" s="46" t="s">
        <v>739</v>
      </c>
      <c r="J104" s="65">
        <v>6.6944444444444445E-2</v>
      </c>
      <c r="K104" s="46" t="s">
        <v>79</v>
      </c>
      <c r="L104" s="46" t="s">
        <v>744</v>
      </c>
      <c r="M104" s="46" t="s">
        <v>745</v>
      </c>
      <c r="N104" s="46" t="s">
        <v>62</v>
      </c>
      <c r="O104" s="46" t="s">
        <v>98</v>
      </c>
      <c r="P104" s="46" t="s">
        <v>64</v>
      </c>
      <c r="Q104" s="46">
        <v>2</v>
      </c>
      <c r="R104" s="46" t="s">
        <v>83</v>
      </c>
      <c r="S104" s="46" t="s">
        <v>66</v>
      </c>
      <c r="T104" s="46" t="s">
        <v>85</v>
      </c>
      <c r="U104" s="46" t="s">
        <v>68</v>
      </c>
      <c r="V104" s="46" t="s">
        <v>274</v>
      </c>
      <c r="W104" s="46" t="s">
        <v>123</v>
      </c>
      <c r="X104" s="48" t="s">
        <v>750</v>
      </c>
      <c r="Y104" s="48" t="s">
        <v>72</v>
      </c>
      <c r="Z104" s="48" t="s">
        <v>751</v>
      </c>
      <c r="AA104" s="29"/>
      <c r="AB104" s="30"/>
      <c r="AC104" s="38"/>
      <c r="AD104" s="29"/>
      <c r="AE104" s="39">
        <v>1</v>
      </c>
      <c r="AF104" s="40"/>
      <c r="AG104" s="32"/>
      <c r="AH104" s="33"/>
      <c r="AI104" s="32"/>
      <c r="AJ104" s="33"/>
      <c r="AK104" s="32"/>
      <c r="AL104" s="33"/>
      <c r="AM104" s="32"/>
      <c r="AN104" s="33">
        <v>1</v>
      </c>
      <c r="AO104" s="34"/>
      <c r="AP104" s="35"/>
      <c r="AQ104" s="34"/>
      <c r="AR104" s="35"/>
      <c r="AS104" s="34"/>
      <c r="AT104" s="35"/>
      <c r="AU104" s="36"/>
      <c r="AV104" s="37"/>
      <c r="AW104" s="36"/>
      <c r="AX104" s="52">
        <f t="shared" si="3"/>
        <v>0</v>
      </c>
      <c r="AY104" s="52"/>
      <c r="AZ104" s="52"/>
    </row>
    <row r="105" spans="1:173" ht="110.25" customHeight="1" x14ac:dyDescent="0.25">
      <c r="A105" s="49" t="s">
        <v>752</v>
      </c>
      <c r="B105" s="49" t="s">
        <v>753</v>
      </c>
      <c r="C105" s="49" t="s">
        <v>754</v>
      </c>
      <c r="D105" s="49">
        <v>2020</v>
      </c>
      <c r="E105" s="50" t="s">
        <v>755</v>
      </c>
      <c r="F105" s="49">
        <v>2090749</v>
      </c>
      <c r="G105" s="49">
        <v>2094593</v>
      </c>
      <c r="H105" s="49" t="s">
        <v>756</v>
      </c>
      <c r="I105" s="49" t="s">
        <v>752</v>
      </c>
      <c r="J105" s="64">
        <v>2.5937499999999999E-2</v>
      </c>
      <c r="K105" s="49" t="s">
        <v>59</v>
      </c>
      <c r="L105" s="49" t="s">
        <v>757</v>
      </c>
      <c r="M105" s="49" t="s">
        <v>758</v>
      </c>
      <c r="N105" s="49" t="s">
        <v>186</v>
      </c>
      <c r="O105" s="49" t="s">
        <v>63</v>
      </c>
      <c r="P105" s="49" t="s">
        <v>759</v>
      </c>
      <c r="Q105" s="49">
        <v>2</v>
      </c>
      <c r="R105" s="49" t="s">
        <v>83</v>
      </c>
      <c r="S105" s="49" t="s">
        <v>66</v>
      </c>
      <c r="T105" s="49" t="s">
        <v>67</v>
      </c>
      <c r="U105" s="49" t="s">
        <v>545</v>
      </c>
      <c r="V105" s="49" t="s">
        <v>69</v>
      </c>
      <c r="W105" s="49" t="s">
        <v>87</v>
      </c>
      <c r="X105" s="51" t="s">
        <v>2294</v>
      </c>
      <c r="Y105" s="51" t="s">
        <v>72</v>
      </c>
      <c r="Z105" s="51" t="s">
        <v>760</v>
      </c>
      <c r="AA105" s="29"/>
      <c r="AB105" s="30"/>
      <c r="AC105" s="38"/>
      <c r="AD105" s="29"/>
      <c r="AE105" s="39">
        <v>1</v>
      </c>
      <c r="AF105" s="40">
        <v>1</v>
      </c>
      <c r="AG105" s="32"/>
      <c r="AH105" s="33"/>
      <c r="AI105" s="32"/>
      <c r="AJ105" s="33"/>
      <c r="AK105" s="32"/>
      <c r="AL105" s="33"/>
      <c r="AM105" s="32"/>
      <c r="AN105" s="33">
        <v>1</v>
      </c>
      <c r="AO105" s="34"/>
      <c r="AP105" s="35"/>
      <c r="AQ105" s="34"/>
      <c r="AR105" s="35"/>
      <c r="AS105" s="34"/>
      <c r="AT105" s="35"/>
      <c r="AU105" s="36"/>
      <c r="AV105" s="37"/>
      <c r="AW105" s="36"/>
      <c r="AX105" s="52">
        <f t="shared" si="3"/>
        <v>0</v>
      </c>
      <c r="AY105" s="52"/>
      <c r="AZ105" s="52"/>
    </row>
    <row r="106" spans="1:173" ht="110.25" customHeight="1" x14ac:dyDescent="0.25">
      <c r="A106" s="46" t="s">
        <v>761</v>
      </c>
      <c r="B106" s="46" t="s">
        <v>762</v>
      </c>
      <c r="C106" s="46" t="s">
        <v>763</v>
      </c>
      <c r="D106" s="46" t="s">
        <v>114</v>
      </c>
      <c r="E106" s="47" t="s">
        <v>764</v>
      </c>
      <c r="F106" s="46">
        <v>888445</v>
      </c>
      <c r="G106" s="46">
        <v>890725</v>
      </c>
      <c r="H106" s="46" t="s">
        <v>765</v>
      </c>
      <c r="I106" s="46" t="s">
        <v>761</v>
      </c>
      <c r="J106" s="65">
        <v>1.2824074074074075E-2</v>
      </c>
      <c r="K106" s="46" t="s">
        <v>79</v>
      </c>
      <c r="L106" s="46" t="s">
        <v>766</v>
      </c>
      <c r="M106" s="46" t="s">
        <v>767</v>
      </c>
      <c r="N106" s="46" t="s">
        <v>97</v>
      </c>
      <c r="O106" s="46" t="s">
        <v>98</v>
      </c>
      <c r="P106" s="46" t="s">
        <v>64</v>
      </c>
      <c r="Q106" s="46">
        <v>2</v>
      </c>
      <c r="R106" s="46" t="s">
        <v>99</v>
      </c>
      <c r="S106" s="46" t="s">
        <v>84</v>
      </c>
      <c r="T106" s="46" t="s">
        <v>67</v>
      </c>
      <c r="U106" s="46" t="s">
        <v>68</v>
      </c>
      <c r="V106" s="46" t="s">
        <v>86</v>
      </c>
      <c r="W106" s="46" t="s">
        <v>100</v>
      </c>
      <c r="X106" s="48" t="s">
        <v>768</v>
      </c>
      <c r="Y106" s="48" t="s">
        <v>72</v>
      </c>
      <c r="Z106" s="48" t="s">
        <v>769</v>
      </c>
      <c r="AA106" s="29"/>
      <c r="AB106" s="30"/>
      <c r="AC106" s="38"/>
      <c r="AD106" s="29"/>
      <c r="AE106" s="39">
        <v>1</v>
      </c>
      <c r="AF106" s="40"/>
      <c r="AG106" s="32"/>
      <c r="AH106" s="33"/>
      <c r="AI106" s="32"/>
      <c r="AJ106" s="33"/>
      <c r="AK106" s="32"/>
      <c r="AL106" s="33"/>
      <c r="AM106" s="32"/>
      <c r="AN106" s="33"/>
      <c r="AO106" s="34"/>
      <c r="AP106" s="35"/>
      <c r="AQ106" s="34"/>
      <c r="AR106" s="35"/>
      <c r="AS106" s="34"/>
      <c r="AT106" s="35"/>
      <c r="AU106" s="36"/>
      <c r="AV106" s="37">
        <v>1</v>
      </c>
      <c r="AW106" s="36">
        <v>1</v>
      </c>
      <c r="AX106" s="52">
        <f t="shared" si="3"/>
        <v>1</v>
      </c>
      <c r="AY106" s="52"/>
      <c r="AZ106" s="52"/>
    </row>
    <row r="107" spans="1:173" ht="110.25" customHeight="1" x14ac:dyDescent="0.25">
      <c r="A107" s="49" t="s">
        <v>770</v>
      </c>
      <c r="B107" s="49" t="s">
        <v>771</v>
      </c>
      <c r="C107" s="49" t="s">
        <v>772</v>
      </c>
      <c r="D107" s="49">
        <v>2024</v>
      </c>
      <c r="E107" s="50" t="s">
        <v>773</v>
      </c>
      <c r="F107" s="49">
        <v>1638230</v>
      </c>
      <c r="G107" s="49">
        <v>1639050</v>
      </c>
      <c r="H107" s="49" t="s">
        <v>774</v>
      </c>
      <c r="I107" s="49" t="s">
        <v>770</v>
      </c>
      <c r="J107" s="64">
        <v>4.8611111111111112E-2</v>
      </c>
      <c r="K107" s="49" t="s">
        <v>79</v>
      </c>
      <c r="L107" s="49" t="s">
        <v>775</v>
      </c>
      <c r="M107" s="49" t="s">
        <v>776</v>
      </c>
      <c r="N107" s="49" t="s">
        <v>159</v>
      </c>
      <c r="O107" s="49" t="s">
        <v>63</v>
      </c>
      <c r="P107" s="49" t="s">
        <v>64</v>
      </c>
      <c r="Q107" s="49">
        <v>3</v>
      </c>
      <c r="R107" s="49" t="s">
        <v>160</v>
      </c>
      <c r="S107" s="49" t="s">
        <v>84</v>
      </c>
      <c r="T107" s="49" t="s">
        <v>85</v>
      </c>
      <c r="U107" s="49" t="s">
        <v>68</v>
      </c>
      <c r="V107" s="49" t="s">
        <v>86</v>
      </c>
      <c r="W107" s="49" t="s">
        <v>87</v>
      </c>
      <c r="X107" s="51" t="s">
        <v>777</v>
      </c>
      <c r="Y107" s="51" t="s">
        <v>72</v>
      </c>
      <c r="Z107" s="51" t="s">
        <v>778</v>
      </c>
      <c r="AA107" s="29"/>
      <c r="AB107" s="30"/>
      <c r="AC107" s="38"/>
      <c r="AD107" s="29"/>
      <c r="AE107" s="39">
        <v>1</v>
      </c>
      <c r="AF107" s="40"/>
      <c r="AG107" s="32">
        <v>1</v>
      </c>
      <c r="AH107" s="33"/>
      <c r="AI107" s="32"/>
      <c r="AJ107" s="33"/>
      <c r="AK107" s="32"/>
      <c r="AL107" s="33"/>
      <c r="AM107" s="32"/>
      <c r="AN107" s="33">
        <v>1</v>
      </c>
      <c r="AO107" s="34"/>
      <c r="AP107" s="35"/>
      <c r="AQ107" s="34"/>
      <c r="AR107" s="35"/>
      <c r="AS107" s="34"/>
      <c r="AT107" s="35"/>
      <c r="AU107" s="36"/>
      <c r="AV107" s="37"/>
      <c r="AW107" s="36"/>
      <c r="AX107" s="52">
        <f t="shared" si="3"/>
        <v>1</v>
      </c>
      <c r="AY107" s="52"/>
      <c r="AZ107" s="52"/>
    </row>
    <row r="108" spans="1:173" ht="110.25" customHeight="1" x14ac:dyDescent="0.25">
      <c r="A108" s="46" t="s">
        <v>770</v>
      </c>
      <c r="B108" s="46" t="s">
        <v>779</v>
      </c>
      <c r="C108" s="46" t="s">
        <v>772</v>
      </c>
      <c r="D108" s="46">
        <v>2024</v>
      </c>
      <c r="E108" s="47" t="s">
        <v>780</v>
      </c>
      <c r="F108" s="46">
        <v>2931740</v>
      </c>
      <c r="G108" s="46">
        <v>2935530</v>
      </c>
      <c r="H108" s="46" t="s">
        <v>781</v>
      </c>
      <c r="I108" s="46" t="s">
        <v>770</v>
      </c>
      <c r="J108" s="65">
        <v>4.8611111111111112E-2</v>
      </c>
      <c r="K108" s="46" t="s">
        <v>79</v>
      </c>
      <c r="L108" s="46" t="s">
        <v>775</v>
      </c>
      <c r="M108" s="46" t="s">
        <v>776</v>
      </c>
      <c r="N108" s="46" t="s">
        <v>273</v>
      </c>
      <c r="O108" s="46" t="s">
        <v>63</v>
      </c>
      <c r="P108" s="46" t="s">
        <v>64</v>
      </c>
      <c r="Q108" s="46">
        <v>3</v>
      </c>
      <c r="R108" s="46" t="s">
        <v>83</v>
      </c>
      <c r="S108" s="46" t="s">
        <v>84</v>
      </c>
      <c r="T108" s="46" t="s">
        <v>85</v>
      </c>
      <c r="U108" s="46" t="s">
        <v>68</v>
      </c>
      <c r="V108" s="46" t="s">
        <v>86</v>
      </c>
      <c r="W108" s="46" t="s">
        <v>123</v>
      </c>
      <c r="X108" s="48" t="s">
        <v>782</v>
      </c>
      <c r="Y108" s="48" t="s">
        <v>72</v>
      </c>
      <c r="Z108" s="48" t="s">
        <v>783</v>
      </c>
      <c r="AA108" s="29"/>
      <c r="AB108" s="30"/>
      <c r="AC108" s="38"/>
      <c r="AD108" s="29"/>
      <c r="AE108" s="39">
        <v>1</v>
      </c>
      <c r="AF108" s="40"/>
      <c r="AG108" s="32">
        <v>1</v>
      </c>
      <c r="AH108" s="33"/>
      <c r="AI108" s="32"/>
      <c r="AJ108" s="33"/>
      <c r="AK108" s="32"/>
      <c r="AL108" s="33"/>
      <c r="AM108" s="32"/>
      <c r="AN108" s="33"/>
      <c r="AO108" s="34"/>
      <c r="AP108" s="35"/>
      <c r="AQ108" s="34"/>
      <c r="AR108" s="35"/>
      <c r="AS108" s="34"/>
      <c r="AT108" s="35"/>
      <c r="AU108" s="36"/>
      <c r="AV108" s="37"/>
      <c r="AW108" s="36"/>
      <c r="AX108" s="52">
        <f t="shared" si="3"/>
        <v>0</v>
      </c>
      <c r="AY108" s="52"/>
      <c r="AZ108" s="52"/>
    </row>
    <row r="109" spans="1:173" ht="110.25" customHeight="1" x14ac:dyDescent="0.25">
      <c r="A109" s="49" t="s">
        <v>784</v>
      </c>
      <c r="B109" s="49" t="s">
        <v>785</v>
      </c>
      <c r="C109" s="49" t="s">
        <v>786</v>
      </c>
      <c r="D109" s="49" t="s">
        <v>114</v>
      </c>
      <c r="E109" s="50" t="s">
        <v>787</v>
      </c>
      <c r="F109" s="49">
        <v>466961</v>
      </c>
      <c r="G109" s="49">
        <v>467811</v>
      </c>
      <c r="H109" s="49" t="s">
        <v>788</v>
      </c>
      <c r="I109" s="49" t="s">
        <v>784</v>
      </c>
      <c r="J109" s="64">
        <v>1.3159722222222222E-2</v>
      </c>
      <c r="K109" s="49" t="s">
        <v>79</v>
      </c>
      <c r="L109" s="49" t="s">
        <v>789</v>
      </c>
      <c r="M109" s="49" t="s">
        <v>790</v>
      </c>
      <c r="N109" s="49" t="s">
        <v>186</v>
      </c>
      <c r="O109" s="49" t="s">
        <v>98</v>
      </c>
      <c r="P109" s="49" t="s">
        <v>64</v>
      </c>
      <c r="Q109" s="49">
        <v>2</v>
      </c>
      <c r="R109" s="49" t="s">
        <v>99</v>
      </c>
      <c r="S109" s="49" t="s">
        <v>84</v>
      </c>
      <c r="T109" s="49" t="s">
        <v>67</v>
      </c>
      <c r="U109" s="49" t="s">
        <v>68</v>
      </c>
      <c r="V109" s="49" t="s">
        <v>86</v>
      </c>
      <c r="W109" s="49" t="s">
        <v>100</v>
      </c>
      <c r="X109" s="51" t="s">
        <v>791</v>
      </c>
      <c r="Y109" s="51" t="s">
        <v>72</v>
      </c>
      <c r="Z109" s="51" t="s">
        <v>792</v>
      </c>
      <c r="AA109" s="29"/>
      <c r="AB109" s="30"/>
      <c r="AC109" s="38"/>
      <c r="AD109" s="29"/>
      <c r="AE109" s="39">
        <v>1</v>
      </c>
      <c r="AF109" s="40"/>
      <c r="AG109" s="32"/>
      <c r="AH109" s="33"/>
      <c r="AI109" s="32"/>
      <c r="AJ109" s="33"/>
      <c r="AK109" s="32">
        <v>1</v>
      </c>
      <c r="AL109" s="33"/>
      <c r="AM109" s="32"/>
      <c r="AN109" s="33"/>
      <c r="AO109" s="34"/>
      <c r="AP109" s="35">
        <v>1</v>
      </c>
      <c r="AQ109" s="34"/>
      <c r="AR109" s="35"/>
      <c r="AS109" s="34"/>
      <c r="AT109" s="35"/>
      <c r="AU109" s="36"/>
      <c r="AV109" s="37"/>
      <c r="AW109" s="36"/>
      <c r="AX109" s="52">
        <f t="shared" si="3"/>
        <v>1</v>
      </c>
      <c r="AY109" s="52"/>
      <c r="AZ109" s="52"/>
    </row>
    <row r="110" spans="1:173" ht="110.25" customHeight="1" x14ac:dyDescent="0.25">
      <c r="A110" s="46" t="s">
        <v>784</v>
      </c>
      <c r="B110" s="46" t="s">
        <v>793</v>
      </c>
      <c r="C110" s="46" t="s">
        <v>786</v>
      </c>
      <c r="D110" s="46" t="s">
        <v>114</v>
      </c>
      <c r="E110" s="47" t="s">
        <v>794</v>
      </c>
      <c r="F110" s="46">
        <v>552671</v>
      </c>
      <c r="G110" s="46">
        <v>556011</v>
      </c>
      <c r="H110" s="46" t="s">
        <v>788</v>
      </c>
      <c r="I110" s="46" t="s">
        <v>784</v>
      </c>
      <c r="J110" s="65">
        <v>1.3159722222222222E-2</v>
      </c>
      <c r="K110" s="46" t="s">
        <v>79</v>
      </c>
      <c r="L110" s="46" t="s">
        <v>789</v>
      </c>
      <c r="M110" s="46" t="s">
        <v>790</v>
      </c>
      <c r="N110" s="46" t="s">
        <v>186</v>
      </c>
      <c r="O110" s="46" t="s">
        <v>98</v>
      </c>
      <c r="P110" s="46" t="s">
        <v>64</v>
      </c>
      <c r="Q110" s="46">
        <v>2</v>
      </c>
      <c r="R110" s="46" t="s">
        <v>99</v>
      </c>
      <c r="S110" s="46" t="s">
        <v>84</v>
      </c>
      <c r="T110" s="46" t="s">
        <v>67</v>
      </c>
      <c r="U110" s="46" t="s">
        <v>68</v>
      </c>
      <c r="V110" s="46" t="s">
        <v>86</v>
      </c>
      <c r="W110" s="46" t="s">
        <v>100</v>
      </c>
      <c r="X110" s="48" t="s">
        <v>795</v>
      </c>
      <c r="Y110" s="48" t="s">
        <v>72</v>
      </c>
      <c r="Z110" s="48" t="s">
        <v>796</v>
      </c>
      <c r="AA110" s="29"/>
      <c r="AB110" s="30"/>
      <c r="AC110" s="38"/>
      <c r="AD110" s="29"/>
      <c r="AE110" s="39">
        <v>1</v>
      </c>
      <c r="AF110" s="40"/>
      <c r="AG110" s="32"/>
      <c r="AH110" s="33"/>
      <c r="AI110" s="32"/>
      <c r="AJ110" s="33"/>
      <c r="AK110" s="32">
        <v>1</v>
      </c>
      <c r="AL110" s="33"/>
      <c r="AM110" s="32"/>
      <c r="AN110" s="33"/>
      <c r="AO110" s="34"/>
      <c r="AP110" s="35">
        <v>1</v>
      </c>
      <c r="AQ110" s="34"/>
      <c r="AR110" s="35"/>
      <c r="AS110" s="34"/>
      <c r="AT110" s="35"/>
      <c r="AU110" s="36"/>
      <c r="AV110" s="37">
        <v>1</v>
      </c>
      <c r="AW110" s="36"/>
      <c r="AX110" s="52">
        <f t="shared" si="3"/>
        <v>1</v>
      </c>
      <c r="AY110" s="52"/>
      <c r="AZ110" s="52"/>
    </row>
    <row r="111" spans="1:173" ht="110.25" customHeight="1" x14ac:dyDescent="0.25">
      <c r="A111" s="49" t="s">
        <v>784</v>
      </c>
      <c r="B111" s="49" t="s">
        <v>797</v>
      </c>
      <c r="C111" s="49" t="s">
        <v>786</v>
      </c>
      <c r="D111" s="49" t="s">
        <v>114</v>
      </c>
      <c r="E111" s="50" t="s">
        <v>798</v>
      </c>
      <c r="F111" s="49">
        <v>911700</v>
      </c>
      <c r="G111" s="49">
        <v>917130</v>
      </c>
      <c r="H111" s="49" t="s">
        <v>788</v>
      </c>
      <c r="I111" s="49" t="s">
        <v>784</v>
      </c>
      <c r="J111" s="64">
        <v>1.3159722222222222E-2</v>
      </c>
      <c r="K111" s="49" t="s">
        <v>79</v>
      </c>
      <c r="L111" s="50" t="s">
        <v>789</v>
      </c>
      <c r="M111" s="49" t="s">
        <v>790</v>
      </c>
      <c r="N111" s="49" t="s">
        <v>186</v>
      </c>
      <c r="O111" s="49" t="s">
        <v>98</v>
      </c>
      <c r="P111" s="49" t="s">
        <v>64</v>
      </c>
      <c r="Q111" s="49">
        <v>2</v>
      </c>
      <c r="R111" s="49" t="s">
        <v>99</v>
      </c>
      <c r="S111" s="49" t="s">
        <v>84</v>
      </c>
      <c r="T111" s="49" t="s">
        <v>67</v>
      </c>
      <c r="U111" s="49" t="s">
        <v>68</v>
      </c>
      <c r="V111" s="49" t="s">
        <v>86</v>
      </c>
      <c r="W111" s="49" t="s">
        <v>100</v>
      </c>
      <c r="X111" s="51" t="s">
        <v>799</v>
      </c>
      <c r="Y111" s="51" t="s">
        <v>72</v>
      </c>
      <c r="Z111" s="51" t="s">
        <v>800</v>
      </c>
      <c r="AA111" s="29"/>
      <c r="AB111" s="30"/>
      <c r="AC111" s="38"/>
      <c r="AD111" s="29"/>
      <c r="AE111" s="39">
        <v>1</v>
      </c>
      <c r="AF111" s="40"/>
      <c r="AG111" s="32"/>
      <c r="AH111" s="33"/>
      <c r="AI111" s="32"/>
      <c r="AJ111" s="33"/>
      <c r="AK111" s="32"/>
      <c r="AL111" s="33"/>
      <c r="AM111" s="32"/>
      <c r="AN111" s="33"/>
      <c r="AO111" s="34"/>
      <c r="AP111" s="35"/>
      <c r="AQ111" s="34"/>
      <c r="AR111" s="35"/>
      <c r="AS111" s="34"/>
      <c r="AT111" s="35"/>
      <c r="AU111" s="36"/>
      <c r="AV111" s="37">
        <v>1</v>
      </c>
      <c r="AW111" s="36"/>
      <c r="AX111" s="52">
        <f t="shared" si="3"/>
        <v>0</v>
      </c>
      <c r="AY111" s="52" t="s">
        <v>2278</v>
      </c>
      <c r="AZ111" s="52"/>
    </row>
    <row r="112" spans="1:173" ht="110.25" customHeight="1" x14ac:dyDescent="0.25">
      <c r="A112" s="46" t="s">
        <v>784</v>
      </c>
      <c r="B112" s="46" t="s">
        <v>801</v>
      </c>
      <c r="C112" s="46" t="s">
        <v>786</v>
      </c>
      <c r="D112" s="46" t="s">
        <v>114</v>
      </c>
      <c r="E112" s="47" t="s">
        <v>802</v>
      </c>
      <c r="F112" s="46">
        <v>1127270</v>
      </c>
      <c r="G112" s="46">
        <v>1132260</v>
      </c>
      <c r="H112" s="46" t="s">
        <v>803</v>
      </c>
      <c r="I112" s="46" t="s">
        <v>784</v>
      </c>
      <c r="J112" s="65">
        <v>1.3159722222222222E-2</v>
      </c>
      <c r="K112" s="46" t="s">
        <v>79</v>
      </c>
      <c r="L112" s="46" t="s">
        <v>789</v>
      </c>
      <c r="M112" s="46" t="s">
        <v>790</v>
      </c>
      <c r="N112" s="46" t="s">
        <v>97</v>
      </c>
      <c r="O112" s="46" t="s">
        <v>63</v>
      </c>
      <c r="P112" s="46" t="s">
        <v>64</v>
      </c>
      <c r="Q112" s="46">
        <v>2</v>
      </c>
      <c r="R112" s="46" t="s">
        <v>99</v>
      </c>
      <c r="S112" s="46" t="s">
        <v>84</v>
      </c>
      <c r="T112" s="46" t="s">
        <v>67</v>
      </c>
      <c r="U112" s="46" t="s">
        <v>68</v>
      </c>
      <c r="V112" s="46" t="s">
        <v>86</v>
      </c>
      <c r="W112" s="46" t="s">
        <v>100</v>
      </c>
      <c r="X112" s="48" t="s">
        <v>804</v>
      </c>
      <c r="Y112" s="48" t="s">
        <v>72</v>
      </c>
      <c r="Z112" s="48" t="s">
        <v>805</v>
      </c>
      <c r="AA112" s="29"/>
      <c r="AB112" s="30"/>
      <c r="AC112" s="38"/>
      <c r="AD112" s="29"/>
      <c r="AE112" s="39">
        <v>1</v>
      </c>
      <c r="AF112" s="40">
        <v>1</v>
      </c>
      <c r="AG112" s="32"/>
      <c r="AH112" s="33"/>
      <c r="AI112" s="32"/>
      <c r="AJ112" s="33"/>
      <c r="AK112" s="32"/>
      <c r="AL112" s="33"/>
      <c r="AM112" s="32"/>
      <c r="AN112" s="33"/>
      <c r="AO112" s="34"/>
      <c r="AP112" s="35">
        <v>1</v>
      </c>
      <c r="AQ112" s="34"/>
      <c r="AR112" s="35"/>
      <c r="AS112" s="34"/>
      <c r="AT112" s="35"/>
      <c r="AU112" s="36"/>
      <c r="AV112" s="37">
        <v>1</v>
      </c>
      <c r="AW112" s="36"/>
      <c r="AX112" s="52">
        <f t="shared" si="3"/>
        <v>1</v>
      </c>
      <c r="AY112" s="52"/>
      <c r="AZ112" s="52"/>
    </row>
    <row r="113" spans="1:173" ht="110.25" customHeight="1" x14ac:dyDescent="0.25">
      <c r="A113" s="49" t="s">
        <v>806</v>
      </c>
      <c r="B113" s="49" t="s">
        <v>807</v>
      </c>
      <c r="C113" s="49" t="s">
        <v>808</v>
      </c>
      <c r="D113" s="49" t="s">
        <v>114</v>
      </c>
      <c r="E113" s="50" t="s">
        <v>809</v>
      </c>
      <c r="F113" s="49">
        <v>1126870</v>
      </c>
      <c r="G113" s="49">
        <v>1134501</v>
      </c>
      <c r="H113" s="49" t="s">
        <v>116</v>
      </c>
      <c r="I113" s="49" t="s">
        <v>806</v>
      </c>
      <c r="J113" s="64">
        <v>1.3958333333333333E-2</v>
      </c>
      <c r="K113" s="49" t="s">
        <v>79</v>
      </c>
      <c r="L113" s="49" t="s">
        <v>810</v>
      </c>
      <c r="M113" s="49" t="s">
        <v>811</v>
      </c>
      <c r="N113" s="49" t="s">
        <v>119</v>
      </c>
      <c r="O113" s="49" t="s">
        <v>98</v>
      </c>
      <c r="P113" s="49" t="s">
        <v>120</v>
      </c>
      <c r="Q113" s="49">
        <v>2</v>
      </c>
      <c r="R113" s="49" t="s">
        <v>83</v>
      </c>
      <c r="S113" s="49" t="s">
        <v>84</v>
      </c>
      <c r="T113" s="49" t="s">
        <v>85</v>
      </c>
      <c r="U113" s="49" t="s">
        <v>121</v>
      </c>
      <c r="V113" s="49" t="s">
        <v>122</v>
      </c>
      <c r="W113" s="49" t="s">
        <v>123</v>
      </c>
      <c r="X113" s="51" t="s">
        <v>812</v>
      </c>
      <c r="Y113" s="51" t="s">
        <v>72</v>
      </c>
      <c r="Z113" s="51" t="s">
        <v>813</v>
      </c>
      <c r="AA113" s="29"/>
      <c r="AB113" s="30"/>
      <c r="AC113" s="38"/>
      <c r="AD113" s="29"/>
      <c r="AE113" s="39">
        <v>1</v>
      </c>
      <c r="AF113" s="40"/>
      <c r="AG113" s="32"/>
      <c r="AH113" s="33">
        <v>1</v>
      </c>
      <c r="AI113" s="32"/>
      <c r="AJ113" s="33"/>
      <c r="AK113" s="32"/>
      <c r="AL113" s="33">
        <v>1</v>
      </c>
      <c r="AM113" s="32"/>
      <c r="AN113" s="33"/>
      <c r="AO113" s="34"/>
      <c r="AP113" s="35"/>
      <c r="AQ113" s="34"/>
      <c r="AR113" s="35"/>
      <c r="AS113" s="34"/>
      <c r="AT113" s="35"/>
      <c r="AU113" s="36"/>
      <c r="AV113" s="37"/>
      <c r="AW113" s="36"/>
      <c r="AX113" s="52">
        <f t="shared" si="3"/>
        <v>1</v>
      </c>
      <c r="AY113" s="52"/>
      <c r="AZ113" s="52"/>
    </row>
    <row r="114" spans="1:173" ht="110.25" customHeight="1" x14ac:dyDescent="0.25">
      <c r="A114" s="46" t="s">
        <v>814</v>
      </c>
      <c r="B114" s="46" t="s">
        <v>815</v>
      </c>
      <c r="C114" s="46" t="s">
        <v>816</v>
      </c>
      <c r="D114" s="46" t="s">
        <v>114</v>
      </c>
      <c r="E114" s="47" t="s">
        <v>817</v>
      </c>
      <c r="F114" s="46">
        <v>76368</v>
      </c>
      <c r="G114" s="46">
        <v>81020</v>
      </c>
      <c r="H114" s="46" t="s">
        <v>818</v>
      </c>
      <c r="I114" s="46" t="s">
        <v>814</v>
      </c>
      <c r="J114" s="65">
        <v>6.851851851851852E-3</v>
      </c>
      <c r="K114" s="46" t="s">
        <v>79</v>
      </c>
      <c r="L114" s="46" t="s">
        <v>819</v>
      </c>
      <c r="M114" s="46" t="s">
        <v>820</v>
      </c>
      <c r="N114" s="46" t="s">
        <v>186</v>
      </c>
      <c r="O114" s="46" t="s">
        <v>98</v>
      </c>
      <c r="P114" s="46" t="s">
        <v>64</v>
      </c>
      <c r="Q114" s="46">
        <v>2</v>
      </c>
      <c r="R114" s="46" t="s">
        <v>99</v>
      </c>
      <c r="S114" s="46" t="s">
        <v>84</v>
      </c>
      <c r="T114" s="46" t="s">
        <v>67</v>
      </c>
      <c r="U114" s="46" t="s">
        <v>180</v>
      </c>
      <c r="V114" s="46" t="s">
        <v>86</v>
      </c>
      <c r="W114" s="46" t="s">
        <v>100</v>
      </c>
      <c r="X114" s="48" t="s">
        <v>821</v>
      </c>
      <c r="Y114" s="48" t="s">
        <v>72</v>
      </c>
      <c r="Z114" s="48" t="s">
        <v>822</v>
      </c>
      <c r="AA114" s="29">
        <v>1</v>
      </c>
      <c r="AB114" s="30"/>
      <c r="AC114" s="38"/>
      <c r="AD114" s="29"/>
      <c r="AE114" s="39"/>
      <c r="AF114" s="40"/>
      <c r="AG114" s="32"/>
      <c r="AH114" s="33"/>
      <c r="AI114" s="32"/>
      <c r="AJ114" s="33"/>
      <c r="AK114" s="32"/>
      <c r="AL114" s="33"/>
      <c r="AM114" s="32"/>
      <c r="AN114" s="33"/>
      <c r="AO114" s="34"/>
      <c r="AP114" s="35"/>
      <c r="AQ114" s="34"/>
      <c r="AR114" s="35"/>
      <c r="AS114" s="34"/>
      <c r="AT114" s="35"/>
      <c r="AU114" s="36"/>
      <c r="AV114" s="37"/>
      <c r="AW114" s="36"/>
      <c r="AX114" s="52">
        <f t="shared" si="3"/>
        <v>0</v>
      </c>
      <c r="AY114" s="52"/>
      <c r="AZ114" s="52"/>
    </row>
    <row r="115" spans="1:173" ht="110.25" customHeight="1" x14ac:dyDescent="0.25">
      <c r="A115" s="49" t="s">
        <v>814</v>
      </c>
      <c r="B115" s="49" t="s">
        <v>823</v>
      </c>
      <c r="C115" s="49" t="s">
        <v>816</v>
      </c>
      <c r="D115" s="49" t="s">
        <v>114</v>
      </c>
      <c r="E115" s="50" t="s">
        <v>824</v>
      </c>
      <c r="F115" s="49">
        <v>121061</v>
      </c>
      <c r="G115" s="49">
        <v>122817</v>
      </c>
      <c r="H115" s="49" t="s">
        <v>818</v>
      </c>
      <c r="I115" s="49" t="s">
        <v>814</v>
      </c>
      <c r="J115" s="64">
        <v>6.851851851851852E-3</v>
      </c>
      <c r="K115" s="49" t="s">
        <v>79</v>
      </c>
      <c r="L115" s="49" t="s">
        <v>819</v>
      </c>
      <c r="M115" s="49" t="s">
        <v>820</v>
      </c>
      <c r="N115" s="49" t="s">
        <v>186</v>
      </c>
      <c r="O115" s="49" t="s">
        <v>98</v>
      </c>
      <c r="P115" s="49" t="s">
        <v>64</v>
      </c>
      <c r="Q115" s="49">
        <v>2</v>
      </c>
      <c r="R115" s="49" t="s">
        <v>99</v>
      </c>
      <c r="S115" s="49" t="s">
        <v>84</v>
      </c>
      <c r="T115" s="49" t="s">
        <v>67</v>
      </c>
      <c r="U115" s="49" t="s">
        <v>180</v>
      </c>
      <c r="V115" s="49" t="s">
        <v>86</v>
      </c>
      <c r="W115" s="49" t="s">
        <v>100</v>
      </c>
      <c r="X115" s="51" t="s">
        <v>825</v>
      </c>
      <c r="Y115" s="51" t="s">
        <v>72</v>
      </c>
      <c r="Z115" s="51" t="s">
        <v>826</v>
      </c>
      <c r="AA115" s="29"/>
      <c r="AB115" s="30"/>
      <c r="AC115" s="38"/>
      <c r="AD115" s="29"/>
      <c r="AE115" s="39">
        <v>1</v>
      </c>
      <c r="AF115" s="40"/>
      <c r="AG115" s="32"/>
      <c r="AH115" s="33"/>
      <c r="AI115" s="32"/>
      <c r="AJ115" s="33"/>
      <c r="AK115" s="32"/>
      <c r="AL115" s="33"/>
      <c r="AM115" s="32"/>
      <c r="AN115" s="33"/>
      <c r="AO115" s="34"/>
      <c r="AP115" s="35"/>
      <c r="AQ115" s="34"/>
      <c r="AR115" s="35"/>
      <c r="AS115" s="34"/>
      <c r="AT115" s="35"/>
      <c r="AU115" s="36"/>
      <c r="AV115" s="37">
        <v>1</v>
      </c>
      <c r="AW115" s="36"/>
      <c r="AX115" s="52">
        <f t="shared" si="3"/>
        <v>0</v>
      </c>
      <c r="AY115" s="52"/>
      <c r="AZ115" s="52"/>
    </row>
    <row r="116" spans="1:173" s="15" customFormat="1" ht="110.25" customHeight="1" x14ac:dyDescent="0.25">
      <c r="A116" s="46" t="s">
        <v>814</v>
      </c>
      <c r="B116" s="46" t="s">
        <v>827</v>
      </c>
      <c r="C116" s="46" t="s">
        <v>816</v>
      </c>
      <c r="D116" s="46" t="s">
        <v>114</v>
      </c>
      <c r="E116" s="47" t="s">
        <v>828</v>
      </c>
      <c r="F116" s="46">
        <v>543541</v>
      </c>
      <c r="G116" s="46">
        <v>544608</v>
      </c>
      <c r="H116" s="46" t="s">
        <v>818</v>
      </c>
      <c r="I116" s="46" t="s">
        <v>814</v>
      </c>
      <c r="J116" s="65">
        <v>6.851851851851852E-3</v>
      </c>
      <c r="K116" s="46" t="s">
        <v>79</v>
      </c>
      <c r="L116" s="46" t="s">
        <v>819</v>
      </c>
      <c r="M116" s="46" t="s">
        <v>820</v>
      </c>
      <c r="N116" s="46" t="s">
        <v>186</v>
      </c>
      <c r="O116" s="46" t="s">
        <v>98</v>
      </c>
      <c r="P116" s="46" t="s">
        <v>64</v>
      </c>
      <c r="Q116" s="46">
        <v>2</v>
      </c>
      <c r="R116" s="46" t="s">
        <v>99</v>
      </c>
      <c r="S116" s="46" t="s">
        <v>84</v>
      </c>
      <c r="T116" s="46" t="s">
        <v>67</v>
      </c>
      <c r="U116" s="46" t="s">
        <v>180</v>
      </c>
      <c r="V116" s="46" t="s">
        <v>86</v>
      </c>
      <c r="W116" s="46" t="s">
        <v>100</v>
      </c>
      <c r="X116" s="48" t="s">
        <v>829</v>
      </c>
      <c r="Y116" s="48" t="s">
        <v>72</v>
      </c>
      <c r="Z116" s="48" t="s">
        <v>830</v>
      </c>
      <c r="AA116" s="29">
        <v>1</v>
      </c>
      <c r="AB116" s="41"/>
      <c r="AC116" s="41"/>
      <c r="AD116" s="41"/>
      <c r="AE116" s="39"/>
      <c r="AF116" s="40"/>
      <c r="AG116" s="32"/>
      <c r="AH116" s="33"/>
      <c r="AI116" s="32"/>
      <c r="AJ116" s="33"/>
      <c r="AK116" s="32"/>
      <c r="AL116" s="33"/>
      <c r="AM116" s="32"/>
      <c r="AN116" s="33"/>
      <c r="AO116" s="34"/>
      <c r="AP116" s="35"/>
      <c r="AQ116" s="34"/>
      <c r="AR116" s="35"/>
      <c r="AS116" s="34"/>
      <c r="AT116" s="35"/>
      <c r="AU116" s="36"/>
      <c r="AV116" s="37"/>
      <c r="AW116" s="36"/>
      <c r="AX116" s="52">
        <f t="shared" si="3"/>
        <v>0</v>
      </c>
      <c r="AY116" s="52"/>
      <c r="AZ116" s="52"/>
      <c r="BA116" s="53"/>
      <c r="BB116" s="53"/>
      <c r="BC116" s="53"/>
      <c r="BD116" s="53"/>
      <c r="BE116" s="53"/>
      <c r="BF116" s="53"/>
      <c r="BG116" s="53"/>
      <c r="BH116" s="53"/>
      <c r="BI116" s="53"/>
      <c r="BJ116" s="53"/>
      <c r="BK116" s="53"/>
      <c r="BL116" s="53"/>
      <c r="BM116" s="53"/>
      <c r="BN116" s="53"/>
      <c r="BO116" s="53"/>
      <c r="BP116" s="53"/>
      <c r="BQ116" s="53"/>
      <c r="BR116" s="53"/>
      <c r="BS116" s="53"/>
      <c r="BT116" s="53"/>
      <c r="BU116" s="53"/>
      <c r="BV116" s="53"/>
      <c r="BW116" s="53"/>
      <c r="BX116" s="53"/>
      <c r="BY116" s="53"/>
      <c r="BZ116" s="53"/>
      <c r="CA116" s="53"/>
      <c r="CB116" s="53"/>
      <c r="CC116" s="53"/>
      <c r="CD116" s="53"/>
      <c r="CE116" s="53"/>
      <c r="CF116" s="53"/>
      <c r="CG116" s="53"/>
      <c r="CH116" s="53"/>
      <c r="CI116" s="53"/>
      <c r="CJ116" s="53"/>
      <c r="CK116" s="53"/>
      <c r="CL116" s="53"/>
      <c r="CM116" s="53"/>
      <c r="CN116" s="53"/>
      <c r="CO116" s="53"/>
      <c r="CP116" s="53"/>
      <c r="CQ116" s="53"/>
      <c r="CR116" s="53"/>
      <c r="CS116" s="53"/>
      <c r="CT116" s="53"/>
      <c r="CU116" s="53"/>
      <c r="CV116" s="53"/>
      <c r="CW116" s="53"/>
      <c r="CX116" s="53"/>
      <c r="CY116" s="53"/>
      <c r="CZ116" s="53"/>
      <c r="DA116" s="53"/>
      <c r="DB116" s="53"/>
      <c r="DC116" s="53"/>
      <c r="DD116" s="53"/>
      <c r="DE116" s="53"/>
      <c r="DF116" s="53"/>
      <c r="DG116" s="53"/>
      <c r="DH116" s="53"/>
      <c r="DI116" s="53"/>
      <c r="DJ116" s="53"/>
      <c r="DK116" s="53"/>
      <c r="DL116" s="53"/>
      <c r="DM116" s="53"/>
      <c r="DN116" s="53"/>
      <c r="DO116" s="53"/>
      <c r="DP116" s="53"/>
      <c r="DQ116" s="53"/>
      <c r="DR116" s="53"/>
      <c r="DS116" s="53"/>
      <c r="DT116" s="53"/>
      <c r="DU116" s="53"/>
      <c r="DV116" s="53"/>
      <c r="DW116" s="53"/>
      <c r="DX116" s="53"/>
      <c r="DY116" s="53"/>
      <c r="DZ116" s="53"/>
      <c r="EA116" s="53"/>
      <c r="EB116" s="53"/>
      <c r="EC116" s="53"/>
      <c r="ED116" s="53"/>
      <c r="EE116" s="53"/>
      <c r="EF116" s="53"/>
      <c r="EG116" s="53"/>
      <c r="EH116" s="53"/>
      <c r="EI116" s="53"/>
      <c r="EJ116" s="53"/>
      <c r="EK116" s="53"/>
      <c r="EL116" s="53"/>
      <c r="EM116" s="53"/>
      <c r="EN116" s="53"/>
      <c r="EO116" s="53"/>
      <c r="EP116" s="53"/>
      <c r="EQ116" s="53"/>
      <c r="ER116" s="54"/>
      <c r="ES116" s="54"/>
      <c r="ET116" s="54"/>
      <c r="EU116" s="54"/>
      <c r="EV116" s="54"/>
      <c r="EW116" s="54"/>
      <c r="EX116" s="54"/>
      <c r="EY116" s="54"/>
      <c r="EZ116" s="54"/>
      <c r="FA116" s="54"/>
      <c r="FB116" s="54"/>
      <c r="FC116" s="54"/>
      <c r="FD116" s="54"/>
      <c r="FE116" s="54"/>
      <c r="FF116" s="54"/>
      <c r="FG116" s="54"/>
      <c r="FH116" s="54"/>
      <c r="FI116" s="54"/>
      <c r="FJ116" s="54"/>
      <c r="FK116" s="54"/>
      <c r="FL116" s="54"/>
      <c r="FM116" s="54"/>
      <c r="FN116" s="54"/>
      <c r="FO116" s="54"/>
      <c r="FP116" s="54"/>
      <c r="FQ116" s="54"/>
    </row>
    <row r="117" spans="1:173" s="15" customFormat="1" ht="110.25" customHeight="1" x14ac:dyDescent="0.25">
      <c r="A117" s="49" t="s">
        <v>831</v>
      </c>
      <c r="B117" s="49" t="s">
        <v>832</v>
      </c>
      <c r="C117" s="49" t="s">
        <v>833</v>
      </c>
      <c r="D117" s="49">
        <v>2022</v>
      </c>
      <c r="E117" s="50" t="s">
        <v>834</v>
      </c>
      <c r="F117" s="49">
        <v>2229933</v>
      </c>
      <c r="G117" s="49">
        <v>2234788</v>
      </c>
      <c r="H117" s="49" t="s">
        <v>835</v>
      </c>
      <c r="I117" s="49" t="s">
        <v>831</v>
      </c>
      <c r="J117" s="64">
        <v>6.1747685185185183E-2</v>
      </c>
      <c r="K117" s="49" t="s">
        <v>59</v>
      </c>
      <c r="L117" s="49" t="s">
        <v>836</v>
      </c>
      <c r="M117" s="49" t="s">
        <v>837</v>
      </c>
      <c r="N117" s="49" t="s">
        <v>97</v>
      </c>
      <c r="O117" s="49" t="s">
        <v>63</v>
      </c>
      <c r="P117" s="49" t="s">
        <v>838</v>
      </c>
      <c r="Q117" s="49">
        <v>4</v>
      </c>
      <c r="R117" s="49" t="s">
        <v>99</v>
      </c>
      <c r="S117" s="49" t="s">
        <v>66</v>
      </c>
      <c r="T117" s="49" t="s">
        <v>67</v>
      </c>
      <c r="U117" s="49" t="s">
        <v>839</v>
      </c>
      <c r="V117" s="49" t="s">
        <v>69</v>
      </c>
      <c r="W117" s="49" t="s">
        <v>100</v>
      </c>
      <c r="X117" s="51" t="s">
        <v>840</v>
      </c>
      <c r="Y117" s="51" t="s">
        <v>72</v>
      </c>
      <c r="Z117" s="51" t="s">
        <v>841</v>
      </c>
      <c r="AA117" s="29">
        <v>1</v>
      </c>
      <c r="AB117" s="41"/>
      <c r="AC117" s="41"/>
      <c r="AD117" s="41"/>
      <c r="AE117" s="39"/>
      <c r="AF117" s="40"/>
      <c r="AG117" s="32"/>
      <c r="AH117" s="33"/>
      <c r="AI117" s="32"/>
      <c r="AJ117" s="33"/>
      <c r="AK117" s="32"/>
      <c r="AL117" s="33"/>
      <c r="AM117" s="32"/>
      <c r="AN117" s="33"/>
      <c r="AO117" s="34"/>
      <c r="AP117" s="35"/>
      <c r="AQ117" s="34"/>
      <c r="AR117" s="35"/>
      <c r="AS117" s="34"/>
      <c r="AT117" s="35"/>
      <c r="AU117" s="36"/>
      <c r="AV117" s="37"/>
      <c r="AW117" s="36"/>
      <c r="AX117" s="52">
        <f t="shared" ref="AX117:AX180" si="4">IF(SUM(COUNTIF(AG117:AN117,1), COUNTIF(AO117:AT117,1), COUNTIF(AU117:AW117,1))&gt;1, 1, 0)</f>
        <v>0</v>
      </c>
      <c r="AY117" s="52"/>
      <c r="AZ117" s="52"/>
      <c r="BA117" s="53"/>
      <c r="BB117" s="53"/>
      <c r="BC117" s="53"/>
      <c r="BD117" s="53"/>
      <c r="BE117" s="53"/>
      <c r="BF117" s="53"/>
      <c r="BG117" s="53"/>
      <c r="BH117" s="53"/>
      <c r="BI117" s="53"/>
      <c r="BJ117" s="53"/>
      <c r="BK117" s="53"/>
      <c r="BL117" s="53"/>
      <c r="BM117" s="53"/>
      <c r="BN117" s="53"/>
      <c r="BO117" s="53"/>
      <c r="BP117" s="53"/>
      <c r="BQ117" s="53"/>
      <c r="BR117" s="53"/>
      <c r="BS117" s="53"/>
      <c r="BT117" s="53"/>
      <c r="BU117" s="53"/>
      <c r="BV117" s="53"/>
      <c r="BW117" s="53"/>
      <c r="BX117" s="53"/>
      <c r="BY117" s="53"/>
      <c r="BZ117" s="53"/>
      <c r="CA117" s="53"/>
      <c r="CB117" s="53"/>
      <c r="CC117" s="53"/>
      <c r="CD117" s="53"/>
      <c r="CE117" s="53"/>
      <c r="CF117" s="53"/>
      <c r="CG117" s="53"/>
      <c r="CH117" s="53"/>
      <c r="CI117" s="53"/>
      <c r="CJ117" s="53"/>
      <c r="CK117" s="53"/>
      <c r="CL117" s="53"/>
      <c r="CM117" s="53"/>
      <c r="CN117" s="53"/>
      <c r="CO117" s="53"/>
      <c r="CP117" s="53"/>
      <c r="CQ117" s="53"/>
      <c r="CR117" s="53"/>
      <c r="CS117" s="53"/>
      <c r="CT117" s="53"/>
      <c r="CU117" s="53"/>
      <c r="CV117" s="53"/>
      <c r="CW117" s="53"/>
      <c r="CX117" s="53"/>
      <c r="CY117" s="53"/>
      <c r="CZ117" s="53"/>
      <c r="DA117" s="53"/>
      <c r="DB117" s="53"/>
      <c r="DC117" s="53"/>
      <c r="DD117" s="53"/>
      <c r="DE117" s="53"/>
      <c r="DF117" s="53"/>
      <c r="DG117" s="53"/>
      <c r="DH117" s="53"/>
      <c r="DI117" s="53"/>
      <c r="DJ117" s="53"/>
      <c r="DK117" s="53"/>
      <c r="DL117" s="53"/>
      <c r="DM117" s="53"/>
      <c r="DN117" s="53"/>
      <c r="DO117" s="53"/>
      <c r="DP117" s="53"/>
      <c r="DQ117" s="53"/>
      <c r="DR117" s="53"/>
      <c r="DS117" s="53"/>
      <c r="DT117" s="53"/>
      <c r="DU117" s="53"/>
      <c r="DV117" s="53"/>
      <c r="DW117" s="53"/>
      <c r="DX117" s="53"/>
      <c r="DY117" s="53"/>
      <c r="DZ117" s="53"/>
      <c r="EA117" s="53"/>
      <c r="EB117" s="53"/>
      <c r="EC117" s="53"/>
      <c r="ED117" s="53"/>
      <c r="EE117" s="53"/>
      <c r="EF117" s="53"/>
      <c r="EG117" s="53"/>
      <c r="EH117" s="53"/>
      <c r="EI117" s="53"/>
      <c r="EJ117" s="53"/>
      <c r="EK117" s="53"/>
      <c r="EL117" s="53"/>
      <c r="EM117" s="53"/>
      <c r="EN117" s="53"/>
      <c r="EO117" s="53"/>
      <c r="EP117" s="53"/>
      <c r="EQ117" s="53"/>
      <c r="ER117" s="54"/>
      <c r="ES117" s="54"/>
      <c r="ET117" s="54"/>
      <c r="EU117" s="54"/>
      <c r="EV117" s="54"/>
      <c r="EW117" s="54"/>
      <c r="EX117" s="54"/>
      <c r="EY117" s="54"/>
      <c r="EZ117" s="54"/>
      <c r="FA117" s="54"/>
      <c r="FB117" s="54"/>
      <c r="FC117" s="54"/>
      <c r="FD117" s="54"/>
      <c r="FE117" s="54"/>
      <c r="FF117" s="54"/>
      <c r="FG117" s="54"/>
      <c r="FH117" s="54"/>
      <c r="FI117" s="54"/>
      <c r="FJ117" s="54"/>
      <c r="FK117" s="54"/>
      <c r="FL117" s="54"/>
      <c r="FM117" s="54"/>
      <c r="FN117" s="54"/>
      <c r="FO117" s="54"/>
      <c r="FP117" s="54"/>
      <c r="FQ117" s="54"/>
    </row>
    <row r="118" spans="1:173" s="15" customFormat="1" ht="110.25" customHeight="1" x14ac:dyDescent="0.25">
      <c r="A118" s="46" t="s">
        <v>831</v>
      </c>
      <c r="B118" s="46" t="s">
        <v>842</v>
      </c>
      <c r="C118" s="46" t="s">
        <v>833</v>
      </c>
      <c r="D118" s="46">
        <v>2022</v>
      </c>
      <c r="E118" s="47" t="s">
        <v>843</v>
      </c>
      <c r="F118" s="46">
        <v>2491792</v>
      </c>
      <c r="G118" s="46">
        <v>2495649</v>
      </c>
      <c r="H118" s="46" t="s">
        <v>844</v>
      </c>
      <c r="I118" s="46" t="s">
        <v>831</v>
      </c>
      <c r="J118" s="65">
        <v>6.1747685185185183E-2</v>
      </c>
      <c r="K118" s="46" t="s">
        <v>59</v>
      </c>
      <c r="L118" s="46" t="s">
        <v>836</v>
      </c>
      <c r="M118" s="46" t="s">
        <v>837</v>
      </c>
      <c r="N118" s="46" t="s">
        <v>97</v>
      </c>
      <c r="O118" s="46" t="s">
        <v>63</v>
      </c>
      <c r="P118" s="46" t="s">
        <v>838</v>
      </c>
      <c r="Q118" s="46">
        <v>4</v>
      </c>
      <c r="R118" s="46" t="s">
        <v>99</v>
      </c>
      <c r="S118" s="46" t="s">
        <v>66</v>
      </c>
      <c r="T118" s="46" t="s">
        <v>67</v>
      </c>
      <c r="U118" s="46" t="s">
        <v>839</v>
      </c>
      <c r="V118" s="46" t="s">
        <v>69</v>
      </c>
      <c r="W118" s="46" t="s">
        <v>100</v>
      </c>
      <c r="X118" s="48" t="s">
        <v>845</v>
      </c>
      <c r="Y118" s="48" t="s">
        <v>72</v>
      </c>
      <c r="Z118" s="48" t="s">
        <v>846</v>
      </c>
      <c r="AA118" s="29">
        <v>1</v>
      </c>
      <c r="AB118" s="41"/>
      <c r="AC118" s="41"/>
      <c r="AD118" s="41"/>
      <c r="AE118" s="39"/>
      <c r="AF118" s="40"/>
      <c r="AG118" s="32"/>
      <c r="AH118" s="33"/>
      <c r="AI118" s="32"/>
      <c r="AJ118" s="33"/>
      <c r="AK118" s="32"/>
      <c r="AL118" s="33"/>
      <c r="AM118" s="32"/>
      <c r="AN118" s="33"/>
      <c r="AO118" s="34"/>
      <c r="AP118" s="35"/>
      <c r="AQ118" s="34"/>
      <c r="AR118" s="35"/>
      <c r="AS118" s="34"/>
      <c r="AT118" s="35"/>
      <c r="AU118" s="36"/>
      <c r="AV118" s="37"/>
      <c r="AW118" s="36"/>
      <c r="AX118" s="52">
        <f t="shared" si="4"/>
        <v>0</v>
      </c>
      <c r="AY118" s="52"/>
      <c r="AZ118" s="52"/>
      <c r="BA118" s="53"/>
      <c r="BB118" s="53"/>
      <c r="BC118" s="53"/>
      <c r="BD118" s="53"/>
      <c r="BE118" s="53"/>
      <c r="BF118" s="53"/>
      <c r="BG118" s="53"/>
      <c r="BH118" s="53"/>
      <c r="BI118" s="53"/>
      <c r="BJ118" s="53"/>
      <c r="BK118" s="53"/>
      <c r="BL118" s="53"/>
      <c r="BM118" s="53"/>
      <c r="BN118" s="53"/>
      <c r="BO118" s="53"/>
      <c r="BP118" s="53"/>
      <c r="BQ118" s="53"/>
      <c r="BR118" s="53"/>
      <c r="BS118" s="53"/>
      <c r="BT118" s="53"/>
      <c r="BU118" s="53"/>
      <c r="BV118" s="53"/>
      <c r="BW118" s="53"/>
      <c r="BX118" s="53"/>
      <c r="BY118" s="53"/>
      <c r="BZ118" s="53"/>
      <c r="CA118" s="53"/>
      <c r="CB118" s="53"/>
      <c r="CC118" s="53"/>
      <c r="CD118" s="53"/>
      <c r="CE118" s="53"/>
      <c r="CF118" s="53"/>
      <c r="CG118" s="53"/>
      <c r="CH118" s="53"/>
      <c r="CI118" s="53"/>
      <c r="CJ118" s="53"/>
      <c r="CK118" s="53"/>
      <c r="CL118" s="53"/>
      <c r="CM118" s="53"/>
      <c r="CN118" s="53"/>
      <c r="CO118" s="53"/>
      <c r="CP118" s="53"/>
      <c r="CQ118" s="53"/>
      <c r="CR118" s="53"/>
      <c r="CS118" s="53"/>
      <c r="CT118" s="53"/>
      <c r="CU118" s="53"/>
      <c r="CV118" s="53"/>
      <c r="CW118" s="53"/>
      <c r="CX118" s="53"/>
      <c r="CY118" s="53"/>
      <c r="CZ118" s="53"/>
      <c r="DA118" s="53"/>
      <c r="DB118" s="53"/>
      <c r="DC118" s="53"/>
      <c r="DD118" s="53"/>
      <c r="DE118" s="53"/>
      <c r="DF118" s="53"/>
      <c r="DG118" s="53"/>
      <c r="DH118" s="53"/>
      <c r="DI118" s="53"/>
      <c r="DJ118" s="53"/>
      <c r="DK118" s="53"/>
      <c r="DL118" s="53"/>
      <c r="DM118" s="53"/>
      <c r="DN118" s="53"/>
      <c r="DO118" s="53"/>
      <c r="DP118" s="53"/>
      <c r="DQ118" s="53"/>
      <c r="DR118" s="53"/>
      <c r="DS118" s="53"/>
      <c r="DT118" s="53"/>
      <c r="DU118" s="53"/>
      <c r="DV118" s="53"/>
      <c r="DW118" s="53"/>
      <c r="DX118" s="53"/>
      <c r="DY118" s="53"/>
      <c r="DZ118" s="53"/>
      <c r="EA118" s="53"/>
      <c r="EB118" s="53"/>
      <c r="EC118" s="53"/>
      <c r="ED118" s="53"/>
      <c r="EE118" s="53"/>
      <c r="EF118" s="53"/>
      <c r="EG118" s="53"/>
      <c r="EH118" s="53"/>
      <c r="EI118" s="53"/>
      <c r="EJ118" s="53"/>
      <c r="EK118" s="53"/>
      <c r="EL118" s="53"/>
      <c r="EM118" s="53"/>
      <c r="EN118" s="53"/>
      <c r="EO118" s="53"/>
      <c r="EP118" s="53"/>
      <c r="EQ118" s="53"/>
      <c r="ER118" s="54"/>
      <c r="ES118" s="54"/>
      <c r="ET118" s="54"/>
      <c r="EU118" s="54"/>
      <c r="EV118" s="54"/>
      <c r="EW118" s="54"/>
      <c r="EX118" s="54"/>
      <c r="EY118" s="54"/>
      <c r="EZ118" s="54"/>
      <c r="FA118" s="54"/>
      <c r="FB118" s="54"/>
      <c r="FC118" s="54"/>
      <c r="FD118" s="54"/>
      <c r="FE118" s="54"/>
      <c r="FF118" s="54"/>
      <c r="FG118" s="54"/>
      <c r="FH118" s="54"/>
      <c r="FI118" s="54"/>
      <c r="FJ118" s="54"/>
      <c r="FK118" s="54"/>
      <c r="FL118" s="54"/>
      <c r="FM118" s="54"/>
      <c r="FN118" s="54"/>
      <c r="FO118" s="54"/>
      <c r="FP118" s="54"/>
      <c r="FQ118" s="54"/>
    </row>
    <row r="119" spans="1:173" ht="110.25" customHeight="1" x14ac:dyDescent="0.25">
      <c r="A119" s="49" t="s">
        <v>847</v>
      </c>
      <c r="B119" s="49" t="s">
        <v>848</v>
      </c>
      <c r="C119" s="49" t="s">
        <v>849</v>
      </c>
      <c r="D119" s="49" t="s">
        <v>114</v>
      </c>
      <c r="E119" s="50" t="s">
        <v>850</v>
      </c>
      <c r="F119" s="49">
        <v>3092748</v>
      </c>
      <c r="G119" s="49">
        <v>3096741</v>
      </c>
      <c r="H119" s="49" t="s">
        <v>851</v>
      </c>
      <c r="I119" s="49" t="s">
        <v>847</v>
      </c>
      <c r="J119" s="64">
        <v>7.5856481481481483E-2</v>
      </c>
      <c r="K119" s="49" t="s">
        <v>79</v>
      </c>
      <c r="L119" s="50" t="s">
        <v>852</v>
      </c>
      <c r="M119" s="49" t="s">
        <v>853</v>
      </c>
      <c r="N119" s="49" t="s">
        <v>62</v>
      </c>
      <c r="O119" s="49" t="s">
        <v>98</v>
      </c>
      <c r="P119" s="49" t="s">
        <v>64</v>
      </c>
      <c r="Q119" s="49">
        <v>1</v>
      </c>
      <c r="R119" s="49" t="s">
        <v>83</v>
      </c>
      <c r="S119" s="49" t="s">
        <v>66</v>
      </c>
      <c r="T119" s="49" t="s">
        <v>85</v>
      </c>
      <c r="U119" s="49" t="s">
        <v>644</v>
      </c>
      <c r="V119" s="49" t="s">
        <v>274</v>
      </c>
      <c r="W119" s="49" t="s">
        <v>123</v>
      </c>
      <c r="X119" s="51" t="s">
        <v>854</v>
      </c>
      <c r="Y119" s="51" t="s">
        <v>72</v>
      </c>
      <c r="Z119" s="51" t="s">
        <v>855</v>
      </c>
      <c r="AA119" s="29"/>
      <c r="AB119" s="30"/>
      <c r="AC119" s="38"/>
      <c r="AD119" s="29"/>
      <c r="AE119" s="39">
        <v>1</v>
      </c>
      <c r="AF119" s="40"/>
      <c r="AG119" s="32"/>
      <c r="AH119" s="33"/>
      <c r="AI119" s="32"/>
      <c r="AJ119" s="33"/>
      <c r="AK119" s="32"/>
      <c r="AL119" s="33"/>
      <c r="AM119" s="32"/>
      <c r="AN119" s="33"/>
      <c r="AO119" s="34"/>
      <c r="AP119" s="35"/>
      <c r="AQ119" s="34"/>
      <c r="AR119" s="35"/>
      <c r="AS119" s="34"/>
      <c r="AT119" s="35"/>
      <c r="AU119" s="36"/>
      <c r="AV119" s="37"/>
      <c r="AW119" s="36">
        <v>1</v>
      </c>
      <c r="AX119" s="52">
        <f t="shared" si="4"/>
        <v>0</v>
      </c>
      <c r="AY119" s="52"/>
      <c r="AZ119" s="52"/>
    </row>
    <row r="120" spans="1:173" ht="110.25" customHeight="1" x14ac:dyDescent="0.25">
      <c r="A120" s="46" t="s">
        <v>847</v>
      </c>
      <c r="B120" s="46" t="s">
        <v>856</v>
      </c>
      <c r="C120" s="46" t="s">
        <v>849</v>
      </c>
      <c r="D120" s="46" t="s">
        <v>114</v>
      </c>
      <c r="E120" s="47" t="s">
        <v>857</v>
      </c>
      <c r="F120" s="46">
        <v>5613975</v>
      </c>
      <c r="G120" s="46">
        <v>5621186</v>
      </c>
      <c r="H120" s="46" t="s">
        <v>851</v>
      </c>
      <c r="I120" s="46" t="s">
        <v>847</v>
      </c>
      <c r="J120" s="65">
        <v>7.5856481481481483E-2</v>
      </c>
      <c r="K120" s="46" t="s">
        <v>79</v>
      </c>
      <c r="L120" s="46" t="s">
        <v>852</v>
      </c>
      <c r="M120" s="46" t="s">
        <v>853</v>
      </c>
      <c r="N120" s="46" t="s">
        <v>62</v>
      </c>
      <c r="O120" s="46" t="s">
        <v>98</v>
      </c>
      <c r="P120" s="46" t="s">
        <v>64</v>
      </c>
      <c r="Q120" s="46">
        <v>1</v>
      </c>
      <c r="R120" s="46" t="s">
        <v>83</v>
      </c>
      <c r="S120" s="46" t="s">
        <v>66</v>
      </c>
      <c r="T120" s="46" t="s">
        <v>85</v>
      </c>
      <c r="U120" s="46" t="s">
        <v>644</v>
      </c>
      <c r="V120" s="46" t="s">
        <v>274</v>
      </c>
      <c r="W120" s="46" t="s">
        <v>123</v>
      </c>
      <c r="X120" s="48" t="s">
        <v>858</v>
      </c>
      <c r="Y120" s="48" t="s">
        <v>72</v>
      </c>
      <c r="Z120" s="48" t="s">
        <v>859</v>
      </c>
      <c r="AA120" s="29">
        <v>1</v>
      </c>
      <c r="AB120" s="30"/>
      <c r="AC120" s="38"/>
      <c r="AD120" s="29"/>
      <c r="AE120" s="39"/>
      <c r="AF120" s="40"/>
      <c r="AG120" s="32"/>
      <c r="AH120" s="33"/>
      <c r="AI120" s="32"/>
      <c r="AJ120" s="33"/>
      <c r="AK120" s="32"/>
      <c r="AL120" s="33"/>
      <c r="AM120" s="32"/>
      <c r="AN120" s="33"/>
      <c r="AO120" s="34"/>
      <c r="AP120" s="35"/>
      <c r="AQ120" s="34"/>
      <c r="AR120" s="35"/>
      <c r="AS120" s="34"/>
      <c r="AT120" s="35"/>
      <c r="AU120" s="36"/>
      <c r="AV120" s="37"/>
      <c r="AW120" s="36"/>
      <c r="AX120" s="52">
        <f t="shared" si="4"/>
        <v>0</v>
      </c>
      <c r="AY120" s="52"/>
      <c r="AZ120" s="52"/>
    </row>
    <row r="121" spans="1:173" ht="110.25" customHeight="1" x14ac:dyDescent="0.25">
      <c r="A121" s="49" t="s">
        <v>847</v>
      </c>
      <c r="B121" s="49" t="s">
        <v>860</v>
      </c>
      <c r="C121" s="49" t="s">
        <v>849</v>
      </c>
      <c r="D121" s="49" t="s">
        <v>114</v>
      </c>
      <c r="E121" s="50" t="s">
        <v>861</v>
      </c>
      <c r="F121" s="49">
        <v>5625390</v>
      </c>
      <c r="G121" s="49">
        <v>5626170</v>
      </c>
      <c r="H121" s="49" t="s">
        <v>851</v>
      </c>
      <c r="I121" s="49" t="s">
        <v>847</v>
      </c>
      <c r="J121" s="64">
        <v>7.5856481481481483E-2</v>
      </c>
      <c r="K121" s="49" t="s">
        <v>79</v>
      </c>
      <c r="L121" s="49" t="s">
        <v>852</v>
      </c>
      <c r="M121" s="49" t="s">
        <v>853</v>
      </c>
      <c r="N121" s="49" t="s">
        <v>62</v>
      </c>
      <c r="O121" s="49" t="s">
        <v>98</v>
      </c>
      <c r="P121" s="49" t="s">
        <v>64</v>
      </c>
      <c r="Q121" s="49">
        <v>1</v>
      </c>
      <c r="R121" s="49" t="s">
        <v>83</v>
      </c>
      <c r="S121" s="49" t="s">
        <v>66</v>
      </c>
      <c r="T121" s="49" t="s">
        <v>85</v>
      </c>
      <c r="U121" s="49" t="s">
        <v>644</v>
      </c>
      <c r="V121" s="49" t="s">
        <v>274</v>
      </c>
      <c r="W121" s="49" t="s">
        <v>123</v>
      </c>
      <c r="X121" s="51" t="s">
        <v>862</v>
      </c>
      <c r="Y121" s="51" t="s">
        <v>72</v>
      </c>
      <c r="Z121" s="51" t="s">
        <v>863</v>
      </c>
      <c r="AA121" s="29">
        <v>1</v>
      </c>
      <c r="AB121" s="30"/>
      <c r="AC121" s="38"/>
      <c r="AD121" s="29"/>
      <c r="AE121" s="39"/>
      <c r="AF121" s="40"/>
      <c r="AG121" s="32"/>
      <c r="AH121" s="33"/>
      <c r="AI121" s="32"/>
      <c r="AJ121" s="33"/>
      <c r="AK121" s="32"/>
      <c r="AL121" s="33"/>
      <c r="AM121" s="32"/>
      <c r="AN121" s="33"/>
      <c r="AO121" s="34"/>
      <c r="AP121" s="35"/>
      <c r="AQ121" s="34"/>
      <c r="AR121" s="35"/>
      <c r="AS121" s="34"/>
      <c r="AT121" s="35"/>
      <c r="AU121" s="36"/>
      <c r="AV121" s="37"/>
      <c r="AW121" s="36"/>
      <c r="AX121" s="52">
        <f t="shared" si="4"/>
        <v>0</v>
      </c>
      <c r="AY121" s="52"/>
      <c r="AZ121" s="52"/>
    </row>
    <row r="122" spans="1:173" ht="110.25" customHeight="1" x14ac:dyDescent="0.25">
      <c r="A122" s="46" t="s">
        <v>864</v>
      </c>
      <c r="B122" s="46" t="s">
        <v>865</v>
      </c>
      <c r="C122" s="46" t="s">
        <v>866</v>
      </c>
      <c r="D122" s="46">
        <v>2022</v>
      </c>
      <c r="E122" s="47" t="s">
        <v>867</v>
      </c>
      <c r="F122" s="46">
        <v>1720</v>
      </c>
      <c r="G122" s="46">
        <v>9130</v>
      </c>
      <c r="H122" s="46" t="s">
        <v>197</v>
      </c>
      <c r="I122" s="46" t="s">
        <v>864</v>
      </c>
      <c r="J122" s="65">
        <v>3.3923611111111113E-2</v>
      </c>
      <c r="K122" s="46" t="s">
        <v>79</v>
      </c>
      <c r="L122" s="46" t="s">
        <v>868</v>
      </c>
      <c r="M122" s="46" t="s">
        <v>869</v>
      </c>
      <c r="N122" s="46" t="s">
        <v>97</v>
      </c>
      <c r="O122" s="46" t="s">
        <v>63</v>
      </c>
      <c r="P122" s="46" t="s">
        <v>64</v>
      </c>
      <c r="Q122" s="46">
        <v>2</v>
      </c>
      <c r="R122" s="46" t="s">
        <v>99</v>
      </c>
      <c r="S122" s="46" t="s">
        <v>84</v>
      </c>
      <c r="T122" s="46" t="s">
        <v>85</v>
      </c>
      <c r="U122" s="46" t="s">
        <v>68</v>
      </c>
      <c r="V122" s="46" t="s">
        <v>86</v>
      </c>
      <c r="W122" s="46" t="s">
        <v>100</v>
      </c>
      <c r="X122" s="48" t="s">
        <v>870</v>
      </c>
      <c r="Y122" s="48" t="s">
        <v>72</v>
      </c>
      <c r="Z122" s="48" t="s">
        <v>871</v>
      </c>
      <c r="AA122" s="29">
        <v>1</v>
      </c>
      <c r="AB122" s="30"/>
      <c r="AC122" s="38"/>
      <c r="AD122" s="29"/>
      <c r="AE122" s="39"/>
      <c r="AF122" s="40"/>
      <c r="AG122" s="32"/>
      <c r="AH122" s="33"/>
      <c r="AI122" s="32"/>
      <c r="AJ122" s="33"/>
      <c r="AK122" s="32"/>
      <c r="AL122" s="33"/>
      <c r="AM122" s="32"/>
      <c r="AN122" s="33"/>
      <c r="AO122" s="34"/>
      <c r="AP122" s="35"/>
      <c r="AQ122" s="34"/>
      <c r="AR122" s="35"/>
      <c r="AS122" s="34"/>
      <c r="AT122" s="35"/>
      <c r="AU122" s="36"/>
      <c r="AV122" s="37"/>
      <c r="AW122" s="36"/>
      <c r="AX122" s="52">
        <f t="shared" si="4"/>
        <v>0</v>
      </c>
      <c r="AY122" s="52"/>
      <c r="AZ122" s="52"/>
    </row>
    <row r="123" spans="1:173" ht="110.25" customHeight="1" x14ac:dyDescent="0.25">
      <c r="A123" s="49" t="s">
        <v>864</v>
      </c>
      <c r="B123" s="49" t="s">
        <v>872</v>
      </c>
      <c r="C123" s="49" t="s">
        <v>866</v>
      </c>
      <c r="D123" s="49">
        <v>2022</v>
      </c>
      <c r="E123" s="50" t="s">
        <v>873</v>
      </c>
      <c r="F123" s="49">
        <v>488180</v>
      </c>
      <c r="G123" s="49">
        <v>494620</v>
      </c>
      <c r="H123" s="49" t="s">
        <v>197</v>
      </c>
      <c r="I123" s="49" t="s">
        <v>864</v>
      </c>
      <c r="J123" s="64">
        <v>3.3923611111111113E-2</v>
      </c>
      <c r="K123" s="49" t="s">
        <v>79</v>
      </c>
      <c r="L123" s="49" t="s">
        <v>868</v>
      </c>
      <c r="M123" s="49" t="s">
        <v>869</v>
      </c>
      <c r="N123" s="49" t="s">
        <v>97</v>
      </c>
      <c r="O123" s="49" t="s">
        <v>63</v>
      </c>
      <c r="P123" s="49" t="s">
        <v>64</v>
      </c>
      <c r="Q123" s="49">
        <v>2</v>
      </c>
      <c r="R123" s="49" t="s">
        <v>99</v>
      </c>
      <c r="S123" s="49" t="s">
        <v>84</v>
      </c>
      <c r="T123" s="49" t="s">
        <v>85</v>
      </c>
      <c r="U123" s="49" t="s">
        <v>68</v>
      </c>
      <c r="V123" s="49" t="s">
        <v>86</v>
      </c>
      <c r="W123" s="49" t="s">
        <v>100</v>
      </c>
      <c r="X123" s="51" t="s">
        <v>874</v>
      </c>
      <c r="Y123" s="51" t="s">
        <v>72</v>
      </c>
      <c r="Z123" s="51" t="s">
        <v>875</v>
      </c>
      <c r="AA123" s="29"/>
      <c r="AB123" s="30"/>
      <c r="AC123" s="38"/>
      <c r="AD123" s="29"/>
      <c r="AE123" s="39">
        <v>1</v>
      </c>
      <c r="AF123" s="40">
        <v>1</v>
      </c>
      <c r="AG123" s="32"/>
      <c r="AH123" s="33"/>
      <c r="AI123" s="32"/>
      <c r="AJ123" s="33"/>
      <c r="AK123" s="32"/>
      <c r="AL123" s="33"/>
      <c r="AM123" s="32"/>
      <c r="AN123" s="33"/>
      <c r="AO123" s="34"/>
      <c r="AP123" s="35"/>
      <c r="AQ123" s="34"/>
      <c r="AR123" s="35"/>
      <c r="AS123" s="34"/>
      <c r="AT123" s="35"/>
      <c r="AU123" s="36"/>
      <c r="AV123" s="37"/>
      <c r="AW123" s="36">
        <v>1</v>
      </c>
      <c r="AX123" s="52">
        <f t="shared" si="4"/>
        <v>0</v>
      </c>
      <c r="AY123" s="52"/>
      <c r="AZ123" s="52"/>
    </row>
    <row r="124" spans="1:173" ht="110.25" customHeight="1" x14ac:dyDescent="0.25">
      <c r="A124" s="46" t="s">
        <v>864</v>
      </c>
      <c r="B124" s="46" t="s">
        <v>876</v>
      </c>
      <c r="C124" s="46" t="s">
        <v>866</v>
      </c>
      <c r="D124" s="46">
        <v>2022</v>
      </c>
      <c r="E124" s="47" t="s">
        <v>877</v>
      </c>
      <c r="F124" s="46">
        <v>624683</v>
      </c>
      <c r="G124" s="46">
        <v>628683</v>
      </c>
      <c r="H124" s="46" t="s">
        <v>197</v>
      </c>
      <c r="I124" s="46" t="s">
        <v>864</v>
      </c>
      <c r="J124" s="65">
        <v>3.3923611111111113E-2</v>
      </c>
      <c r="K124" s="46" t="s">
        <v>79</v>
      </c>
      <c r="L124" s="46" t="s">
        <v>868</v>
      </c>
      <c r="M124" s="46" t="s">
        <v>869</v>
      </c>
      <c r="N124" s="46" t="s">
        <v>97</v>
      </c>
      <c r="O124" s="46" t="s">
        <v>63</v>
      </c>
      <c r="P124" s="46" t="s">
        <v>64</v>
      </c>
      <c r="Q124" s="46">
        <v>2</v>
      </c>
      <c r="R124" s="46" t="s">
        <v>99</v>
      </c>
      <c r="S124" s="46" t="s">
        <v>84</v>
      </c>
      <c r="T124" s="46" t="s">
        <v>85</v>
      </c>
      <c r="U124" s="46" t="s">
        <v>68</v>
      </c>
      <c r="V124" s="46" t="s">
        <v>86</v>
      </c>
      <c r="W124" s="46" t="s">
        <v>100</v>
      </c>
      <c r="X124" s="48" t="s">
        <v>878</v>
      </c>
      <c r="Y124" s="48" t="s">
        <v>72</v>
      </c>
      <c r="Z124" s="48" t="s">
        <v>879</v>
      </c>
      <c r="AA124" s="29"/>
      <c r="AB124" s="30"/>
      <c r="AC124" s="38"/>
      <c r="AD124" s="29"/>
      <c r="AE124" s="39">
        <v>1</v>
      </c>
      <c r="AF124" s="40"/>
      <c r="AG124" s="32"/>
      <c r="AH124" s="33"/>
      <c r="AI124" s="32"/>
      <c r="AJ124" s="33"/>
      <c r="AK124" s="32"/>
      <c r="AL124" s="33"/>
      <c r="AM124" s="32"/>
      <c r="AN124" s="33"/>
      <c r="AO124" s="34"/>
      <c r="AP124" s="35"/>
      <c r="AQ124" s="34"/>
      <c r="AR124" s="35"/>
      <c r="AS124" s="34"/>
      <c r="AT124" s="35"/>
      <c r="AU124" s="36"/>
      <c r="AV124" s="37">
        <v>1</v>
      </c>
      <c r="AW124" s="36"/>
      <c r="AX124" s="52">
        <f t="shared" si="4"/>
        <v>0</v>
      </c>
      <c r="AY124" s="52"/>
      <c r="AZ124" s="52"/>
    </row>
    <row r="125" spans="1:173" ht="110.25" customHeight="1" x14ac:dyDescent="0.25">
      <c r="A125" s="49" t="s">
        <v>864</v>
      </c>
      <c r="B125" s="49" t="s">
        <v>880</v>
      </c>
      <c r="C125" s="49" t="s">
        <v>866</v>
      </c>
      <c r="D125" s="49">
        <v>2022</v>
      </c>
      <c r="E125" s="50" t="s">
        <v>881</v>
      </c>
      <c r="F125" s="49">
        <v>1968160</v>
      </c>
      <c r="G125" s="49">
        <v>1971690</v>
      </c>
      <c r="H125" s="49" t="s">
        <v>197</v>
      </c>
      <c r="I125" s="49" t="s">
        <v>864</v>
      </c>
      <c r="J125" s="64">
        <v>3.3923611111111113E-2</v>
      </c>
      <c r="K125" s="49" t="s">
        <v>79</v>
      </c>
      <c r="L125" s="49" t="s">
        <v>868</v>
      </c>
      <c r="M125" s="49" t="s">
        <v>869</v>
      </c>
      <c r="N125" s="49" t="s">
        <v>97</v>
      </c>
      <c r="O125" s="49" t="s">
        <v>63</v>
      </c>
      <c r="P125" s="49" t="s">
        <v>64</v>
      </c>
      <c r="Q125" s="49">
        <v>2</v>
      </c>
      <c r="R125" s="49" t="s">
        <v>99</v>
      </c>
      <c r="S125" s="49" t="s">
        <v>84</v>
      </c>
      <c r="T125" s="49" t="s">
        <v>85</v>
      </c>
      <c r="U125" s="49" t="s">
        <v>68</v>
      </c>
      <c r="V125" s="49" t="s">
        <v>86</v>
      </c>
      <c r="W125" s="49" t="s">
        <v>100</v>
      </c>
      <c r="X125" s="51" t="s">
        <v>882</v>
      </c>
      <c r="Y125" s="51" t="s">
        <v>72</v>
      </c>
      <c r="Z125" s="51" t="s">
        <v>883</v>
      </c>
      <c r="AA125" s="29"/>
      <c r="AB125" s="30"/>
      <c r="AC125" s="38"/>
      <c r="AD125" s="29"/>
      <c r="AE125" s="39">
        <v>1</v>
      </c>
      <c r="AF125" s="40"/>
      <c r="AG125" s="32">
        <v>1</v>
      </c>
      <c r="AH125" s="33"/>
      <c r="AI125" s="32"/>
      <c r="AJ125" s="33"/>
      <c r="AK125" s="32"/>
      <c r="AL125" s="33"/>
      <c r="AM125" s="32"/>
      <c r="AN125" s="33"/>
      <c r="AO125" s="34"/>
      <c r="AP125" s="35"/>
      <c r="AQ125" s="34"/>
      <c r="AR125" s="35"/>
      <c r="AS125" s="34"/>
      <c r="AT125" s="35"/>
      <c r="AU125" s="36"/>
      <c r="AV125" s="37">
        <v>1</v>
      </c>
      <c r="AW125" s="36"/>
      <c r="AX125" s="52">
        <f t="shared" si="4"/>
        <v>1</v>
      </c>
      <c r="AY125" s="52"/>
      <c r="AZ125" s="52"/>
    </row>
    <row r="126" spans="1:173" ht="110.25" customHeight="1" x14ac:dyDescent="0.25">
      <c r="A126" s="46" t="s">
        <v>864</v>
      </c>
      <c r="B126" s="46" t="s">
        <v>884</v>
      </c>
      <c r="C126" s="46" t="s">
        <v>866</v>
      </c>
      <c r="D126" s="46">
        <v>2022</v>
      </c>
      <c r="E126" s="47" t="s">
        <v>885</v>
      </c>
      <c r="F126" s="46">
        <v>2276930</v>
      </c>
      <c r="G126" s="46">
        <v>2279750</v>
      </c>
      <c r="H126" s="46" t="s">
        <v>197</v>
      </c>
      <c r="I126" s="46" t="s">
        <v>864</v>
      </c>
      <c r="J126" s="65">
        <v>3.3923611111111113E-2</v>
      </c>
      <c r="K126" s="46" t="s">
        <v>79</v>
      </c>
      <c r="L126" s="46" t="s">
        <v>868</v>
      </c>
      <c r="M126" s="46" t="s">
        <v>869</v>
      </c>
      <c r="N126" s="46" t="s">
        <v>97</v>
      </c>
      <c r="O126" s="46" t="s">
        <v>63</v>
      </c>
      <c r="P126" s="46" t="s">
        <v>64</v>
      </c>
      <c r="Q126" s="46">
        <v>2</v>
      </c>
      <c r="R126" s="46" t="s">
        <v>99</v>
      </c>
      <c r="S126" s="46" t="s">
        <v>84</v>
      </c>
      <c r="T126" s="46" t="s">
        <v>85</v>
      </c>
      <c r="U126" s="46" t="s">
        <v>68</v>
      </c>
      <c r="V126" s="46" t="s">
        <v>86</v>
      </c>
      <c r="W126" s="46" t="s">
        <v>100</v>
      </c>
      <c r="X126" s="48" t="s">
        <v>886</v>
      </c>
      <c r="Y126" s="48" t="s">
        <v>72</v>
      </c>
      <c r="Z126" s="48" t="s">
        <v>887</v>
      </c>
      <c r="AA126" s="29"/>
      <c r="AB126" s="30"/>
      <c r="AC126" s="38"/>
      <c r="AD126" s="29"/>
      <c r="AE126" s="39">
        <v>1</v>
      </c>
      <c r="AF126" s="40"/>
      <c r="AG126" s="32"/>
      <c r="AH126" s="33"/>
      <c r="AI126" s="32"/>
      <c r="AJ126" s="33"/>
      <c r="AK126" s="32"/>
      <c r="AL126" s="33"/>
      <c r="AM126" s="32"/>
      <c r="AN126" s="33"/>
      <c r="AO126" s="34"/>
      <c r="AP126" s="35"/>
      <c r="AQ126" s="34"/>
      <c r="AR126" s="35"/>
      <c r="AS126" s="34"/>
      <c r="AT126" s="35"/>
      <c r="AU126" s="36"/>
      <c r="AV126" s="37">
        <v>1</v>
      </c>
      <c r="AW126" s="36"/>
      <c r="AX126" s="52">
        <f t="shared" si="4"/>
        <v>0</v>
      </c>
      <c r="AY126" s="52"/>
      <c r="AZ126" s="52"/>
    </row>
    <row r="127" spans="1:173" ht="110.25" customHeight="1" x14ac:dyDescent="0.25">
      <c r="A127" s="49" t="s">
        <v>864</v>
      </c>
      <c r="B127" s="49" t="s">
        <v>888</v>
      </c>
      <c r="C127" s="49" t="s">
        <v>866</v>
      </c>
      <c r="D127" s="49">
        <v>2022</v>
      </c>
      <c r="E127" s="50" t="s">
        <v>889</v>
      </c>
      <c r="F127" s="49">
        <v>2469230</v>
      </c>
      <c r="G127" s="49">
        <v>2470960</v>
      </c>
      <c r="H127" s="49" t="s">
        <v>197</v>
      </c>
      <c r="I127" s="49" t="s">
        <v>864</v>
      </c>
      <c r="J127" s="64">
        <v>3.3923611111111113E-2</v>
      </c>
      <c r="K127" s="49" t="s">
        <v>79</v>
      </c>
      <c r="L127" s="49" t="s">
        <v>868</v>
      </c>
      <c r="M127" s="49" t="s">
        <v>869</v>
      </c>
      <c r="N127" s="49" t="s">
        <v>97</v>
      </c>
      <c r="O127" s="49" t="s">
        <v>63</v>
      </c>
      <c r="P127" s="49" t="s">
        <v>64</v>
      </c>
      <c r="Q127" s="49">
        <v>2</v>
      </c>
      <c r="R127" s="49" t="s">
        <v>99</v>
      </c>
      <c r="S127" s="49" t="s">
        <v>84</v>
      </c>
      <c r="T127" s="49" t="s">
        <v>85</v>
      </c>
      <c r="U127" s="49" t="s">
        <v>68</v>
      </c>
      <c r="V127" s="49" t="s">
        <v>86</v>
      </c>
      <c r="W127" s="49" t="s">
        <v>100</v>
      </c>
      <c r="X127" s="51" t="s">
        <v>890</v>
      </c>
      <c r="Y127" s="51" t="s">
        <v>72</v>
      </c>
      <c r="Z127" s="51" t="s">
        <v>891</v>
      </c>
      <c r="AA127" s="29"/>
      <c r="AB127" s="30"/>
      <c r="AC127" s="38"/>
      <c r="AD127" s="29"/>
      <c r="AE127" s="39">
        <v>1</v>
      </c>
      <c r="AF127" s="40"/>
      <c r="AG127" s="32">
        <v>1</v>
      </c>
      <c r="AH127" s="33"/>
      <c r="AI127" s="32"/>
      <c r="AJ127" s="33"/>
      <c r="AK127" s="32"/>
      <c r="AL127" s="33"/>
      <c r="AM127" s="32"/>
      <c r="AN127" s="33"/>
      <c r="AO127" s="34"/>
      <c r="AP127" s="35"/>
      <c r="AQ127" s="34"/>
      <c r="AR127" s="35"/>
      <c r="AS127" s="34"/>
      <c r="AT127" s="35"/>
      <c r="AU127" s="36"/>
      <c r="AV127" s="37"/>
      <c r="AW127" s="36"/>
      <c r="AX127" s="52">
        <f t="shared" si="4"/>
        <v>0</v>
      </c>
      <c r="AY127" s="52"/>
      <c r="AZ127" s="52"/>
    </row>
    <row r="128" spans="1:173" ht="110.25" customHeight="1" x14ac:dyDescent="0.25">
      <c r="A128" s="46" t="s">
        <v>864</v>
      </c>
      <c r="B128" s="46" t="s">
        <v>892</v>
      </c>
      <c r="C128" s="46" t="s">
        <v>866</v>
      </c>
      <c r="D128" s="46">
        <v>2022</v>
      </c>
      <c r="E128" s="47" t="s">
        <v>893</v>
      </c>
      <c r="F128" s="46">
        <v>2662021</v>
      </c>
      <c r="G128" s="46">
        <v>2662820</v>
      </c>
      <c r="H128" s="46" t="s">
        <v>197</v>
      </c>
      <c r="I128" s="46" t="s">
        <v>864</v>
      </c>
      <c r="J128" s="65">
        <v>3.3923611111111113E-2</v>
      </c>
      <c r="K128" s="46" t="s">
        <v>79</v>
      </c>
      <c r="L128" s="46" t="s">
        <v>868</v>
      </c>
      <c r="M128" s="46" t="s">
        <v>869</v>
      </c>
      <c r="N128" s="46" t="s">
        <v>97</v>
      </c>
      <c r="O128" s="46" t="s">
        <v>63</v>
      </c>
      <c r="P128" s="46" t="s">
        <v>64</v>
      </c>
      <c r="Q128" s="46">
        <v>2</v>
      </c>
      <c r="R128" s="46" t="s">
        <v>99</v>
      </c>
      <c r="S128" s="46" t="s">
        <v>84</v>
      </c>
      <c r="T128" s="46" t="s">
        <v>85</v>
      </c>
      <c r="U128" s="46" t="s">
        <v>68</v>
      </c>
      <c r="V128" s="46" t="s">
        <v>86</v>
      </c>
      <c r="W128" s="46" t="s">
        <v>100</v>
      </c>
      <c r="X128" s="48" t="s">
        <v>894</v>
      </c>
      <c r="Y128" s="48" t="s">
        <v>72</v>
      </c>
      <c r="Z128" s="48" t="s">
        <v>895</v>
      </c>
      <c r="AA128" s="29"/>
      <c r="AB128" s="30"/>
      <c r="AC128" s="38"/>
      <c r="AD128" s="29"/>
      <c r="AE128" s="39">
        <v>1</v>
      </c>
      <c r="AF128" s="40"/>
      <c r="AG128" s="32"/>
      <c r="AH128" s="33">
        <v>1</v>
      </c>
      <c r="AI128" s="32"/>
      <c r="AJ128" s="33"/>
      <c r="AK128" s="32">
        <v>1</v>
      </c>
      <c r="AL128" s="33"/>
      <c r="AM128" s="32"/>
      <c r="AN128" s="33"/>
      <c r="AO128" s="34"/>
      <c r="AP128" s="35"/>
      <c r="AQ128" s="34"/>
      <c r="AR128" s="35"/>
      <c r="AS128" s="34"/>
      <c r="AT128" s="35"/>
      <c r="AU128" s="36"/>
      <c r="AV128" s="37"/>
      <c r="AW128" s="36"/>
      <c r="AX128" s="52">
        <f t="shared" si="4"/>
        <v>1</v>
      </c>
      <c r="AY128" s="52"/>
      <c r="AZ128" s="52"/>
    </row>
    <row r="129" spans="1:52" ht="110.25" customHeight="1" x14ac:dyDescent="0.25">
      <c r="A129" s="49" t="s">
        <v>864</v>
      </c>
      <c r="B129" s="49" t="s">
        <v>896</v>
      </c>
      <c r="C129" s="49" t="s">
        <v>866</v>
      </c>
      <c r="D129" s="49">
        <v>2022</v>
      </c>
      <c r="E129" s="50" t="s">
        <v>897</v>
      </c>
      <c r="F129" s="49">
        <v>2903880</v>
      </c>
      <c r="G129" s="49">
        <v>2907062</v>
      </c>
      <c r="H129" s="49" t="s">
        <v>197</v>
      </c>
      <c r="I129" s="49" t="s">
        <v>864</v>
      </c>
      <c r="J129" s="64">
        <v>3.3923611111111113E-2</v>
      </c>
      <c r="K129" s="49" t="s">
        <v>79</v>
      </c>
      <c r="L129" s="49" t="s">
        <v>868</v>
      </c>
      <c r="M129" s="49" t="s">
        <v>869</v>
      </c>
      <c r="N129" s="49" t="s">
        <v>97</v>
      </c>
      <c r="O129" s="49" t="s">
        <v>63</v>
      </c>
      <c r="P129" s="49" t="s">
        <v>64</v>
      </c>
      <c r="Q129" s="49">
        <v>2</v>
      </c>
      <c r="R129" s="49" t="s">
        <v>99</v>
      </c>
      <c r="S129" s="49" t="s">
        <v>84</v>
      </c>
      <c r="T129" s="49" t="s">
        <v>85</v>
      </c>
      <c r="U129" s="49" t="s">
        <v>68</v>
      </c>
      <c r="V129" s="49" t="s">
        <v>86</v>
      </c>
      <c r="W129" s="49" t="s">
        <v>100</v>
      </c>
      <c r="X129" s="51" t="s">
        <v>898</v>
      </c>
      <c r="Y129" s="51" t="s">
        <v>72</v>
      </c>
      <c r="Z129" s="51" t="s">
        <v>899</v>
      </c>
      <c r="AA129" s="29"/>
      <c r="AB129" s="30"/>
      <c r="AC129" s="38"/>
      <c r="AD129" s="29"/>
      <c r="AE129" s="39">
        <v>1</v>
      </c>
      <c r="AF129" s="40"/>
      <c r="AG129" s="32"/>
      <c r="AH129" s="33"/>
      <c r="AI129" s="32"/>
      <c r="AJ129" s="33"/>
      <c r="AK129" s="32"/>
      <c r="AL129" s="33"/>
      <c r="AM129" s="32"/>
      <c r="AN129" s="33"/>
      <c r="AO129" s="34"/>
      <c r="AP129" s="35"/>
      <c r="AQ129" s="34"/>
      <c r="AR129" s="35"/>
      <c r="AS129" s="34"/>
      <c r="AT129" s="35"/>
      <c r="AU129" s="36"/>
      <c r="AV129" s="37">
        <v>1</v>
      </c>
      <c r="AW129" s="36"/>
      <c r="AX129" s="52">
        <f t="shared" si="4"/>
        <v>0</v>
      </c>
      <c r="AY129" s="52"/>
      <c r="AZ129" s="52"/>
    </row>
    <row r="130" spans="1:52" ht="110.25" customHeight="1" x14ac:dyDescent="0.25">
      <c r="A130" s="46" t="s">
        <v>864</v>
      </c>
      <c r="B130" s="46" t="s">
        <v>900</v>
      </c>
      <c r="C130" s="46" t="s">
        <v>866</v>
      </c>
      <c r="D130" s="46">
        <v>2022</v>
      </c>
      <c r="E130" s="46" t="s">
        <v>897</v>
      </c>
      <c r="F130" s="46">
        <v>2903880</v>
      </c>
      <c r="G130" s="46">
        <v>2907062</v>
      </c>
      <c r="H130" s="46" t="s">
        <v>197</v>
      </c>
      <c r="I130" s="46" t="s">
        <v>864</v>
      </c>
      <c r="J130" s="65">
        <v>3.3923611111111113E-2</v>
      </c>
      <c r="K130" s="46" t="s">
        <v>79</v>
      </c>
      <c r="L130" s="46" t="s">
        <v>868</v>
      </c>
      <c r="M130" s="46" t="s">
        <v>869</v>
      </c>
      <c r="N130" s="46" t="s">
        <v>97</v>
      </c>
      <c r="O130" s="46" t="s">
        <v>63</v>
      </c>
      <c r="P130" s="46" t="s">
        <v>64</v>
      </c>
      <c r="Q130" s="46">
        <v>2</v>
      </c>
      <c r="R130" s="46" t="s">
        <v>99</v>
      </c>
      <c r="S130" s="46" t="s">
        <v>84</v>
      </c>
      <c r="T130" s="46" t="s">
        <v>85</v>
      </c>
      <c r="U130" s="46" t="s">
        <v>68</v>
      </c>
      <c r="V130" s="46" t="s">
        <v>86</v>
      </c>
      <c r="W130" s="46" t="s">
        <v>100</v>
      </c>
      <c r="X130" s="48" t="s">
        <v>901</v>
      </c>
      <c r="Y130" s="48" t="s">
        <v>72</v>
      </c>
      <c r="Z130" s="48" t="s">
        <v>902</v>
      </c>
      <c r="AA130" s="29"/>
      <c r="AB130" s="30"/>
      <c r="AC130" s="38"/>
      <c r="AD130" s="29"/>
      <c r="AE130" s="39">
        <v>1</v>
      </c>
      <c r="AF130" s="40"/>
      <c r="AG130" s="32"/>
      <c r="AH130" s="33"/>
      <c r="AI130" s="32"/>
      <c r="AJ130" s="33"/>
      <c r="AK130" s="32"/>
      <c r="AL130" s="33"/>
      <c r="AM130" s="32"/>
      <c r="AN130" s="33"/>
      <c r="AO130" s="34"/>
      <c r="AP130" s="35"/>
      <c r="AQ130" s="34"/>
      <c r="AR130" s="35"/>
      <c r="AS130" s="34"/>
      <c r="AT130" s="35"/>
      <c r="AU130" s="36"/>
      <c r="AV130" s="37">
        <v>1</v>
      </c>
      <c r="AW130" s="36"/>
      <c r="AX130" s="52">
        <f t="shared" si="4"/>
        <v>0</v>
      </c>
      <c r="AY130" s="52"/>
      <c r="AZ130" s="52"/>
    </row>
    <row r="131" spans="1:52" ht="110.25" customHeight="1" x14ac:dyDescent="0.25">
      <c r="A131" s="49" t="s">
        <v>903</v>
      </c>
      <c r="B131" s="49" t="s">
        <v>904</v>
      </c>
      <c r="C131" s="49" t="s">
        <v>905</v>
      </c>
      <c r="D131" s="49">
        <v>2022</v>
      </c>
      <c r="E131" s="50" t="s">
        <v>906</v>
      </c>
      <c r="F131" s="49">
        <v>1821170</v>
      </c>
      <c r="G131" s="49">
        <v>1822674</v>
      </c>
      <c r="H131" s="49" t="s">
        <v>907</v>
      </c>
      <c r="I131" s="49" t="s">
        <v>903</v>
      </c>
      <c r="J131" s="64">
        <v>2.1354166666666667E-2</v>
      </c>
      <c r="K131" s="49" t="s">
        <v>79</v>
      </c>
      <c r="L131" s="49" t="s">
        <v>908</v>
      </c>
      <c r="M131" s="49" t="s">
        <v>909</v>
      </c>
      <c r="N131" s="49" t="s">
        <v>97</v>
      </c>
      <c r="O131" s="49" t="s">
        <v>63</v>
      </c>
      <c r="P131" s="49" t="s">
        <v>64</v>
      </c>
      <c r="Q131" s="49">
        <v>2</v>
      </c>
      <c r="R131" s="49" t="s">
        <v>99</v>
      </c>
      <c r="S131" s="49" t="s">
        <v>84</v>
      </c>
      <c r="T131" s="49" t="s">
        <v>85</v>
      </c>
      <c r="U131" s="49" t="s">
        <v>121</v>
      </c>
      <c r="V131" s="49" t="s">
        <v>86</v>
      </c>
      <c r="W131" s="49" t="s">
        <v>100</v>
      </c>
      <c r="X131" s="51" t="s">
        <v>910</v>
      </c>
      <c r="Y131" s="51" t="s">
        <v>72</v>
      </c>
      <c r="Z131" s="51" t="s">
        <v>911</v>
      </c>
      <c r="AA131" s="29"/>
      <c r="AB131" s="30"/>
      <c r="AC131" s="38"/>
      <c r="AD131" s="29"/>
      <c r="AE131" s="39">
        <v>1</v>
      </c>
      <c r="AF131" s="40"/>
      <c r="AG131" s="32"/>
      <c r="AH131" s="33"/>
      <c r="AI131" s="32"/>
      <c r="AJ131" s="33"/>
      <c r="AK131" s="32"/>
      <c r="AL131" s="33"/>
      <c r="AM131" s="32"/>
      <c r="AN131" s="33"/>
      <c r="AO131" s="34"/>
      <c r="AP131" s="35"/>
      <c r="AQ131" s="34">
        <v>1</v>
      </c>
      <c r="AR131" s="35"/>
      <c r="AS131" s="34"/>
      <c r="AT131" s="35"/>
      <c r="AU131" s="36"/>
      <c r="AV131" s="37"/>
      <c r="AW131" s="36"/>
      <c r="AX131" s="52">
        <f t="shared" si="4"/>
        <v>0</v>
      </c>
      <c r="AY131" s="52"/>
      <c r="AZ131" s="52"/>
    </row>
    <row r="132" spans="1:52" ht="110.25" customHeight="1" x14ac:dyDescent="0.25">
      <c r="A132" s="46" t="s">
        <v>912</v>
      </c>
      <c r="B132" s="46" t="s">
        <v>913</v>
      </c>
      <c r="C132" s="46" t="s">
        <v>914</v>
      </c>
      <c r="D132" s="46">
        <v>2023</v>
      </c>
      <c r="E132" s="47" t="s">
        <v>915</v>
      </c>
      <c r="F132" s="46">
        <v>101556</v>
      </c>
      <c r="G132" s="46">
        <v>105020</v>
      </c>
      <c r="H132" s="46" t="s">
        <v>916</v>
      </c>
      <c r="I132" s="46" t="s">
        <v>912</v>
      </c>
      <c r="J132" s="65">
        <v>3.1608796296296295E-2</v>
      </c>
      <c r="K132" s="46" t="s">
        <v>79</v>
      </c>
      <c r="L132" s="46" t="s">
        <v>917</v>
      </c>
      <c r="M132" s="46" t="s">
        <v>918</v>
      </c>
      <c r="N132" s="46" t="s">
        <v>97</v>
      </c>
      <c r="O132" s="46" t="s">
        <v>63</v>
      </c>
      <c r="P132" s="46" t="s">
        <v>64</v>
      </c>
      <c r="Q132" s="46">
        <v>2</v>
      </c>
      <c r="R132" s="46" t="s">
        <v>99</v>
      </c>
      <c r="S132" s="46" t="s">
        <v>84</v>
      </c>
      <c r="T132" s="46" t="s">
        <v>85</v>
      </c>
      <c r="U132" s="46" t="s">
        <v>68</v>
      </c>
      <c r="V132" s="46" t="s">
        <v>86</v>
      </c>
      <c r="W132" s="46" t="s">
        <v>100</v>
      </c>
      <c r="X132" s="48" t="s">
        <v>919</v>
      </c>
      <c r="Y132" s="48" t="s">
        <v>72</v>
      </c>
      <c r="Z132" s="48" t="s">
        <v>920</v>
      </c>
      <c r="AA132" s="29">
        <v>1</v>
      </c>
      <c r="AB132" s="30"/>
      <c r="AC132" s="38"/>
      <c r="AD132" s="29"/>
      <c r="AE132" s="39"/>
      <c r="AF132" s="40"/>
      <c r="AG132" s="32"/>
      <c r="AH132" s="33"/>
      <c r="AI132" s="32"/>
      <c r="AJ132" s="33"/>
      <c r="AK132" s="32"/>
      <c r="AL132" s="33"/>
      <c r="AM132" s="32"/>
      <c r="AN132" s="33"/>
      <c r="AO132" s="34"/>
      <c r="AP132" s="35"/>
      <c r="AQ132" s="34"/>
      <c r="AR132" s="35"/>
      <c r="AS132" s="34"/>
      <c r="AT132" s="35"/>
      <c r="AU132" s="36"/>
      <c r="AV132" s="37"/>
      <c r="AW132" s="36"/>
      <c r="AX132" s="52">
        <f t="shared" si="4"/>
        <v>0</v>
      </c>
      <c r="AY132" s="52"/>
      <c r="AZ132" s="52"/>
    </row>
    <row r="133" spans="1:52" ht="110.25" customHeight="1" x14ac:dyDescent="0.25">
      <c r="A133" s="49" t="s">
        <v>912</v>
      </c>
      <c r="B133" s="49" t="s">
        <v>921</v>
      </c>
      <c r="C133" s="49" t="s">
        <v>914</v>
      </c>
      <c r="D133" s="49">
        <v>2023</v>
      </c>
      <c r="E133" s="50" t="s">
        <v>922</v>
      </c>
      <c r="F133" s="49">
        <v>383801</v>
      </c>
      <c r="G133" s="49">
        <v>385770</v>
      </c>
      <c r="H133" s="49" t="s">
        <v>916</v>
      </c>
      <c r="I133" s="49" t="s">
        <v>912</v>
      </c>
      <c r="J133" s="64">
        <v>3.1608796296296295E-2</v>
      </c>
      <c r="K133" s="49" t="s">
        <v>79</v>
      </c>
      <c r="L133" s="49" t="s">
        <v>917</v>
      </c>
      <c r="M133" s="49" t="s">
        <v>918</v>
      </c>
      <c r="N133" s="49" t="s">
        <v>97</v>
      </c>
      <c r="O133" s="49" t="s">
        <v>63</v>
      </c>
      <c r="P133" s="49" t="s">
        <v>64</v>
      </c>
      <c r="Q133" s="49">
        <v>2</v>
      </c>
      <c r="R133" s="49" t="s">
        <v>99</v>
      </c>
      <c r="S133" s="49" t="s">
        <v>84</v>
      </c>
      <c r="T133" s="49" t="s">
        <v>85</v>
      </c>
      <c r="U133" s="49" t="s">
        <v>68</v>
      </c>
      <c r="V133" s="49" t="s">
        <v>86</v>
      </c>
      <c r="W133" s="49" t="s">
        <v>100</v>
      </c>
      <c r="X133" s="51" t="s">
        <v>923</v>
      </c>
      <c r="Y133" s="51" t="s">
        <v>72</v>
      </c>
      <c r="Z133" s="51" t="s">
        <v>924</v>
      </c>
      <c r="AA133" s="29">
        <v>1</v>
      </c>
      <c r="AB133" s="30"/>
      <c r="AC133" s="38"/>
      <c r="AD133" s="29"/>
      <c r="AE133" s="39"/>
      <c r="AF133" s="40"/>
      <c r="AG133" s="32"/>
      <c r="AH133" s="33"/>
      <c r="AI133" s="32"/>
      <c r="AJ133" s="33"/>
      <c r="AK133" s="32"/>
      <c r="AL133" s="33"/>
      <c r="AM133" s="32"/>
      <c r="AN133" s="33"/>
      <c r="AO133" s="34"/>
      <c r="AP133" s="35"/>
      <c r="AQ133" s="34"/>
      <c r="AR133" s="35"/>
      <c r="AS133" s="34"/>
      <c r="AT133" s="35"/>
      <c r="AU133" s="36"/>
      <c r="AV133" s="37"/>
      <c r="AW133" s="36"/>
      <c r="AX133" s="52">
        <f t="shared" si="4"/>
        <v>0</v>
      </c>
      <c r="AY133" s="52"/>
      <c r="AZ133" s="52"/>
    </row>
    <row r="134" spans="1:52" ht="110.25" customHeight="1" x14ac:dyDescent="0.25">
      <c r="A134" s="46" t="s">
        <v>912</v>
      </c>
      <c r="B134" s="46" t="s">
        <v>925</v>
      </c>
      <c r="C134" s="46" t="s">
        <v>914</v>
      </c>
      <c r="D134" s="46">
        <v>2023</v>
      </c>
      <c r="E134" s="47" t="s">
        <v>926</v>
      </c>
      <c r="F134" s="46">
        <v>392095</v>
      </c>
      <c r="G134" s="46">
        <v>395384</v>
      </c>
      <c r="H134" s="46" t="s">
        <v>927</v>
      </c>
      <c r="I134" s="46" t="s">
        <v>912</v>
      </c>
      <c r="J134" s="65">
        <v>3.1608796296296295E-2</v>
      </c>
      <c r="K134" s="46" t="s">
        <v>79</v>
      </c>
      <c r="L134" s="46" t="s">
        <v>917</v>
      </c>
      <c r="M134" s="46" t="s">
        <v>918</v>
      </c>
      <c r="N134" s="46" t="s">
        <v>97</v>
      </c>
      <c r="O134" s="46" t="s">
        <v>63</v>
      </c>
      <c r="P134" s="46" t="s">
        <v>64</v>
      </c>
      <c r="Q134" s="46">
        <v>2</v>
      </c>
      <c r="R134" s="46" t="s">
        <v>99</v>
      </c>
      <c r="S134" s="46" t="s">
        <v>84</v>
      </c>
      <c r="T134" s="46" t="s">
        <v>85</v>
      </c>
      <c r="U134" s="46" t="s">
        <v>68</v>
      </c>
      <c r="V134" s="46" t="s">
        <v>86</v>
      </c>
      <c r="W134" s="46" t="s">
        <v>100</v>
      </c>
      <c r="X134" s="48" t="s">
        <v>928</v>
      </c>
      <c r="Y134" s="48" t="s">
        <v>72</v>
      </c>
      <c r="Z134" s="48" t="s">
        <v>929</v>
      </c>
      <c r="AA134" s="29"/>
      <c r="AB134" s="30"/>
      <c r="AC134" s="38"/>
      <c r="AD134" s="29"/>
      <c r="AE134" s="39">
        <v>1</v>
      </c>
      <c r="AF134" s="40"/>
      <c r="AG134" s="32"/>
      <c r="AH134" s="33"/>
      <c r="AI134" s="32"/>
      <c r="AJ134" s="33"/>
      <c r="AK134" s="32"/>
      <c r="AL134" s="33"/>
      <c r="AM134" s="32"/>
      <c r="AN134" s="33"/>
      <c r="AO134" s="34">
        <v>1</v>
      </c>
      <c r="AP134" s="35"/>
      <c r="AQ134" s="34"/>
      <c r="AR134" s="35"/>
      <c r="AS134" s="34"/>
      <c r="AT134" s="35"/>
      <c r="AU134" s="36"/>
      <c r="AV134" s="37"/>
      <c r="AW134" s="36"/>
      <c r="AX134" s="52">
        <f t="shared" si="4"/>
        <v>0</v>
      </c>
      <c r="AY134" s="52"/>
      <c r="AZ134" s="52"/>
    </row>
    <row r="135" spans="1:52" ht="110.25" customHeight="1" x14ac:dyDescent="0.25">
      <c r="A135" s="49" t="s">
        <v>912</v>
      </c>
      <c r="B135" s="49" t="s">
        <v>930</v>
      </c>
      <c r="C135" s="49" t="s">
        <v>914</v>
      </c>
      <c r="D135" s="49">
        <v>2023</v>
      </c>
      <c r="E135" s="50" t="s">
        <v>931</v>
      </c>
      <c r="F135" s="49">
        <v>1591244</v>
      </c>
      <c r="G135" s="49">
        <v>1593962</v>
      </c>
      <c r="H135" s="49" t="s">
        <v>916</v>
      </c>
      <c r="I135" s="49" t="s">
        <v>912</v>
      </c>
      <c r="J135" s="64">
        <v>3.1608796296296295E-2</v>
      </c>
      <c r="K135" s="49" t="s">
        <v>79</v>
      </c>
      <c r="L135" s="49" t="s">
        <v>917</v>
      </c>
      <c r="M135" s="49" t="s">
        <v>918</v>
      </c>
      <c r="N135" s="49" t="s">
        <v>97</v>
      </c>
      <c r="O135" s="49" t="s">
        <v>63</v>
      </c>
      <c r="P135" s="49" t="s">
        <v>64</v>
      </c>
      <c r="Q135" s="49">
        <v>2</v>
      </c>
      <c r="R135" s="49" t="s">
        <v>99</v>
      </c>
      <c r="S135" s="49" t="s">
        <v>84</v>
      </c>
      <c r="T135" s="49" t="s">
        <v>85</v>
      </c>
      <c r="U135" s="49" t="s">
        <v>68</v>
      </c>
      <c r="V135" s="49" t="s">
        <v>86</v>
      </c>
      <c r="W135" s="49" t="s">
        <v>100</v>
      </c>
      <c r="X135" s="51" t="s">
        <v>932</v>
      </c>
      <c r="Y135" s="51" t="s">
        <v>72</v>
      </c>
      <c r="Z135" s="51" t="s">
        <v>933</v>
      </c>
      <c r="AA135" s="29"/>
      <c r="AB135" s="30"/>
      <c r="AC135" s="38"/>
      <c r="AD135" s="29"/>
      <c r="AE135" s="39">
        <v>1</v>
      </c>
      <c r="AF135" s="40"/>
      <c r="AG135" s="32">
        <v>1</v>
      </c>
      <c r="AH135" s="33"/>
      <c r="AI135" s="32"/>
      <c r="AJ135" s="33"/>
      <c r="AK135" s="32"/>
      <c r="AL135" s="33"/>
      <c r="AM135" s="32"/>
      <c r="AN135" s="33"/>
      <c r="AO135" s="34"/>
      <c r="AP135" s="35"/>
      <c r="AQ135" s="34"/>
      <c r="AR135" s="35"/>
      <c r="AS135" s="34"/>
      <c r="AT135" s="35"/>
      <c r="AU135" s="36"/>
      <c r="AV135" s="37"/>
      <c r="AW135" s="36">
        <v>1</v>
      </c>
      <c r="AX135" s="52">
        <f t="shared" si="4"/>
        <v>1</v>
      </c>
      <c r="AY135" s="52"/>
      <c r="AZ135" s="52"/>
    </row>
    <row r="136" spans="1:52" ht="110.25" customHeight="1" x14ac:dyDescent="0.25">
      <c r="A136" s="46" t="s">
        <v>912</v>
      </c>
      <c r="B136" s="46" t="s">
        <v>934</v>
      </c>
      <c r="C136" s="46" t="s">
        <v>914</v>
      </c>
      <c r="D136" s="46">
        <v>2023</v>
      </c>
      <c r="E136" s="47" t="s">
        <v>935</v>
      </c>
      <c r="F136" s="46">
        <v>2564281</v>
      </c>
      <c r="G136" s="46">
        <v>2567060</v>
      </c>
      <c r="H136" s="46" t="s">
        <v>916</v>
      </c>
      <c r="I136" s="46" t="s">
        <v>912</v>
      </c>
      <c r="J136" s="65">
        <v>3.1608796296296295E-2</v>
      </c>
      <c r="K136" s="46" t="s">
        <v>79</v>
      </c>
      <c r="L136" s="46" t="s">
        <v>917</v>
      </c>
      <c r="M136" s="46" t="s">
        <v>918</v>
      </c>
      <c r="N136" s="46" t="s">
        <v>97</v>
      </c>
      <c r="O136" s="46" t="s">
        <v>63</v>
      </c>
      <c r="P136" s="46" t="s">
        <v>64</v>
      </c>
      <c r="Q136" s="46">
        <v>2</v>
      </c>
      <c r="R136" s="46" t="s">
        <v>99</v>
      </c>
      <c r="S136" s="46" t="s">
        <v>84</v>
      </c>
      <c r="T136" s="46" t="s">
        <v>85</v>
      </c>
      <c r="U136" s="46" t="s">
        <v>68</v>
      </c>
      <c r="V136" s="46" t="s">
        <v>86</v>
      </c>
      <c r="W136" s="46" t="s">
        <v>100</v>
      </c>
      <c r="X136" s="48" t="s">
        <v>936</v>
      </c>
      <c r="Y136" s="48" t="s">
        <v>72</v>
      </c>
      <c r="Z136" s="48" t="s">
        <v>937</v>
      </c>
      <c r="AA136" s="29">
        <v>1</v>
      </c>
      <c r="AB136" s="30"/>
      <c r="AC136" s="38"/>
      <c r="AD136" s="29"/>
      <c r="AE136" s="39"/>
      <c r="AF136" s="40"/>
      <c r="AG136" s="32"/>
      <c r="AH136" s="33"/>
      <c r="AI136" s="32"/>
      <c r="AJ136" s="33"/>
      <c r="AK136" s="32"/>
      <c r="AL136" s="33"/>
      <c r="AM136" s="32"/>
      <c r="AN136" s="33"/>
      <c r="AO136" s="34"/>
      <c r="AP136" s="35"/>
      <c r="AQ136" s="34"/>
      <c r="AR136" s="35"/>
      <c r="AS136" s="34"/>
      <c r="AT136" s="35"/>
      <c r="AU136" s="36"/>
      <c r="AV136" s="37"/>
      <c r="AW136" s="36"/>
      <c r="AX136" s="52">
        <f t="shared" si="4"/>
        <v>0</v>
      </c>
      <c r="AY136" s="52"/>
      <c r="AZ136" s="52"/>
    </row>
    <row r="137" spans="1:52" ht="110.25" customHeight="1" x14ac:dyDescent="0.25">
      <c r="A137" s="49" t="s">
        <v>912</v>
      </c>
      <c r="B137" s="49" t="s">
        <v>938</v>
      </c>
      <c r="C137" s="49" t="s">
        <v>914</v>
      </c>
      <c r="D137" s="49">
        <v>2023</v>
      </c>
      <c r="E137" s="50" t="s">
        <v>939</v>
      </c>
      <c r="F137" s="49">
        <v>2726394</v>
      </c>
      <c r="G137" s="49">
        <v>2728479</v>
      </c>
      <c r="H137" s="49" t="s">
        <v>927</v>
      </c>
      <c r="I137" s="49" t="s">
        <v>912</v>
      </c>
      <c r="J137" s="64">
        <v>3.1608796296296295E-2</v>
      </c>
      <c r="K137" s="49" t="s">
        <v>79</v>
      </c>
      <c r="L137" s="49" t="s">
        <v>917</v>
      </c>
      <c r="M137" s="49" t="s">
        <v>918</v>
      </c>
      <c r="N137" s="49" t="s">
        <v>97</v>
      </c>
      <c r="O137" s="49" t="s">
        <v>63</v>
      </c>
      <c r="P137" s="49" t="s">
        <v>64</v>
      </c>
      <c r="Q137" s="49">
        <v>2</v>
      </c>
      <c r="R137" s="49" t="s">
        <v>99</v>
      </c>
      <c r="S137" s="49" t="s">
        <v>84</v>
      </c>
      <c r="T137" s="49" t="s">
        <v>85</v>
      </c>
      <c r="U137" s="49" t="s">
        <v>68</v>
      </c>
      <c r="V137" s="49" t="s">
        <v>86</v>
      </c>
      <c r="W137" s="49" t="s">
        <v>100</v>
      </c>
      <c r="X137" s="51" t="s">
        <v>940</v>
      </c>
      <c r="Y137" s="51" t="s">
        <v>72</v>
      </c>
      <c r="Z137" s="51" t="s">
        <v>941</v>
      </c>
      <c r="AA137" s="29"/>
      <c r="AB137" s="30"/>
      <c r="AC137" s="38"/>
      <c r="AD137" s="29"/>
      <c r="AE137" s="39">
        <v>1</v>
      </c>
      <c r="AF137" s="40">
        <v>1</v>
      </c>
      <c r="AG137" s="32">
        <v>1</v>
      </c>
      <c r="AH137" s="33"/>
      <c r="AI137" s="32"/>
      <c r="AJ137" s="33"/>
      <c r="AK137" s="32"/>
      <c r="AL137" s="33"/>
      <c r="AM137" s="32"/>
      <c r="AN137" s="33">
        <v>1</v>
      </c>
      <c r="AO137" s="34">
        <v>1</v>
      </c>
      <c r="AP137" s="35"/>
      <c r="AQ137" s="34"/>
      <c r="AR137" s="35"/>
      <c r="AS137" s="34"/>
      <c r="AT137" s="35"/>
      <c r="AU137" s="36"/>
      <c r="AV137" s="37">
        <v>1</v>
      </c>
      <c r="AW137" s="36"/>
      <c r="AX137" s="52">
        <f t="shared" si="4"/>
        <v>1</v>
      </c>
      <c r="AY137" s="52"/>
      <c r="AZ137" s="52"/>
    </row>
    <row r="138" spans="1:52" ht="110.25" customHeight="1" x14ac:dyDescent="0.25">
      <c r="A138" s="46" t="s">
        <v>942</v>
      </c>
      <c r="B138" s="46" t="s">
        <v>943</v>
      </c>
      <c r="C138" s="46" t="s">
        <v>944</v>
      </c>
      <c r="D138" s="46">
        <v>2019</v>
      </c>
      <c r="E138" s="47" t="s">
        <v>945</v>
      </c>
      <c r="F138" s="46">
        <v>1379800</v>
      </c>
      <c r="G138" s="46">
        <v>1381940</v>
      </c>
      <c r="H138" s="46" t="s">
        <v>946</v>
      </c>
      <c r="I138" s="46" t="s">
        <v>942</v>
      </c>
      <c r="J138" s="65">
        <v>1.6238425925925927E-2</v>
      </c>
      <c r="K138" s="46" t="s">
        <v>79</v>
      </c>
      <c r="L138" s="46" t="s">
        <v>947</v>
      </c>
      <c r="M138" s="46" t="s">
        <v>948</v>
      </c>
      <c r="N138" s="46" t="s">
        <v>273</v>
      </c>
      <c r="O138" s="46" t="s">
        <v>98</v>
      </c>
      <c r="P138" s="46" t="s">
        <v>120</v>
      </c>
      <c r="Q138" s="46">
        <v>3</v>
      </c>
      <c r="R138" s="46" t="s">
        <v>83</v>
      </c>
      <c r="S138" s="46" t="s">
        <v>84</v>
      </c>
      <c r="T138" s="46" t="s">
        <v>85</v>
      </c>
      <c r="U138" s="46" t="s">
        <v>121</v>
      </c>
      <c r="V138" s="46" t="s">
        <v>86</v>
      </c>
      <c r="W138" s="46" t="s">
        <v>123</v>
      </c>
      <c r="X138" s="48" t="s">
        <v>949</v>
      </c>
      <c r="Y138" s="48" t="s">
        <v>72</v>
      </c>
      <c r="Z138" s="48" t="s">
        <v>950</v>
      </c>
      <c r="AA138" s="29"/>
      <c r="AB138" s="30"/>
      <c r="AC138" s="38"/>
      <c r="AD138" s="29"/>
      <c r="AE138" s="39">
        <v>1</v>
      </c>
      <c r="AF138" s="40"/>
      <c r="AG138" s="32">
        <v>1</v>
      </c>
      <c r="AH138" s="33"/>
      <c r="AI138" s="32"/>
      <c r="AJ138" s="33"/>
      <c r="AK138" s="32"/>
      <c r="AL138" s="33"/>
      <c r="AM138" s="32"/>
      <c r="AN138" s="33"/>
      <c r="AO138" s="34"/>
      <c r="AP138" s="35"/>
      <c r="AQ138" s="34"/>
      <c r="AR138" s="35"/>
      <c r="AS138" s="34"/>
      <c r="AT138" s="35"/>
      <c r="AU138" s="36"/>
      <c r="AV138" s="37">
        <v>1</v>
      </c>
      <c r="AW138" s="36"/>
      <c r="AX138" s="52">
        <f t="shared" si="4"/>
        <v>1</v>
      </c>
      <c r="AY138" s="52"/>
      <c r="AZ138" s="52"/>
    </row>
    <row r="139" spans="1:52" ht="110.25" customHeight="1" x14ac:dyDescent="0.25">
      <c r="A139" s="49" t="s">
        <v>951</v>
      </c>
      <c r="B139" s="49" t="s">
        <v>952</v>
      </c>
      <c r="C139" s="49" t="s">
        <v>953</v>
      </c>
      <c r="D139" s="49">
        <v>2022</v>
      </c>
      <c r="E139" s="50" t="s">
        <v>954</v>
      </c>
      <c r="F139" s="49">
        <v>117144</v>
      </c>
      <c r="G139" s="49">
        <v>121939</v>
      </c>
      <c r="H139" s="49" t="s">
        <v>955</v>
      </c>
      <c r="I139" s="49" t="s">
        <v>951</v>
      </c>
      <c r="J139" s="64">
        <v>2.3692129629629629E-2</v>
      </c>
      <c r="K139" s="49" t="s">
        <v>79</v>
      </c>
      <c r="L139" s="49" t="s">
        <v>956</v>
      </c>
      <c r="M139" s="49" t="s">
        <v>957</v>
      </c>
      <c r="N139" s="49" t="s">
        <v>97</v>
      </c>
      <c r="O139" s="49" t="s">
        <v>98</v>
      </c>
      <c r="P139" s="49" t="s">
        <v>64</v>
      </c>
      <c r="Q139" s="49">
        <v>2</v>
      </c>
      <c r="R139" s="49" t="s">
        <v>473</v>
      </c>
      <c r="S139" s="49" t="s">
        <v>84</v>
      </c>
      <c r="T139" s="49" t="s">
        <v>85</v>
      </c>
      <c r="U139" s="49" t="s">
        <v>68</v>
      </c>
      <c r="V139" s="49" t="s">
        <v>86</v>
      </c>
      <c r="W139" s="49" t="s">
        <v>70</v>
      </c>
      <c r="X139" s="51" t="s">
        <v>958</v>
      </c>
      <c r="Y139" s="51" t="s">
        <v>72</v>
      </c>
      <c r="Z139" s="51" t="s">
        <v>959</v>
      </c>
      <c r="AA139" s="29">
        <v>1</v>
      </c>
      <c r="AB139" s="30"/>
      <c r="AC139" s="38"/>
      <c r="AD139" s="29"/>
      <c r="AE139" s="39"/>
      <c r="AF139" s="40"/>
      <c r="AG139" s="32"/>
      <c r="AH139" s="33"/>
      <c r="AI139" s="32"/>
      <c r="AJ139" s="33"/>
      <c r="AK139" s="32"/>
      <c r="AL139" s="33"/>
      <c r="AM139" s="32"/>
      <c r="AN139" s="33"/>
      <c r="AO139" s="34"/>
      <c r="AP139" s="35"/>
      <c r="AQ139" s="34"/>
      <c r="AR139" s="35"/>
      <c r="AS139" s="34"/>
      <c r="AT139" s="35"/>
      <c r="AU139" s="36"/>
      <c r="AV139" s="37"/>
      <c r="AW139" s="36"/>
      <c r="AX139" s="52">
        <f t="shared" si="4"/>
        <v>0</v>
      </c>
      <c r="AY139" s="52"/>
      <c r="AZ139" s="52"/>
    </row>
    <row r="140" spans="1:52" ht="110.25" customHeight="1" x14ac:dyDescent="0.25">
      <c r="A140" s="46" t="s">
        <v>951</v>
      </c>
      <c r="B140" s="46" t="s">
        <v>960</v>
      </c>
      <c r="C140" s="46" t="s">
        <v>953</v>
      </c>
      <c r="D140" s="46">
        <v>2022</v>
      </c>
      <c r="E140" s="47" t="s">
        <v>961</v>
      </c>
      <c r="F140" s="46">
        <v>721919</v>
      </c>
      <c r="G140" s="46">
        <v>727272</v>
      </c>
      <c r="H140" s="46" t="s">
        <v>955</v>
      </c>
      <c r="I140" s="46" t="s">
        <v>951</v>
      </c>
      <c r="J140" s="65">
        <v>2.3692129629629629E-2</v>
      </c>
      <c r="K140" s="46" t="s">
        <v>79</v>
      </c>
      <c r="L140" s="46" t="s">
        <v>956</v>
      </c>
      <c r="M140" s="46" t="s">
        <v>957</v>
      </c>
      <c r="N140" s="46" t="s">
        <v>97</v>
      </c>
      <c r="O140" s="46" t="s">
        <v>98</v>
      </c>
      <c r="P140" s="46" t="s">
        <v>64</v>
      </c>
      <c r="Q140" s="46">
        <v>2</v>
      </c>
      <c r="R140" s="46" t="s">
        <v>473</v>
      </c>
      <c r="S140" s="46" t="s">
        <v>84</v>
      </c>
      <c r="T140" s="46" t="s">
        <v>85</v>
      </c>
      <c r="U140" s="46" t="s">
        <v>68</v>
      </c>
      <c r="V140" s="46" t="s">
        <v>86</v>
      </c>
      <c r="W140" s="46" t="s">
        <v>70</v>
      </c>
      <c r="X140" s="48" t="s">
        <v>962</v>
      </c>
      <c r="Y140" s="48" t="s">
        <v>72</v>
      </c>
      <c r="Z140" s="48" t="s">
        <v>963</v>
      </c>
      <c r="AA140" s="29">
        <v>1</v>
      </c>
      <c r="AB140" s="30"/>
      <c r="AC140" s="38"/>
      <c r="AD140" s="29"/>
      <c r="AE140" s="39"/>
      <c r="AF140" s="40"/>
      <c r="AG140" s="32"/>
      <c r="AH140" s="33"/>
      <c r="AI140" s="32"/>
      <c r="AJ140" s="33"/>
      <c r="AK140" s="32"/>
      <c r="AL140" s="33"/>
      <c r="AM140" s="32"/>
      <c r="AN140" s="33"/>
      <c r="AO140" s="34"/>
      <c r="AP140" s="35"/>
      <c r="AQ140" s="34"/>
      <c r="AR140" s="35"/>
      <c r="AS140" s="34"/>
      <c r="AT140" s="35"/>
      <c r="AU140" s="36"/>
      <c r="AV140" s="37"/>
      <c r="AW140" s="36"/>
      <c r="AX140" s="52">
        <f t="shared" si="4"/>
        <v>0</v>
      </c>
      <c r="AY140" s="52"/>
      <c r="AZ140" s="52"/>
    </row>
    <row r="141" spans="1:52" ht="110.25" customHeight="1" x14ac:dyDescent="0.25">
      <c r="A141" s="49" t="s">
        <v>951</v>
      </c>
      <c r="B141" s="49" t="s">
        <v>964</v>
      </c>
      <c r="C141" s="49" t="s">
        <v>953</v>
      </c>
      <c r="D141" s="49">
        <v>2022</v>
      </c>
      <c r="E141" s="50" t="s">
        <v>965</v>
      </c>
      <c r="F141" s="49">
        <v>737433</v>
      </c>
      <c r="G141" s="49">
        <v>738485</v>
      </c>
      <c r="H141" s="49" t="s">
        <v>955</v>
      </c>
      <c r="I141" s="49" t="s">
        <v>951</v>
      </c>
      <c r="J141" s="64">
        <v>2.3692129629629629E-2</v>
      </c>
      <c r="K141" s="49" t="s">
        <v>79</v>
      </c>
      <c r="L141" s="49" t="s">
        <v>956</v>
      </c>
      <c r="M141" s="49" t="s">
        <v>957</v>
      </c>
      <c r="N141" s="49" t="s">
        <v>97</v>
      </c>
      <c r="O141" s="49" t="s">
        <v>98</v>
      </c>
      <c r="P141" s="49" t="s">
        <v>64</v>
      </c>
      <c r="Q141" s="49">
        <v>2</v>
      </c>
      <c r="R141" s="49" t="s">
        <v>473</v>
      </c>
      <c r="S141" s="49" t="s">
        <v>84</v>
      </c>
      <c r="T141" s="49" t="s">
        <v>85</v>
      </c>
      <c r="U141" s="49" t="s">
        <v>68</v>
      </c>
      <c r="V141" s="49" t="s">
        <v>86</v>
      </c>
      <c r="W141" s="49" t="s">
        <v>70</v>
      </c>
      <c r="X141" s="51" t="s">
        <v>966</v>
      </c>
      <c r="Y141" s="51" t="s">
        <v>72</v>
      </c>
      <c r="Z141" s="51" t="s">
        <v>967</v>
      </c>
      <c r="AA141" s="29">
        <v>1</v>
      </c>
      <c r="AB141" s="30"/>
      <c r="AC141" s="38"/>
      <c r="AD141" s="29"/>
      <c r="AE141" s="39"/>
      <c r="AF141" s="40"/>
      <c r="AG141" s="32"/>
      <c r="AH141" s="33"/>
      <c r="AI141" s="32"/>
      <c r="AJ141" s="33"/>
      <c r="AK141" s="32"/>
      <c r="AL141" s="33"/>
      <c r="AM141" s="32"/>
      <c r="AN141" s="33"/>
      <c r="AO141" s="34"/>
      <c r="AP141" s="35"/>
      <c r="AQ141" s="34"/>
      <c r="AR141" s="35"/>
      <c r="AS141" s="34"/>
      <c r="AT141" s="35"/>
      <c r="AU141" s="36"/>
      <c r="AV141" s="37"/>
      <c r="AW141" s="36"/>
      <c r="AX141" s="52">
        <f t="shared" si="4"/>
        <v>0</v>
      </c>
      <c r="AY141" s="52"/>
      <c r="AZ141" s="52"/>
    </row>
    <row r="142" spans="1:52" ht="110.25" customHeight="1" x14ac:dyDescent="0.25">
      <c r="A142" s="46" t="s">
        <v>951</v>
      </c>
      <c r="B142" s="46" t="s">
        <v>968</v>
      </c>
      <c r="C142" s="46" t="s">
        <v>953</v>
      </c>
      <c r="D142" s="46">
        <v>2022</v>
      </c>
      <c r="E142" s="47" t="s">
        <v>969</v>
      </c>
      <c r="F142" s="46">
        <v>1686911</v>
      </c>
      <c r="G142" s="46">
        <v>1691279</v>
      </c>
      <c r="H142" s="46" t="s">
        <v>955</v>
      </c>
      <c r="I142" s="46" t="s">
        <v>951</v>
      </c>
      <c r="J142" s="65">
        <v>2.3692129629629629E-2</v>
      </c>
      <c r="K142" s="46" t="s">
        <v>79</v>
      </c>
      <c r="L142" s="46" t="s">
        <v>956</v>
      </c>
      <c r="M142" s="46" t="s">
        <v>957</v>
      </c>
      <c r="N142" s="46" t="s">
        <v>97</v>
      </c>
      <c r="O142" s="46" t="s">
        <v>98</v>
      </c>
      <c r="P142" s="46" t="s">
        <v>64</v>
      </c>
      <c r="Q142" s="46">
        <v>2</v>
      </c>
      <c r="R142" s="46" t="s">
        <v>473</v>
      </c>
      <c r="S142" s="46" t="s">
        <v>84</v>
      </c>
      <c r="T142" s="46" t="s">
        <v>85</v>
      </c>
      <c r="U142" s="46" t="s">
        <v>68</v>
      </c>
      <c r="V142" s="46" t="s">
        <v>86</v>
      </c>
      <c r="W142" s="46" t="s">
        <v>70</v>
      </c>
      <c r="X142" s="48" t="s">
        <v>970</v>
      </c>
      <c r="Y142" s="48" t="s">
        <v>72</v>
      </c>
      <c r="Z142" s="48" t="s">
        <v>971</v>
      </c>
      <c r="AA142" s="29"/>
      <c r="AB142" s="30"/>
      <c r="AC142" s="38"/>
      <c r="AD142" s="29"/>
      <c r="AE142" s="39">
        <v>1</v>
      </c>
      <c r="AF142" s="40">
        <v>1</v>
      </c>
      <c r="AG142" s="32"/>
      <c r="AH142" s="33"/>
      <c r="AI142" s="32"/>
      <c r="AJ142" s="33"/>
      <c r="AK142" s="32"/>
      <c r="AL142" s="33"/>
      <c r="AM142" s="32"/>
      <c r="AN142" s="33"/>
      <c r="AO142" s="34"/>
      <c r="AP142" s="35"/>
      <c r="AQ142" s="34">
        <v>1</v>
      </c>
      <c r="AR142" s="35"/>
      <c r="AS142" s="34"/>
      <c r="AT142" s="35">
        <v>1</v>
      </c>
      <c r="AU142" s="36"/>
      <c r="AV142" s="37">
        <v>1</v>
      </c>
      <c r="AW142" s="36"/>
      <c r="AX142" s="52">
        <f t="shared" si="4"/>
        <v>1</v>
      </c>
      <c r="AY142" s="52"/>
      <c r="AZ142" s="52"/>
    </row>
    <row r="143" spans="1:52" ht="110.25" customHeight="1" x14ac:dyDescent="0.25">
      <c r="A143" s="49" t="s">
        <v>951</v>
      </c>
      <c r="B143" s="49" t="s">
        <v>972</v>
      </c>
      <c r="C143" s="49" t="s">
        <v>953</v>
      </c>
      <c r="D143" s="49">
        <v>2022</v>
      </c>
      <c r="E143" s="49" t="s">
        <v>973</v>
      </c>
      <c r="F143" s="49">
        <v>1692786</v>
      </c>
      <c r="G143" s="49">
        <v>1696022</v>
      </c>
      <c r="H143" s="49" t="s">
        <v>955</v>
      </c>
      <c r="I143" s="49" t="s">
        <v>951</v>
      </c>
      <c r="J143" s="64">
        <v>2.3692129629629629E-2</v>
      </c>
      <c r="K143" s="49" t="s">
        <v>79</v>
      </c>
      <c r="L143" s="49" t="s">
        <v>956</v>
      </c>
      <c r="M143" s="49" t="s">
        <v>957</v>
      </c>
      <c r="N143" s="49" t="s">
        <v>97</v>
      </c>
      <c r="O143" s="49" t="s">
        <v>98</v>
      </c>
      <c r="P143" s="49" t="s">
        <v>64</v>
      </c>
      <c r="Q143" s="49">
        <v>2</v>
      </c>
      <c r="R143" s="49" t="s">
        <v>473</v>
      </c>
      <c r="S143" s="49" t="s">
        <v>84</v>
      </c>
      <c r="T143" s="49" t="s">
        <v>85</v>
      </c>
      <c r="U143" s="49" t="s">
        <v>68</v>
      </c>
      <c r="V143" s="49" t="s">
        <v>86</v>
      </c>
      <c r="W143" s="49" t="s">
        <v>70</v>
      </c>
      <c r="X143" s="51" t="s">
        <v>974</v>
      </c>
      <c r="Y143" s="51" t="s">
        <v>72</v>
      </c>
      <c r="Z143" s="51" t="s">
        <v>975</v>
      </c>
      <c r="AA143" s="29"/>
      <c r="AB143" s="30"/>
      <c r="AC143" s="38"/>
      <c r="AD143" s="29"/>
      <c r="AE143" s="39">
        <v>1</v>
      </c>
      <c r="AF143" s="40">
        <v>1</v>
      </c>
      <c r="AG143" s="32"/>
      <c r="AH143" s="33"/>
      <c r="AI143" s="32"/>
      <c r="AJ143" s="33"/>
      <c r="AK143" s="32"/>
      <c r="AL143" s="33"/>
      <c r="AM143" s="32"/>
      <c r="AN143" s="33"/>
      <c r="AO143" s="34"/>
      <c r="AP143" s="35"/>
      <c r="AQ143" s="34">
        <v>1</v>
      </c>
      <c r="AR143" s="35"/>
      <c r="AS143" s="34"/>
      <c r="AT143" s="35">
        <v>1</v>
      </c>
      <c r="AU143" s="36"/>
      <c r="AV143" s="37">
        <v>1</v>
      </c>
      <c r="AW143" s="36"/>
      <c r="AX143" s="52">
        <f t="shared" si="4"/>
        <v>1</v>
      </c>
      <c r="AY143" s="52"/>
      <c r="AZ143" s="52"/>
    </row>
    <row r="144" spans="1:52" ht="110.25" customHeight="1" x14ac:dyDescent="0.25">
      <c r="A144" s="46" t="s">
        <v>951</v>
      </c>
      <c r="B144" s="46" t="s">
        <v>976</v>
      </c>
      <c r="C144" s="46" t="s">
        <v>953</v>
      </c>
      <c r="D144" s="46">
        <v>2022</v>
      </c>
      <c r="E144" s="47" t="s">
        <v>977</v>
      </c>
      <c r="F144" s="46">
        <v>1729330</v>
      </c>
      <c r="G144" s="46">
        <v>1735867</v>
      </c>
      <c r="H144" s="46" t="s">
        <v>955</v>
      </c>
      <c r="I144" s="46" t="s">
        <v>951</v>
      </c>
      <c r="J144" s="65">
        <v>2.3692129629629629E-2</v>
      </c>
      <c r="K144" s="46" t="s">
        <v>79</v>
      </c>
      <c r="L144" s="46" t="s">
        <v>956</v>
      </c>
      <c r="M144" s="46" t="s">
        <v>957</v>
      </c>
      <c r="N144" s="46" t="s">
        <v>97</v>
      </c>
      <c r="O144" s="46" t="s">
        <v>98</v>
      </c>
      <c r="P144" s="46" t="s">
        <v>64</v>
      </c>
      <c r="Q144" s="46">
        <v>2</v>
      </c>
      <c r="R144" s="46" t="s">
        <v>473</v>
      </c>
      <c r="S144" s="46" t="s">
        <v>84</v>
      </c>
      <c r="T144" s="46" t="s">
        <v>85</v>
      </c>
      <c r="U144" s="46" t="s">
        <v>68</v>
      </c>
      <c r="V144" s="46" t="s">
        <v>86</v>
      </c>
      <c r="W144" s="46" t="s">
        <v>70</v>
      </c>
      <c r="X144" s="48" t="s">
        <v>978</v>
      </c>
      <c r="Y144" s="48" t="s">
        <v>72</v>
      </c>
      <c r="Z144" s="48" t="s">
        <v>979</v>
      </c>
      <c r="AA144" s="29"/>
      <c r="AB144" s="30"/>
      <c r="AC144" s="38"/>
      <c r="AD144" s="29"/>
      <c r="AE144" s="39">
        <v>1</v>
      </c>
      <c r="AF144" s="40"/>
      <c r="AG144" s="32"/>
      <c r="AH144" s="33"/>
      <c r="AI144" s="32"/>
      <c r="AJ144" s="33"/>
      <c r="AK144" s="32">
        <v>1</v>
      </c>
      <c r="AL144" s="33"/>
      <c r="AM144" s="32"/>
      <c r="AN144" s="33"/>
      <c r="AO144" s="34"/>
      <c r="AP144" s="35"/>
      <c r="AQ144" s="34"/>
      <c r="AR144" s="35"/>
      <c r="AS144" s="34"/>
      <c r="AT144" s="35"/>
      <c r="AU144" s="36"/>
      <c r="AV144" s="37">
        <v>1</v>
      </c>
      <c r="AW144" s="36"/>
      <c r="AX144" s="52">
        <f t="shared" si="4"/>
        <v>1</v>
      </c>
      <c r="AY144" s="52"/>
      <c r="AZ144" s="52"/>
    </row>
    <row r="145" spans="1:52" ht="110.25" customHeight="1" x14ac:dyDescent="0.25">
      <c r="A145" s="49" t="s">
        <v>951</v>
      </c>
      <c r="B145" s="49" t="s">
        <v>980</v>
      </c>
      <c r="C145" s="49" t="s">
        <v>953</v>
      </c>
      <c r="D145" s="49">
        <v>2022</v>
      </c>
      <c r="E145" s="50" t="s">
        <v>981</v>
      </c>
      <c r="F145" s="49">
        <v>2025576</v>
      </c>
      <c r="G145" s="49">
        <v>2027865</v>
      </c>
      <c r="H145" s="49" t="s">
        <v>955</v>
      </c>
      <c r="I145" s="49" t="s">
        <v>951</v>
      </c>
      <c r="J145" s="64">
        <v>2.3692129629629629E-2</v>
      </c>
      <c r="K145" s="49" t="s">
        <v>79</v>
      </c>
      <c r="L145" s="49" t="s">
        <v>956</v>
      </c>
      <c r="M145" s="49" t="s">
        <v>957</v>
      </c>
      <c r="N145" s="49" t="s">
        <v>97</v>
      </c>
      <c r="O145" s="49" t="s">
        <v>98</v>
      </c>
      <c r="P145" s="49" t="s">
        <v>64</v>
      </c>
      <c r="Q145" s="49">
        <v>2</v>
      </c>
      <c r="R145" s="49" t="s">
        <v>473</v>
      </c>
      <c r="S145" s="49" t="s">
        <v>84</v>
      </c>
      <c r="T145" s="49" t="s">
        <v>85</v>
      </c>
      <c r="U145" s="49" t="s">
        <v>68</v>
      </c>
      <c r="V145" s="49" t="s">
        <v>86</v>
      </c>
      <c r="W145" s="49" t="s">
        <v>70</v>
      </c>
      <c r="X145" s="51" t="s">
        <v>982</v>
      </c>
      <c r="Y145" s="51" t="s">
        <v>72</v>
      </c>
      <c r="Z145" s="51" t="s">
        <v>983</v>
      </c>
      <c r="AA145" s="29"/>
      <c r="AB145" s="30"/>
      <c r="AC145" s="38"/>
      <c r="AD145" s="29"/>
      <c r="AE145" s="39">
        <v>1</v>
      </c>
      <c r="AF145" s="40"/>
      <c r="AG145" s="32"/>
      <c r="AH145" s="33"/>
      <c r="AI145" s="32"/>
      <c r="AJ145" s="33"/>
      <c r="AK145" s="32"/>
      <c r="AL145" s="33"/>
      <c r="AM145" s="32"/>
      <c r="AN145" s="33"/>
      <c r="AO145" s="34"/>
      <c r="AP145" s="35"/>
      <c r="AQ145" s="34"/>
      <c r="AR145" s="35"/>
      <c r="AS145" s="34"/>
      <c r="AT145" s="35"/>
      <c r="AU145" s="36"/>
      <c r="AV145" s="37">
        <v>1</v>
      </c>
      <c r="AW145" s="36"/>
      <c r="AX145" s="52">
        <f t="shared" si="4"/>
        <v>0</v>
      </c>
      <c r="AY145" s="52"/>
      <c r="AZ145" s="52"/>
    </row>
    <row r="146" spans="1:52" ht="110.25" customHeight="1" x14ac:dyDescent="0.25">
      <c r="A146" s="46" t="s">
        <v>984</v>
      </c>
      <c r="B146" s="46" t="s">
        <v>985</v>
      </c>
      <c r="C146" s="46" t="s">
        <v>986</v>
      </c>
      <c r="D146" s="46" t="s">
        <v>114</v>
      </c>
      <c r="E146" s="47" t="s">
        <v>987</v>
      </c>
      <c r="F146" s="46">
        <v>2673392</v>
      </c>
      <c r="G146" s="46">
        <v>2678522</v>
      </c>
      <c r="H146" s="46" t="s">
        <v>988</v>
      </c>
      <c r="I146" s="46" t="s">
        <v>984</v>
      </c>
      <c r="J146" s="65">
        <v>5.8969907407407408E-2</v>
      </c>
      <c r="K146" s="46" t="s">
        <v>79</v>
      </c>
      <c r="L146" s="46" t="s">
        <v>989</v>
      </c>
      <c r="M146" s="46" t="s">
        <v>990</v>
      </c>
      <c r="N146" s="46" t="s">
        <v>159</v>
      </c>
      <c r="O146" s="46" t="s">
        <v>63</v>
      </c>
      <c r="P146" s="46" t="s">
        <v>64</v>
      </c>
      <c r="Q146" s="46">
        <v>1</v>
      </c>
      <c r="R146" s="46" t="s">
        <v>83</v>
      </c>
      <c r="S146" s="46" t="s">
        <v>66</v>
      </c>
      <c r="T146" s="46" t="s">
        <v>85</v>
      </c>
      <c r="U146" s="46" t="s">
        <v>991</v>
      </c>
      <c r="V146" s="46" t="s">
        <v>274</v>
      </c>
      <c r="W146" s="46" t="s">
        <v>123</v>
      </c>
      <c r="X146" s="48" t="s">
        <v>992</v>
      </c>
      <c r="Y146" s="48" t="s">
        <v>72</v>
      </c>
      <c r="Z146" s="48" t="s">
        <v>993</v>
      </c>
      <c r="AA146" s="29"/>
      <c r="AB146" s="30"/>
      <c r="AC146" s="38"/>
      <c r="AD146" s="29"/>
      <c r="AE146" s="39">
        <v>1</v>
      </c>
      <c r="AF146" s="40">
        <v>1</v>
      </c>
      <c r="AG146" s="32"/>
      <c r="AH146" s="33"/>
      <c r="AI146" s="32"/>
      <c r="AJ146" s="33"/>
      <c r="AK146" s="32"/>
      <c r="AL146" s="33"/>
      <c r="AM146" s="32">
        <v>1</v>
      </c>
      <c r="AN146" s="33"/>
      <c r="AO146" s="34"/>
      <c r="AP146" s="35"/>
      <c r="AQ146" s="34"/>
      <c r="AR146" s="35"/>
      <c r="AS146" s="34"/>
      <c r="AT146" s="35"/>
      <c r="AU146" s="36"/>
      <c r="AV146" s="37">
        <v>1</v>
      </c>
      <c r="AW146" s="36"/>
      <c r="AX146" s="52">
        <f t="shared" si="4"/>
        <v>1</v>
      </c>
      <c r="AY146" s="52"/>
      <c r="AZ146" s="52"/>
    </row>
    <row r="147" spans="1:52" ht="110.25" customHeight="1" x14ac:dyDescent="0.25">
      <c r="A147" s="49" t="s">
        <v>994</v>
      </c>
      <c r="B147" s="49" t="s">
        <v>995</v>
      </c>
      <c r="C147" s="49" t="s">
        <v>996</v>
      </c>
      <c r="D147" s="49" t="s">
        <v>114</v>
      </c>
      <c r="E147" s="50" t="s">
        <v>997</v>
      </c>
      <c r="F147" s="49">
        <v>4148998</v>
      </c>
      <c r="G147" s="49">
        <v>4154095</v>
      </c>
      <c r="H147" s="49" t="s">
        <v>998</v>
      </c>
      <c r="I147" s="49" t="s">
        <v>994</v>
      </c>
      <c r="J147" s="64">
        <v>6.3726851851851854E-2</v>
      </c>
      <c r="K147" s="49" t="s">
        <v>59</v>
      </c>
      <c r="L147" s="49" t="s">
        <v>999</v>
      </c>
      <c r="M147" s="49" t="s">
        <v>1000</v>
      </c>
      <c r="N147" s="49" t="s">
        <v>186</v>
      </c>
      <c r="O147" s="49" t="s">
        <v>98</v>
      </c>
      <c r="P147" s="49" t="s">
        <v>120</v>
      </c>
      <c r="Q147" s="49">
        <v>4</v>
      </c>
      <c r="R147" s="49" t="s">
        <v>99</v>
      </c>
      <c r="S147" s="49" t="s">
        <v>66</v>
      </c>
      <c r="T147" s="49" t="s">
        <v>67</v>
      </c>
      <c r="U147" s="49" t="s">
        <v>153</v>
      </c>
      <c r="V147" s="49" t="s">
        <v>143</v>
      </c>
      <c r="W147" s="49" t="s">
        <v>100</v>
      </c>
      <c r="X147" s="51" t="s">
        <v>1001</v>
      </c>
      <c r="Y147" s="51" t="s">
        <v>72</v>
      </c>
      <c r="Z147" s="51" t="s">
        <v>1002</v>
      </c>
      <c r="AA147" s="29">
        <v>1</v>
      </c>
      <c r="AB147" s="30"/>
      <c r="AC147" s="38"/>
      <c r="AD147" s="29"/>
      <c r="AE147" s="39"/>
      <c r="AF147" s="40"/>
      <c r="AG147" s="32"/>
      <c r="AH147" s="33"/>
      <c r="AI147" s="32"/>
      <c r="AJ147" s="33"/>
      <c r="AK147" s="32"/>
      <c r="AL147" s="33"/>
      <c r="AM147" s="32"/>
      <c r="AN147" s="33"/>
      <c r="AO147" s="34"/>
      <c r="AP147" s="35"/>
      <c r="AQ147" s="34"/>
      <c r="AR147" s="35"/>
      <c r="AS147" s="34"/>
      <c r="AT147" s="35"/>
      <c r="AU147" s="36"/>
      <c r="AV147" s="37"/>
      <c r="AW147" s="36"/>
      <c r="AX147" s="52">
        <f t="shared" si="4"/>
        <v>0</v>
      </c>
      <c r="AY147" s="52"/>
      <c r="AZ147" s="52"/>
    </row>
    <row r="148" spans="1:52" ht="110.25" customHeight="1" x14ac:dyDescent="0.25">
      <c r="A148" s="46" t="s">
        <v>994</v>
      </c>
      <c r="B148" s="46" t="s">
        <v>1003</v>
      </c>
      <c r="C148" s="46" t="s">
        <v>996</v>
      </c>
      <c r="D148" s="46" t="s">
        <v>114</v>
      </c>
      <c r="E148" s="46" t="s">
        <v>1004</v>
      </c>
      <c r="F148" s="46">
        <v>4207315</v>
      </c>
      <c r="G148" s="46">
        <v>4208111</v>
      </c>
      <c r="H148" s="46" t="s">
        <v>998</v>
      </c>
      <c r="I148" s="46" t="s">
        <v>994</v>
      </c>
      <c r="J148" s="65">
        <v>6.3726851851851854E-2</v>
      </c>
      <c r="K148" s="46" t="s">
        <v>59</v>
      </c>
      <c r="L148" s="46" t="s">
        <v>999</v>
      </c>
      <c r="M148" s="46" t="s">
        <v>1000</v>
      </c>
      <c r="N148" s="46" t="s">
        <v>186</v>
      </c>
      <c r="O148" s="46" t="s">
        <v>98</v>
      </c>
      <c r="P148" s="46" t="s">
        <v>120</v>
      </c>
      <c r="Q148" s="46">
        <v>4</v>
      </c>
      <c r="R148" s="46" t="s">
        <v>99</v>
      </c>
      <c r="S148" s="46" t="s">
        <v>66</v>
      </c>
      <c r="T148" s="46" t="s">
        <v>67</v>
      </c>
      <c r="U148" s="46" t="s">
        <v>153</v>
      </c>
      <c r="V148" s="46" t="s">
        <v>143</v>
      </c>
      <c r="W148" s="46" t="s">
        <v>100</v>
      </c>
      <c r="X148" s="48" t="s">
        <v>1005</v>
      </c>
      <c r="Y148" s="48" t="s">
        <v>72</v>
      </c>
      <c r="Z148" s="48" t="s">
        <v>1006</v>
      </c>
      <c r="AA148" s="29">
        <v>1</v>
      </c>
      <c r="AB148" s="30"/>
      <c r="AC148" s="38"/>
      <c r="AD148" s="29"/>
      <c r="AE148" s="39"/>
      <c r="AF148" s="40"/>
      <c r="AG148" s="32"/>
      <c r="AH148" s="33"/>
      <c r="AI148" s="32"/>
      <c r="AJ148" s="33"/>
      <c r="AK148" s="32"/>
      <c r="AL148" s="33"/>
      <c r="AM148" s="32"/>
      <c r="AN148" s="33"/>
      <c r="AO148" s="34"/>
      <c r="AP148" s="35"/>
      <c r="AQ148" s="34"/>
      <c r="AR148" s="35"/>
      <c r="AS148" s="34"/>
      <c r="AT148" s="35"/>
      <c r="AU148" s="36"/>
      <c r="AV148" s="37"/>
      <c r="AW148" s="36"/>
      <c r="AX148" s="52">
        <f t="shared" si="4"/>
        <v>0</v>
      </c>
      <c r="AY148" s="52"/>
      <c r="AZ148" s="52"/>
    </row>
    <row r="149" spans="1:52" ht="110.25" customHeight="1" x14ac:dyDescent="0.25">
      <c r="A149" s="49" t="s">
        <v>1007</v>
      </c>
      <c r="B149" s="49" t="s">
        <v>1008</v>
      </c>
      <c r="C149" s="49" t="s">
        <v>1009</v>
      </c>
      <c r="D149" s="49">
        <v>2022</v>
      </c>
      <c r="E149" s="50" t="s">
        <v>1010</v>
      </c>
      <c r="F149" s="49">
        <v>1504660</v>
      </c>
      <c r="G149" s="49">
        <v>1508340</v>
      </c>
      <c r="H149" s="49" t="s">
        <v>1011</v>
      </c>
      <c r="I149" s="49" t="s">
        <v>1007</v>
      </c>
      <c r="J149" s="64">
        <v>3.9756944444444442E-2</v>
      </c>
      <c r="K149" s="49" t="s">
        <v>79</v>
      </c>
      <c r="L149" s="49" t="s">
        <v>1012</v>
      </c>
      <c r="M149" s="49" t="s">
        <v>1013</v>
      </c>
      <c r="N149" s="49" t="s">
        <v>97</v>
      </c>
      <c r="O149" s="49" t="s">
        <v>63</v>
      </c>
      <c r="P149" s="49" t="s">
        <v>64</v>
      </c>
      <c r="Q149" s="49">
        <v>4</v>
      </c>
      <c r="R149" s="49" t="s">
        <v>358</v>
      </c>
      <c r="S149" s="49" t="s">
        <v>84</v>
      </c>
      <c r="T149" s="49" t="s">
        <v>85</v>
      </c>
      <c r="U149" s="49" t="s">
        <v>68</v>
      </c>
      <c r="V149" s="49" t="s">
        <v>86</v>
      </c>
      <c r="W149" s="49" t="s">
        <v>70</v>
      </c>
      <c r="X149" s="51" t="s">
        <v>1014</v>
      </c>
      <c r="Y149" s="51" t="s">
        <v>72</v>
      </c>
      <c r="Z149" s="51" t="s">
        <v>1015</v>
      </c>
      <c r="AA149" s="29"/>
      <c r="AB149" s="30"/>
      <c r="AC149" s="38"/>
      <c r="AD149" s="29"/>
      <c r="AE149" s="39">
        <v>1</v>
      </c>
      <c r="AF149" s="40">
        <v>1</v>
      </c>
      <c r="AG149" s="32"/>
      <c r="AH149" s="33"/>
      <c r="AI149" s="32"/>
      <c r="AJ149" s="33"/>
      <c r="AK149" s="32"/>
      <c r="AL149" s="33"/>
      <c r="AM149" s="32"/>
      <c r="AN149" s="33"/>
      <c r="AO149" s="34"/>
      <c r="AP149" s="35"/>
      <c r="AQ149" s="34">
        <v>1</v>
      </c>
      <c r="AR149" s="35"/>
      <c r="AS149" s="34"/>
      <c r="AT149" s="35"/>
      <c r="AU149" s="36"/>
      <c r="AV149" s="37"/>
      <c r="AW149" s="36"/>
      <c r="AX149" s="52">
        <f t="shared" si="4"/>
        <v>0</v>
      </c>
      <c r="AY149" s="52"/>
      <c r="AZ149" s="52"/>
    </row>
    <row r="150" spans="1:52" ht="110.25" customHeight="1" x14ac:dyDescent="0.25">
      <c r="A150" s="46" t="s">
        <v>1016</v>
      </c>
      <c r="B150" s="46" t="s">
        <v>1017</v>
      </c>
      <c r="C150" s="46" t="s">
        <v>1018</v>
      </c>
      <c r="D150" s="46" t="s">
        <v>114</v>
      </c>
      <c r="E150" s="47" t="s">
        <v>1019</v>
      </c>
      <c r="F150" s="46">
        <v>2510316</v>
      </c>
      <c r="G150" s="46">
        <v>2512339</v>
      </c>
      <c r="H150" s="46" t="s">
        <v>1020</v>
      </c>
      <c r="I150" s="46" t="s">
        <v>1016</v>
      </c>
      <c r="J150" s="65">
        <v>5.2534722222222219E-2</v>
      </c>
      <c r="K150" s="46" t="s">
        <v>59</v>
      </c>
      <c r="L150" s="46" t="s">
        <v>1021</v>
      </c>
      <c r="M150" s="46" t="s">
        <v>1022</v>
      </c>
      <c r="N150" s="46" t="s">
        <v>97</v>
      </c>
      <c r="O150" s="46" t="s">
        <v>63</v>
      </c>
      <c r="P150" s="46" t="s">
        <v>64</v>
      </c>
      <c r="Q150" s="46">
        <v>4</v>
      </c>
      <c r="R150" s="46" t="s">
        <v>99</v>
      </c>
      <c r="S150" s="46" t="s">
        <v>66</v>
      </c>
      <c r="T150" s="46" t="s">
        <v>67</v>
      </c>
      <c r="U150" s="46" t="s">
        <v>1023</v>
      </c>
      <c r="V150" s="46" t="s">
        <v>143</v>
      </c>
      <c r="W150" s="46" t="s">
        <v>100</v>
      </c>
      <c r="X150" s="48" t="s">
        <v>1024</v>
      </c>
      <c r="Y150" s="48" t="s">
        <v>72</v>
      </c>
      <c r="Z150" s="48" t="s">
        <v>1025</v>
      </c>
      <c r="AA150" s="29"/>
      <c r="AB150" s="30"/>
      <c r="AC150" s="38"/>
      <c r="AD150" s="29"/>
      <c r="AE150" s="39">
        <v>1</v>
      </c>
      <c r="AF150" s="40">
        <v>1</v>
      </c>
      <c r="AG150" s="32"/>
      <c r="AH150" s="33"/>
      <c r="AI150" s="32"/>
      <c r="AJ150" s="33"/>
      <c r="AK150" s="32"/>
      <c r="AL150" s="33">
        <v>1</v>
      </c>
      <c r="AM150" s="32"/>
      <c r="AN150" s="33"/>
      <c r="AO150" s="34"/>
      <c r="AP150" s="35"/>
      <c r="AQ150" s="34"/>
      <c r="AR150" s="35"/>
      <c r="AS150" s="34"/>
      <c r="AT150" s="35"/>
      <c r="AU150" s="36"/>
      <c r="AV150" s="37"/>
      <c r="AW150" s="36"/>
      <c r="AX150" s="52">
        <f t="shared" si="4"/>
        <v>0</v>
      </c>
      <c r="AY150" s="52"/>
      <c r="AZ150" s="52"/>
    </row>
    <row r="151" spans="1:52" ht="110.25" customHeight="1" x14ac:dyDescent="0.25">
      <c r="A151" s="49" t="s">
        <v>1016</v>
      </c>
      <c r="B151" s="49" t="s">
        <v>1026</v>
      </c>
      <c r="C151" s="49" t="s">
        <v>1018</v>
      </c>
      <c r="D151" s="49" t="s">
        <v>114</v>
      </c>
      <c r="E151" s="50" t="s">
        <v>1027</v>
      </c>
      <c r="F151" s="49">
        <v>2750805</v>
      </c>
      <c r="G151" s="49">
        <v>2755917</v>
      </c>
      <c r="H151" s="49" t="s">
        <v>1020</v>
      </c>
      <c r="I151" s="49" t="s">
        <v>1016</v>
      </c>
      <c r="J151" s="64">
        <v>5.2534722222222219E-2</v>
      </c>
      <c r="K151" s="49" t="s">
        <v>59</v>
      </c>
      <c r="L151" s="49" t="s">
        <v>1021</v>
      </c>
      <c r="M151" s="49" t="s">
        <v>1022</v>
      </c>
      <c r="N151" s="49" t="s">
        <v>97</v>
      </c>
      <c r="O151" s="49" t="s">
        <v>63</v>
      </c>
      <c r="P151" s="49" t="s">
        <v>64</v>
      </c>
      <c r="Q151" s="49">
        <v>4</v>
      </c>
      <c r="R151" s="49" t="s">
        <v>99</v>
      </c>
      <c r="S151" s="49" t="s">
        <v>66</v>
      </c>
      <c r="T151" s="49" t="s">
        <v>67</v>
      </c>
      <c r="U151" s="49" t="s">
        <v>1023</v>
      </c>
      <c r="V151" s="49" t="s">
        <v>143</v>
      </c>
      <c r="W151" s="49" t="s">
        <v>100</v>
      </c>
      <c r="X151" s="51" t="s">
        <v>1028</v>
      </c>
      <c r="Y151" s="51" t="s">
        <v>72</v>
      </c>
      <c r="Z151" s="51" t="s">
        <v>1029</v>
      </c>
      <c r="AA151" s="29"/>
      <c r="AB151" s="30"/>
      <c r="AC151" s="38"/>
      <c r="AD151" s="29"/>
      <c r="AE151" s="39">
        <v>1</v>
      </c>
      <c r="AF151" s="40">
        <v>1</v>
      </c>
      <c r="AG151" s="32">
        <v>1</v>
      </c>
      <c r="AH151" s="33"/>
      <c r="AI151" s="32"/>
      <c r="AJ151" s="33"/>
      <c r="AK151" s="32"/>
      <c r="AL151" s="33"/>
      <c r="AM151" s="32"/>
      <c r="AN151" s="33"/>
      <c r="AO151" s="34">
        <v>1</v>
      </c>
      <c r="AP151" s="35"/>
      <c r="AQ151" s="34"/>
      <c r="AR151" s="35"/>
      <c r="AS151" s="34"/>
      <c r="AT151" s="35"/>
      <c r="AU151" s="36"/>
      <c r="AV151" s="37"/>
      <c r="AW151" s="36">
        <v>1</v>
      </c>
      <c r="AX151" s="52">
        <f t="shared" si="4"/>
        <v>1</v>
      </c>
      <c r="AY151" s="52"/>
      <c r="AZ151" s="52"/>
    </row>
    <row r="152" spans="1:52" ht="110.25" customHeight="1" x14ac:dyDescent="0.25">
      <c r="A152" s="46" t="s">
        <v>1016</v>
      </c>
      <c r="B152" s="46" t="s">
        <v>1030</v>
      </c>
      <c r="C152" s="46" t="s">
        <v>1018</v>
      </c>
      <c r="D152" s="46" t="s">
        <v>114</v>
      </c>
      <c r="E152" s="47" t="s">
        <v>1031</v>
      </c>
      <c r="F152" s="46">
        <v>2825884</v>
      </c>
      <c r="G152" s="46">
        <v>2828259</v>
      </c>
      <c r="H152" s="46" t="s">
        <v>1020</v>
      </c>
      <c r="I152" s="46" t="s">
        <v>1016</v>
      </c>
      <c r="J152" s="65">
        <v>5.2534722222222219E-2</v>
      </c>
      <c r="K152" s="46" t="s">
        <v>59</v>
      </c>
      <c r="L152" s="46" t="s">
        <v>1021</v>
      </c>
      <c r="M152" s="46" t="s">
        <v>1022</v>
      </c>
      <c r="N152" s="46" t="s">
        <v>97</v>
      </c>
      <c r="O152" s="46" t="s">
        <v>63</v>
      </c>
      <c r="P152" s="46" t="s">
        <v>64</v>
      </c>
      <c r="Q152" s="46">
        <v>4</v>
      </c>
      <c r="R152" s="46" t="s">
        <v>99</v>
      </c>
      <c r="S152" s="46" t="s">
        <v>66</v>
      </c>
      <c r="T152" s="46" t="s">
        <v>67</v>
      </c>
      <c r="U152" s="46" t="s">
        <v>1023</v>
      </c>
      <c r="V152" s="46" t="s">
        <v>143</v>
      </c>
      <c r="W152" s="46" t="s">
        <v>100</v>
      </c>
      <c r="X152" s="48" t="s">
        <v>2280</v>
      </c>
      <c r="Y152" s="48" t="s">
        <v>72</v>
      </c>
      <c r="Z152" s="48" t="s">
        <v>1032</v>
      </c>
      <c r="AA152" s="29"/>
      <c r="AB152" s="30"/>
      <c r="AC152" s="38"/>
      <c r="AD152" s="29"/>
      <c r="AE152" s="39">
        <v>1</v>
      </c>
      <c r="AF152" s="40"/>
      <c r="AG152" s="32">
        <v>1</v>
      </c>
      <c r="AH152" s="33"/>
      <c r="AI152" s="32"/>
      <c r="AJ152" s="33"/>
      <c r="AK152" s="32"/>
      <c r="AL152" s="33"/>
      <c r="AM152" s="32"/>
      <c r="AN152" s="33"/>
      <c r="AO152" s="34">
        <v>1</v>
      </c>
      <c r="AP152" s="35"/>
      <c r="AQ152" s="34"/>
      <c r="AR152" s="35"/>
      <c r="AS152" s="34"/>
      <c r="AT152" s="35"/>
      <c r="AU152" s="36"/>
      <c r="AV152" s="37"/>
      <c r="AW152" s="36">
        <v>1</v>
      </c>
      <c r="AX152" s="52">
        <f t="shared" si="4"/>
        <v>1</v>
      </c>
      <c r="AY152" s="52"/>
      <c r="AZ152" s="52"/>
    </row>
    <row r="153" spans="1:52" ht="110.25" customHeight="1" x14ac:dyDescent="0.25">
      <c r="A153" s="49" t="s">
        <v>1016</v>
      </c>
      <c r="B153" s="49" t="s">
        <v>1033</v>
      </c>
      <c r="C153" s="49" t="s">
        <v>1018</v>
      </c>
      <c r="D153" s="49" t="s">
        <v>114</v>
      </c>
      <c r="E153" s="50" t="s">
        <v>1034</v>
      </c>
      <c r="F153" s="49">
        <v>3782569</v>
      </c>
      <c r="G153" s="49">
        <v>3785762</v>
      </c>
      <c r="H153" s="49" t="s">
        <v>1020</v>
      </c>
      <c r="I153" s="49" t="s">
        <v>1016</v>
      </c>
      <c r="J153" s="64">
        <v>5.2534722222222219E-2</v>
      </c>
      <c r="K153" s="49" t="s">
        <v>59</v>
      </c>
      <c r="L153" s="49" t="s">
        <v>1021</v>
      </c>
      <c r="M153" s="49" t="s">
        <v>1022</v>
      </c>
      <c r="N153" s="49" t="s">
        <v>97</v>
      </c>
      <c r="O153" s="49" t="s">
        <v>63</v>
      </c>
      <c r="P153" s="49" t="s">
        <v>64</v>
      </c>
      <c r="Q153" s="49">
        <v>4</v>
      </c>
      <c r="R153" s="49" t="s">
        <v>99</v>
      </c>
      <c r="S153" s="49" t="s">
        <v>66</v>
      </c>
      <c r="T153" s="49" t="s">
        <v>67</v>
      </c>
      <c r="U153" s="49" t="s">
        <v>1023</v>
      </c>
      <c r="V153" s="49" t="s">
        <v>143</v>
      </c>
      <c r="W153" s="49" t="s">
        <v>100</v>
      </c>
      <c r="X153" s="51" t="s">
        <v>1035</v>
      </c>
      <c r="Y153" s="51" t="s">
        <v>72</v>
      </c>
      <c r="Z153" s="51" t="s">
        <v>1036</v>
      </c>
      <c r="AA153" s="29"/>
      <c r="AB153" s="30"/>
      <c r="AC153" s="38"/>
      <c r="AD153" s="29"/>
      <c r="AE153" s="39">
        <v>1</v>
      </c>
      <c r="AF153" s="40"/>
      <c r="AG153" s="32">
        <v>1</v>
      </c>
      <c r="AH153" s="33"/>
      <c r="AI153" s="32"/>
      <c r="AJ153" s="33"/>
      <c r="AK153" s="32"/>
      <c r="AL153" s="33"/>
      <c r="AM153" s="32"/>
      <c r="AN153" s="33"/>
      <c r="AO153" s="34"/>
      <c r="AP153" s="35"/>
      <c r="AQ153" s="34"/>
      <c r="AR153" s="35"/>
      <c r="AS153" s="34"/>
      <c r="AT153" s="35"/>
      <c r="AU153" s="36"/>
      <c r="AV153" s="37">
        <v>1</v>
      </c>
      <c r="AW153" s="36"/>
      <c r="AX153" s="52">
        <f t="shared" si="4"/>
        <v>1</v>
      </c>
      <c r="AY153" s="52"/>
      <c r="AZ153" s="52"/>
    </row>
    <row r="154" spans="1:52" ht="110.25" customHeight="1" x14ac:dyDescent="0.25">
      <c r="A154" s="46" t="s">
        <v>1016</v>
      </c>
      <c r="B154" s="46" t="s">
        <v>1037</v>
      </c>
      <c r="C154" s="46" t="s">
        <v>1018</v>
      </c>
      <c r="D154" s="46" t="s">
        <v>114</v>
      </c>
      <c r="E154" s="47" t="s">
        <v>1038</v>
      </c>
      <c r="F154" s="46">
        <v>3833820</v>
      </c>
      <c r="G154" s="46">
        <v>3836623</v>
      </c>
      <c r="H154" s="46" t="s">
        <v>1020</v>
      </c>
      <c r="I154" s="46" t="s">
        <v>1016</v>
      </c>
      <c r="J154" s="65">
        <v>5.2534722222222219E-2</v>
      </c>
      <c r="K154" s="46" t="s">
        <v>59</v>
      </c>
      <c r="L154" s="46" t="s">
        <v>1021</v>
      </c>
      <c r="M154" s="46" t="s">
        <v>1022</v>
      </c>
      <c r="N154" s="46" t="s">
        <v>97</v>
      </c>
      <c r="O154" s="46" t="s">
        <v>63</v>
      </c>
      <c r="P154" s="46" t="s">
        <v>64</v>
      </c>
      <c r="Q154" s="46">
        <v>4</v>
      </c>
      <c r="R154" s="46" t="s">
        <v>99</v>
      </c>
      <c r="S154" s="46" t="s">
        <v>66</v>
      </c>
      <c r="T154" s="46" t="s">
        <v>67</v>
      </c>
      <c r="U154" s="46" t="s">
        <v>1023</v>
      </c>
      <c r="V154" s="46" t="s">
        <v>143</v>
      </c>
      <c r="W154" s="46" t="s">
        <v>100</v>
      </c>
      <c r="X154" s="48" t="s">
        <v>1039</v>
      </c>
      <c r="Y154" s="48" t="s">
        <v>72</v>
      </c>
      <c r="Z154" s="48" t="s">
        <v>1040</v>
      </c>
      <c r="AA154" s="29"/>
      <c r="AB154" s="30"/>
      <c r="AC154" s="38"/>
      <c r="AD154" s="29"/>
      <c r="AE154" s="39">
        <v>1</v>
      </c>
      <c r="AF154" s="40"/>
      <c r="AG154" s="32"/>
      <c r="AH154" s="33"/>
      <c r="AI154" s="32"/>
      <c r="AJ154" s="33"/>
      <c r="AK154" s="32"/>
      <c r="AL154" s="33"/>
      <c r="AM154" s="32"/>
      <c r="AN154" s="33"/>
      <c r="AO154" s="34">
        <v>1</v>
      </c>
      <c r="AP154" s="35"/>
      <c r="AQ154" s="34"/>
      <c r="AR154" s="35"/>
      <c r="AS154" s="34"/>
      <c r="AT154" s="35"/>
      <c r="AU154" s="36"/>
      <c r="AV154" s="37"/>
      <c r="AW154" s="36"/>
      <c r="AX154" s="52">
        <f t="shared" si="4"/>
        <v>0</v>
      </c>
      <c r="AY154" s="52"/>
      <c r="AZ154" s="52"/>
    </row>
    <row r="155" spans="1:52" ht="110.25" customHeight="1" x14ac:dyDescent="0.25">
      <c r="A155" s="49" t="s">
        <v>1016</v>
      </c>
      <c r="B155" s="49" t="s">
        <v>1041</v>
      </c>
      <c r="C155" s="49" t="s">
        <v>1018</v>
      </c>
      <c r="D155" s="49" t="s">
        <v>114</v>
      </c>
      <c r="E155" s="50" t="s">
        <v>1042</v>
      </c>
      <c r="F155" s="49">
        <v>4528449</v>
      </c>
      <c r="G155" s="49">
        <v>4529926</v>
      </c>
      <c r="H155" s="49" t="s">
        <v>1043</v>
      </c>
      <c r="I155" s="49" t="s">
        <v>1016</v>
      </c>
      <c r="J155" s="64">
        <v>5.2534722222222219E-2</v>
      </c>
      <c r="K155" s="49" t="s">
        <v>59</v>
      </c>
      <c r="L155" s="49" t="s">
        <v>1021</v>
      </c>
      <c r="M155" s="49" t="s">
        <v>1022</v>
      </c>
      <c r="N155" s="49" t="s">
        <v>97</v>
      </c>
      <c r="O155" s="49" t="s">
        <v>63</v>
      </c>
      <c r="P155" s="49" t="s">
        <v>64</v>
      </c>
      <c r="Q155" s="49">
        <v>4</v>
      </c>
      <c r="R155" s="49" t="s">
        <v>99</v>
      </c>
      <c r="S155" s="49" t="s">
        <v>66</v>
      </c>
      <c r="T155" s="49" t="s">
        <v>67</v>
      </c>
      <c r="U155" s="49" t="s">
        <v>1044</v>
      </c>
      <c r="V155" s="49" t="s">
        <v>143</v>
      </c>
      <c r="W155" s="49" t="s">
        <v>100</v>
      </c>
      <c r="X155" s="51" t="s">
        <v>1045</v>
      </c>
      <c r="Y155" s="51" t="s">
        <v>72</v>
      </c>
      <c r="Z155" s="51" t="s">
        <v>1046</v>
      </c>
      <c r="AA155" s="29"/>
      <c r="AB155" s="30"/>
      <c r="AC155" s="38"/>
      <c r="AD155" s="29"/>
      <c r="AE155" s="39">
        <v>1</v>
      </c>
      <c r="AF155" s="40"/>
      <c r="AG155" s="32"/>
      <c r="AH155" s="33"/>
      <c r="AI155" s="32"/>
      <c r="AJ155" s="33"/>
      <c r="AK155" s="32"/>
      <c r="AL155" s="33"/>
      <c r="AM155" s="32"/>
      <c r="AN155" s="33"/>
      <c r="AO155" s="34"/>
      <c r="AP155" s="35">
        <v>1</v>
      </c>
      <c r="AQ155" s="34"/>
      <c r="AR155" s="35"/>
      <c r="AS155" s="34"/>
      <c r="AT155" s="35"/>
      <c r="AU155" s="36"/>
      <c r="AV155" s="37">
        <v>1</v>
      </c>
      <c r="AW155" s="36"/>
      <c r="AX155" s="52">
        <f t="shared" si="4"/>
        <v>1</v>
      </c>
      <c r="AY155" s="52"/>
      <c r="AZ155" s="52"/>
    </row>
    <row r="156" spans="1:52" ht="110.25" customHeight="1" x14ac:dyDescent="0.25">
      <c r="A156" s="46" t="s">
        <v>1047</v>
      </c>
      <c r="B156" s="46" t="s">
        <v>1048</v>
      </c>
      <c r="C156" s="46" t="s">
        <v>1049</v>
      </c>
      <c r="D156" s="46">
        <v>2021</v>
      </c>
      <c r="E156" s="47" t="s">
        <v>1050</v>
      </c>
      <c r="F156" s="46">
        <v>924660</v>
      </c>
      <c r="G156" s="46">
        <v>928378</v>
      </c>
      <c r="H156" s="46" t="s">
        <v>1051</v>
      </c>
      <c r="I156" s="46" t="s">
        <v>1047</v>
      </c>
      <c r="J156" s="65">
        <v>2.2129629629629631E-2</v>
      </c>
      <c r="K156" s="46" t="s">
        <v>79</v>
      </c>
      <c r="L156" s="46" t="s">
        <v>1052</v>
      </c>
      <c r="M156" s="46" t="s">
        <v>1053</v>
      </c>
      <c r="N156" s="46" t="s">
        <v>186</v>
      </c>
      <c r="O156" s="46" t="s">
        <v>63</v>
      </c>
      <c r="P156" s="46" t="s">
        <v>64</v>
      </c>
      <c r="Q156" s="46">
        <v>2</v>
      </c>
      <c r="R156" s="46" t="s">
        <v>473</v>
      </c>
      <c r="S156" s="46" t="s">
        <v>84</v>
      </c>
      <c r="T156" s="46" t="s">
        <v>85</v>
      </c>
      <c r="U156" s="46" t="s">
        <v>68</v>
      </c>
      <c r="V156" s="46" t="s">
        <v>86</v>
      </c>
      <c r="W156" s="46" t="s">
        <v>87</v>
      </c>
      <c r="X156" s="48" t="s">
        <v>1054</v>
      </c>
      <c r="Y156" s="48" t="s">
        <v>72</v>
      </c>
      <c r="Z156" s="48" t="s">
        <v>1055</v>
      </c>
      <c r="AA156" s="29">
        <v>1</v>
      </c>
      <c r="AB156" s="30"/>
      <c r="AC156" s="38"/>
      <c r="AD156" s="29"/>
      <c r="AE156" s="39"/>
      <c r="AF156" s="40"/>
      <c r="AG156" s="32"/>
      <c r="AH156" s="33"/>
      <c r="AI156" s="32"/>
      <c r="AJ156" s="33"/>
      <c r="AK156" s="32"/>
      <c r="AL156" s="33"/>
      <c r="AM156" s="32"/>
      <c r="AN156" s="33"/>
      <c r="AO156" s="34"/>
      <c r="AP156" s="35"/>
      <c r="AQ156" s="34"/>
      <c r="AR156" s="35"/>
      <c r="AS156" s="34"/>
      <c r="AT156" s="35"/>
      <c r="AU156" s="36"/>
      <c r="AV156" s="37"/>
      <c r="AW156" s="36"/>
      <c r="AX156" s="52">
        <f t="shared" si="4"/>
        <v>0</v>
      </c>
      <c r="AY156" s="52"/>
      <c r="AZ156" s="52"/>
    </row>
    <row r="157" spans="1:52" ht="110.25" customHeight="1" x14ac:dyDescent="0.25">
      <c r="A157" s="49" t="s">
        <v>1056</v>
      </c>
      <c r="B157" s="49" t="s">
        <v>1057</v>
      </c>
      <c r="C157" s="49" t="s">
        <v>1058</v>
      </c>
      <c r="D157" s="49">
        <v>2023</v>
      </c>
      <c r="E157" s="50" t="s">
        <v>1059</v>
      </c>
      <c r="F157" s="49">
        <v>1989389</v>
      </c>
      <c r="G157" s="49">
        <v>1991593</v>
      </c>
      <c r="H157" s="49" t="s">
        <v>1060</v>
      </c>
      <c r="I157" s="49" t="s">
        <v>1056</v>
      </c>
      <c r="J157" s="64">
        <v>3.8796296296296294E-2</v>
      </c>
      <c r="K157" s="49" t="s">
        <v>79</v>
      </c>
      <c r="L157" s="49" t="s">
        <v>1061</v>
      </c>
      <c r="M157" s="49" t="s">
        <v>1062</v>
      </c>
      <c r="N157" s="49" t="s">
        <v>97</v>
      </c>
      <c r="O157" s="49" t="s">
        <v>63</v>
      </c>
      <c r="P157" s="49" t="s">
        <v>64</v>
      </c>
      <c r="Q157" s="49">
        <v>3</v>
      </c>
      <c r="R157" s="49" t="s">
        <v>99</v>
      </c>
      <c r="S157" s="49" t="s">
        <v>84</v>
      </c>
      <c r="T157" s="49" t="s">
        <v>85</v>
      </c>
      <c r="U157" s="49" t="s">
        <v>839</v>
      </c>
      <c r="V157" s="49" t="s">
        <v>86</v>
      </c>
      <c r="W157" s="49" t="s">
        <v>100</v>
      </c>
      <c r="X157" s="51" t="s">
        <v>1063</v>
      </c>
      <c r="Y157" s="51" t="s">
        <v>72</v>
      </c>
      <c r="Z157" s="51" t="s">
        <v>1064</v>
      </c>
      <c r="AA157" s="29">
        <v>1</v>
      </c>
      <c r="AB157" s="30"/>
      <c r="AC157" s="38"/>
      <c r="AD157" s="29"/>
      <c r="AE157" s="39"/>
      <c r="AF157" s="40"/>
      <c r="AG157" s="32"/>
      <c r="AH157" s="33"/>
      <c r="AI157" s="32"/>
      <c r="AJ157" s="33"/>
      <c r="AK157" s="32"/>
      <c r="AL157" s="33"/>
      <c r="AM157" s="32"/>
      <c r="AN157" s="33"/>
      <c r="AO157" s="34"/>
      <c r="AP157" s="35"/>
      <c r="AQ157" s="34"/>
      <c r="AR157" s="35"/>
      <c r="AS157" s="34"/>
      <c r="AT157" s="35"/>
      <c r="AU157" s="36"/>
      <c r="AV157" s="37"/>
      <c r="AW157" s="36"/>
      <c r="AX157" s="52">
        <f t="shared" si="4"/>
        <v>0</v>
      </c>
      <c r="AY157" s="52"/>
      <c r="AZ157" s="52"/>
    </row>
    <row r="158" spans="1:52" ht="110.25" customHeight="1" x14ac:dyDescent="0.25">
      <c r="A158" s="46" t="s">
        <v>1065</v>
      </c>
      <c r="B158" s="46" t="s">
        <v>1066</v>
      </c>
      <c r="C158" s="46" t="s">
        <v>1067</v>
      </c>
      <c r="D158" s="46">
        <v>2019</v>
      </c>
      <c r="E158" s="47" t="s">
        <v>1068</v>
      </c>
      <c r="F158" s="46">
        <v>1879143</v>
      </c>
      <c r="G158" s="46">
        <v>1879979</v>
      </c>
      <c r="H158" s="46" t="s">
        <v>1069</v>
      </c>
      <c r="I158" s="46" t="s">
        <v>1065</v>
      </c>
      <c r="J158" s="65">
        <v>2.7222222222222221E-2</v>
      </c>
      <c r="K158" s="46" t="s">
        <v>79</v>
      </c>
      <c r="L158" s="46" t="s">
        <v>1070</v>
      </c>
      <c r="M158" s="46" t="s">
        <v>1071</v>
      </c>
      <c r="N158" s="46" t="s">
        <v>643</v>
      </c>
      <c r="O158" s="46" t="s">
        <v>63</v>
      </c>
      <c r="P158" s="46" t="s">
        <v>120</v>
      </c>
      <c r="Q158" s="46">
        <v>2</v>
      </c>
      <c r="R158" s="46" t="s">
        <v>83</v>
      </c>
      <c r="S158" s="46" t="s">
        <v>84</v>
      </c>
      <c r="T158" s="46" t="s">
        <v>85</v>
      </c>
      <c r="U158" s="46" t="s">
        <v>121</v>
      </c>
      <c r="V158" s="46" t="s">
        <v>86</v>
      </c>
      <c r="W158" s="46" t="s">
        <v>87</v>
      </c>
      <c r="X158" s="48" t="s">
        <v>1072</v>
      </c>
      <c r="Y158" s="48" t="s">
        <v>72</v>
      </c>
      <c r="Z158" s="48" t="s">
        <v>1073</v>
      </c>
      <c r="AA158" s="29"/>
      <c r="AB158" s="30"/>
      <c r="AC158" s="38"/>
      <c r="AD158" s="29"/>
      <c r="AE158" s="39">
        <v>1</v>
      </c>
      <c r="AF158" s="40"/>
      <c r="AG158" s="32">
        <v>1</v>
      </c>
      <c r="AH158" s="33"/>
      <c r="AI158" s="32"/>
      <c r="AJ158" s="33"/>
      <c r="AK158" s="32"/>
      <c r="AL158" s="33"/>
      <c r="AM158" s="32"/>
      <c r="AN158" s="33"/>
      <c r="AO158" s="34"/>
      <c r="AP158" s="35"/>
      <c r="AQ158" s="34">
        <v>1</v>
      </c>
      <c r="AR158" s="35"/>
      <c r="AS158" s="34"/>
      <c r="AT158" s="35"/>
      <c r="AU158" s="36"/>
      <c r="AV158" s="37"/>
      <c r="AW158" s="36"/>
      <c r="AX158" s="52">
        <f t="shared" si="4"/>
        <v>1</v>
      </c>
      <c r="AY158" s="52"/>
      <c r="AZ158" s="52"/>
    </row>
    <row r="159" spans="1:52" ht="110.25" customHeight="1" x14ac:dyDescent="0.25">
      <c r="A159" s="49" t="s">
        <v>1065</v>
      </c>
      <c r="B159" s="49" t="s">
        <v>1074</v>
      </c>
      <c r="C159" s="49" t="s">
        <v>1067</v>
      </c>
      <c r="D159" s="49">
        <v>2019</v>
      </c>
      <c r="E159" s="50" t="s">
        <v>1075</v>
      </c>
      <c r="F159" s="49">
        <v>2006153</v>
      </c>
      <c r="G159" s="49">
        <v>2008120</v>
      </c>
      <c r="H159" s="49" t="s">
        <v>1069</v>
      </c>
      <c r="I159" s="49" t="s">
        <v>1065</v>
      </c>
      <c r="J159" s="64">
        <v>2.7222222222222221E-2</v>
      </c>
      <c r="K159" s="49" t="s">
        <v>79</v>
      </c>
      <c r="L159" s="49" t="s">
        <v>1070</v>
      </c>
      <c r="M159" s="49" t="s">
        <v>1071</v>
      </c>
      <c r="N159" s="49" t="s">
        <v>643</v>
      </c>
      <c r="O159" s="49" t="s">
        <v>63</v>
      </c>
      <c r="P159" s="49" t="s">
        <v>120</v>
      </c>
      <c r="Q159" s="49">
        <v>2</v>
      </c>
      <c r="R159" s="49" t="s">
        <v>83</v>
      </c>
      <c r="S159" s="49" t="s">
        <v>84</v>
      </c>
      <c r="T159" s="49" t="s">
        <v>85</v>
      </c>
      <c r="U159" s="49" t="s">
        <v>121</v>
      </c>
      <c r="V159" s="49" t="s">
        <v>86</v>
      </c>
      <c r="W159" s="49" t="s">
        <v>87</v>
      </c>
      <c r="X159" s="51" t="s">
        <v>1076</v>
      </c>
      <c r="Y159" s="51" t="s">
        <v>72</v>
      </c>
      <c r="Z159" s="51" t="s">
        <v>1077</v>
      </c>
      <c r="AA159" s="29"/>
      <c r="AB159" s="30"/>
      <c r="AC159" s="38"/>
      <c r="AD159" s="29"/>
      <c r="AE159" s="39">
        <v>1</v>
      </c>
      <c r="AF159" s="40"/>
      <c r="AG159" s="32">
        <v>1</v>
      </c>
      <c r="AH159" s="33"/>
      <c r="AI159" s="32">
        <v>1</v>
      </c>
      <c r="AJ159" s="33"/>
      <c r="AK159" s="32"/>
      <c r="AL159" s="33"/>
      <c r="AM159" s="32"/>
      <c r="AN159" s="33"/>
      <c r="AO159" s="34"/>
      <c r="AP159" s="35"/>
      <c r="AQ159" s="34"/>
      <c r="AR159" s="35"/>
      <c r="AS159" s="34"/>
      <c r="AT159" s="35"/>
      <c r="AU159" s="36"/>
      <c r="AV159" s="37"/>
      <c r="AW159" s="36"/>
      <c r="AX159" s="52">
        <f t="shared" si="4"/>
        <v>1</v>
      </c>
      <c r="AY159" s="52"/>
      <c r="AZ159" s="52"/>
    </row>
    <row r="160" spans="1:52" ht="110.25" customHeight="1" x14ac:dyDescent="0.25">
      <c r="A160" s="46" t="s">
        <v>1065</v>
      </c>
      <c r="B160" s="46" t="s">
        <v>1078</v>
      </c>
      <c r="C160" s="46" t="s">
        <v>1067</v>
      </c>
      <c r="D160" s="46">
        <v>2019</v>
      </c>
      <c r="E160" s="47" t="s">
        <v>1079</v>
      </c>
      <c r="F160" s="46">
        <v>2345901</v>
      </c>
      <c r="G160" s="46">
        <v>2347509</v>
      </c>
      <c r="H160" s="46" t="s">
        <v>185</v>
      </c>
      <c r="I160" s="46" t="s">
        <v>1065</v>
      </c>
      <c r="J160" s="65">
        <v>2.7222222222222221E-2</v>
      </c>
      <c r="K160" s="46" t="s">
        <v>79</v>
      </c>
      <c r="L160" s="46" t="s">
        <v>1070</v>
      </c>
      <c r="M160" s="46" t="s">
        <v>1071</v>
      </c>
      <c r="N160" s="46" t="s">
        <v>186</v>
      </c>
      <c r="O160" s="46" t="s">
        <v>63</v>
      </c>
      <c r="P160" s="46" t="s">
        <v>120</v>
      </c>
      <c r="Q160" s="46">
        <v>2</v>
      </c>
      <c r="R160" s="46" t="s">
        <v>83</v>
      </c>
      <c r="S160" s="46" t="s">
        <v>84</v>
      </c>
      <c r="T160" s="46" t="s">
        <v>85</v>
      </c>
      <c r="U160" s="46" t="s">
        <v>187</v>
      </c>
      <c r="V160" s="46" t="s">
        <v>86</v>
      </c>
      <c r="W160" s="46" t="s">
        <v>123</v>
      </c>
      <c r="X160" s="48" t="s">
        <v>1080</v>
      </c>
      <c r="Y160" s="48" t="s">
        <v>72</v>
      </c>
      <c r="Z160" s="48" t="s">
        <v>1081</v>
      </c>
      <c r="AA160" s="29"/>
      <c r="AB160" s="30"/>
      <c r="AC160" s="38"/>
      <c r="AD160" s="29"/>
      <c r="AE160" s="39">
        <v>1</v>
      </c>
      <c r="AF160" s="40"/>
      <c r="AG160" s="32"/>
      <c r="AH160" s="33"/>
      <c r="AI160" s="32"/>
      <c r="AJ160" s="33"/>
      <c r="AK160" s="32"/>
      <c r="AL160" s="33"/>
      <c r="AM160" s="32"/>
      <c r="AN160" s="33">
        <v>1</v>
      </c>
      <c r="AO160" s="34"/>
      <c r="AP160" s="35">
        <v>1</v>
      </c>
      <c r="AQ160" s="34"/>
      <c r="AR160" s="35"/>
      <c r="AS160" s="34"/>
      <c r="AT160" s="35"/>
      <c r="AU160" s="36"/>
      <c r="AV160" s="37">
        <v>1</v>
      </c>
      <c r="AW160" s="36"/>
      <c r="AX160" s="52">
        <f t="shared" si="4"/>
        <v>1</v>
      </c>
      <c r="AY160" s="52"/>
      <c r="AZ160" s="52"/>
    </row>
    <row r="161" spans="1:52" ht="110.25" customHeight="1" x14ac:dyDescent="0.25">
      <c r="A161" s="49" t="s">
        <v>1082</v>
      </c>
      <c r="B161" s="49" t="s">
        <v>1083</v>
      </c>
      <c r="C161" s="49" t="s">
        <v>1084</v>
      </c>
      <c r="D161" s="49">
        <v>2019</v>
      </c>
      <c r="E161" s="50" t="s">
        <v>1085</v>
      </c>
      <c r="F161" s="49">
        <v>326951</v>
      </c>
      <c r="G161" s="49">
        <v>328124</v>
      </c>
      <c r="H161" s="49" t="s">
        <v>1086</v>
      </c>
      <c r="I161" s="49" t="s">
        <v>1082</v>
      </c>
      <c r="J161" s="64">
        <v>0.80486111111111114</v>
      </c>
      <c r="K161" s="49" t="s">
        <v>59</v>
      </c>
      <c r="L161" s="49" t="s">
        <v>1087</v>
      </c>
      <c r="M161" s="49" t="s">
        <v>1088</v>
      </c>
      <c r="N161" s="49" t="s">
        <v>97</v>
      </c>
      <c r="O161" s="49" t="s">
        <v>63</v>
      </c>
      <c r="P161" s="49" t="s">
        <v>120</v>
      </c>
      <c r="Q161" s="49">
        <v>4</v>
      </c>
      <c r="R161" s="49" t="s">
        <v>99</v>
      </c>
      <c r="S161" s="49" t="s">
        <v>66</v>
      </c>
      <c r="T161" s="49" t="s">
        <v>67</v>
      </c>
      <c r="U161" s="49" t="s">
        <v>187</v>
      </c>
      <c r="V161" s="49" t="s">
        <v>143</v>
      </c>
      <c r="W161" s="49" t="s">
        <v>100</v>
      </c>
      <c r="X161" s="51" t="s">
        <v>1089</v>
      </c>
      <c r="Y161" s="51" t="s">
        <v>72</v>
      </c>
      <c r="Z161" s="51" t="s">
        <v>1090</v>
      </c>
      <c r="AA161" s="29"/>
      <c r="AB161" s="30"/>
      <c r="AC161" s="38"/>
      <c r="AD161" s="29"/>
      <c r="AE161" s="39">
        <v>1</v>
      </c>
      <c r="AF161" s="40"/>
      <c r="AG161" s="32"/>
      <c r="AH161" s="33"/>
      <c r="AI161" s="32">
        <v>1</v>
      </c>
      <c r="AJ161" s="33"/>
      <c r="AK161" s="32"/>
      <c r="AL161" s="33">
        <v>1</v>
      </c>
      <c r="AM161" s="32"/>
      <c r="AN161" s="33"/>
      <c r="AO161" s="34"/>
      <c r="AP161" s="35"/>
      <c r="AQ161" s="34"/>
      <c r="AR161" s="35"/>
      <c r="AS161" s="34"/>
      <c r="AT161" s="35"/>
      <c r="AU161" s="36"/>
      <c r="AV161" s="37"/>
      <c r="AW161" s="36"/>
      <c r="AX161" s="52">
        <f t="shared" si="4"/>
        <v>1</v>
      </c>
      <c r="AY161" s="52"/>
      <c r="AZ161" s="52"/>
    </row>
    <row r="162" spans="1:52" ht="110.25" customHeight="1" x14ac:dyDescent="0.25">
      <c r="A162" s="46" t="s">
        <v>1082</v>
      </c>
      <c r="B162" s="46" t="s">
        <v>1091</v>
      </c>
      <c r="C162" s="46" t="s">
        <v>1084</v>
      </c>
      <c r="D162" s="46">
        <v>2019</v>
      </c>
      <c r="E162" s="46" t="s">
        <v>1092</v>
      </c>
      <c r="F162" s="46">
        <v>329055</v>
      </c>
      <c r="G162" s="46">
        <v>331576</v>
      </c>
      <c r="H162" s="46" t="s">
        <v>1093</v>
      </c>
      <c r="I162" s="46" t="s">
        <v>1082</v>
      </c>
      <c r="J162" s="65">
        <v>0.80486111111111114</v>
      </c>
      <c r="K162" s="46" t="s">
        <v>59</v>
      </c>
      <c r="L162" s="46" t="s">
        <v>1087</v>
      </c>
      <c r="M162" s="46" t="s">
        <v>1088</v>
      </c>
      <c r="N162" s="46" t="s">
        <v>97</v>
      </c>
      <c r="O162" s="46" t="s">
        <v>63</v>
      </c>
      <c r="P162" s="46" t="s">
        <v>120</v>
      </c>
      <c r="Q162" s="46">
        <v>4</v>
      </c>
      <c r="R162" s="46" t="s">
        <v>99</v>
      </c>
      <c r="S162" s="46" t="s">
        <v>66</v>
      </c>
      <c r="T162" s="46" t="s">
        <v>67</v>
      </c>
      <c r="U162" s="46" t="s">
        <v>187</v>
      </c>
      <c r="V162" s="46" t="s">
        <v>143</v>
      </c>
      <c r="W162" s="46" t="s">
        <v>100</v>
      </c>
      <c r="X162" s="48" t="s">
        <v>1094</v>
      </c>
      <c r="Y162" s="48" t="s">
        <v>72</v>
      </c>
      <c r="Z162" s="48" t="s">
        <v>1095</v>
      </c>
      <c r="AA162" s="29"/>
      <c r="AB162" s="30"/>
      <c r="AC162" s="38"/>
      <c r="AD162" s="29"/>
      <c r="AE162" s="39">
        <v>1</v>
      </c>
      <c r="AF162" s="40"/>
      <c r="AG162" s="32"/>
      <c r="AH162" s="33"/>
      <c r="AI162" s="32">
        <v>1</v>
      </c>
      <c r="AJ162" s="33"/>
      <c r="AK162" s="32"/>
      <c r="AL162" s="33">
        <v>1</v>
      </c>
      <c r="AM162" s="32"/>
      <c r="AN162" s="33"/>
      <c r="AO162" s="34"/>
      <c r="AP162" s="35"/>
      <c r="AQ162" s="34"/>
      <c r="AR162" s="35"/>
      <c r="AS162" s="34"/>
      <c r="AT162" s="35"/>
      <c r="AU162" s="36"/>
      <c r="AV162" s="37"/>
      <c r="AW162" s="36"/>
      <c r="AX162" s="52">
        <f t="shared" si="4"/>
        <v>1</v>
      </c>
      <c r="AY162" s="52"/>
      <c r="AZ162" s="52"/>
    </row>
    <row r="163" spans="1:52" ht="110.25" customHeight="1" x14ac:dyDescent="0.25">
      <c r="A163" s="49" t="s">
        <v>1096</v>
      </c>
      <c r="B163" s="49" t="s">
        <v>1097</v>
      </c>
      <c r="C163" s="49" t="s">
        <v>1098</v>
      </c>
      <c r="D163" s="49">
        <v>2019</v>
      </c>
      <c r="E163" s="50" t="s">
        <v>1099</v>
      </c>
      <c r="F163" s="49">
        <v>148142</v>
      </c>
      <c r="G163" s="49">
        <v>149254</v>
      </c>
      <c r="H163" s="49" t="s">
        <v>1100</v>
      </c>
      <c r="I163" s="49" t="s">
        <v>1096</v>
      </c>
      <c r="J163" s="64">
        <v>4.3506944444444445E-2</v>
      </c>
      <c r="K163" s="49" t="s">
        <v>59</v>
      </c>
      <c r="L163" s="49" t="s">
        <v>1101</v>
      </c>
      <c r="M163" s="49" t="s">
        <v>1102</v>
      </c>
      <c r="N163" s="49" t="s">
        <v>62</v>
      </c>
      <c r="O163" s="49" t="s">
        <v>98</v>
      </c>
      <c r="P163" s="49" t="s">
        <v>120</v>
      </c>
      <c r="Q163" s="49">
        <v>3</v>
      </c>
      <c r="R163" s="49" t="s">
        <v>83</v>
      </c>
      <c r="S163" s="49" t="s">
        <v>66</v>
      </c>
      <c r="T163" s="49" t="s">
        <v>85</v>
      </c>
      <c r="U163" s="49" t="s">
        <v>121</v>
      </c>
      <c r="V163" s="49" t="s">
        <v>510</v>
      </c>
      <c r="W163" s="49" t="s">
        <v>123</v>
      </c>
      <c r="X163" s="51" t="s">
        <v>1103</v>
      </c>
      <c r="Y163" s="51" t="s">
        <v>72</v>
      </c>
      <c r="Z163" s="51" t="s">
        <v>1104</v>
      </c>
      <c r="AA163" s="29"/>
      <c r="AB163" s="30"/>
      <c r="AC163" s="38"/>
      <c r="AD163" s="29"/>
      <c r="AE163" s="39">
        <v>1</v>
      </c>
      <c r="AF163" s="40"/>
      <c r="AG163" s="32"/>
      <c r="AH163" s="33"/>
      <c r="AI163" s="32"/>
      <c r="AJ163" s="33"/>
      <c r="AK163" s="32"/>
      <c r="AL163" s="33">
        <v>1</v>
      </c>
      <c r="AM163" s="32"/>
      <c r="AN163" s="33"/>
      <c r="AO163" s="34"/>
      <c r="AP163" s="35"/>
      <c r="AQ163" s="34"/>
      <c r="AR163" s="35"/>
      <c r="AS163" s="34"/>
      <c r="AT163" s="35"/>
      <c r="AU163" s="36"/>
      <c r="AV163" s="37"/>
      <c r="AW163" s="36">
        <v>1</v>
      </c>
      <c r="AX163" s="52">
        <f t="shared" si="4"/>
        <v>1</v>
      </c>
      <c r="AY163" s="52"/>
      <c r="AZ163" s="52"/>
    </row>
    <row r="164" spans="1:52" ht="110.25" customHeight="1" x14ac:dyDescent="0.25">
      <c r="A164" s="46" t="s">
        <v>1096</v>
      </c>
      <c r="B164" s="46" t="s">
        <v>1105</v>
      </c>
      <c r="C164" s="46" t="s">
        <v>1098</v>
      </c>
      <c r="D164" s="46">
        <v>2019</v>
      </c>
      <c r="E164" s="47" t="s">
        <v>1106</v>
      </c>
      <c r="F164" s="46">
        <v>383947</v>
      </c>
      <c r="G164" s="46">
        <v>385506</v>
      </c>
      <c r="H164" s="46" t="s">
        <v>1100</v>
      </c>
      <c r="I164" s="46" t="s">
        <v>1096</v>
      </c>
      <c r="J164" s="65">
        <v>4.3506944444444445E-2</v>
      </c>
      <c r="K164" s="46" t="s">
        <v>59</v>
      </c>
      <c r="L164" s="46" t="s">
        <v>1101</v>
      </c>
      <c r="M164" s="46" t="s">
        <v>1102</v>
      </c>
      <c r="N164" s="46" t="s">
        <v>62</v>
      </c>
      <c r="O164" s="46" t="s">
        <v>98</v>
      </c>
      <c r="P164" s="46" t="s">
        <v>120</v>
      </c>
      <c r="Q164" s="46">
        <v>3</v>
      </c>
      <c r="R164" s="46" t="s">
        <v>83</v>
      </c>
      <c r="S164" s="46" t="s">
        <v>66</v>
      </c>
      <c r="T164" s="46" t="s">
        <v>85</v>
      </c>
      <c r="U164" s="46" t="s">
        <v>121</v>
      </c>
      <c r="V164" s="46" t="s">
        <v>510</v>
      </c>
      <c r="W164" s="46" t="s">
        <v>123</v>
      </c>
      <c r="X164" s="48" t="s">
        <v>1107</v>
      </c>
      <c r="Y164" s="48" t="s">
        <v>72</v>
      </c>
      <c r="Z164" s="48" t="s">
        <v>1108</v>
      </c>
      <c r="AA164" s="29">
        <v>1</v>
      </c>
      <c r="AB164" s="30"/>
      <c r="AC164" s="38"/>
      <c r="AD164" s="29"/>
      <c r="AE164" s="39"/>
      <c r="AF164" s="40"/>
      <c r="AG164" s="32"/>
      <c r="AH164" s="33"/>
      <c r="AI164" s="32"/>
      <c r="AJ164" s="33"/>
      <c r="AK164" s="32"/>
      <c r="AL164" s="33"/>
      <c r="AM164" s="32"/>
      <c r="AN164" s="33"/>
      <c r="AO164" s="34"/>
      <c r="AP164" s="35"/>
      <c r="AQ164" s="34"/>
      <c r="AR164" s="35"/>
      <c r="AS164" s="34"/>
      <c r="AT164" s="35"/>
      <c r="AU164" s="36"/>
      <c r="AV164" s="37"/>
      <c r="AW164" s="36"/>
      <c r="AX164" s="52">
        <f t="shared" si="4"/>
        <v>0</v>
      </c>
      <c r="AY164" s="52"/>
      <c r="AZ164" s="52"/>
    </row>
    <row r="165" spans="1:52" ht="110.25" customHeight="1" x14ac:dyDescent="0.25">
      <c r="A165" s="49" t="s">
        <v>1096</v>
      </c>
      <c r="B165" s="49" t="s">
        <v>1109</v>
      </c>
      <c r="C165" s="49" t="s">
        <v>1098</v>
      </c>
      <c r="D165" s="49">
        <v>2019</v>
      </c>
      <c r="E165" s="50" t="s">
        <v>1110</v>
      </c>
      <c r="F165" s="49">
        <v>471156</v>
      </c>
      <c r="G165" s="49">
        <v>472424</v>
      </c>
      <c r="H165" s="49" t="s">
        <v>1100</v>
      </c>
      <c r="I165" s="49" t="s">
        <v>1096</v>
      </c>
      <c r="J165" s="64">
        <v>4.3506944444444445E-2</v>
      </c>
      <c r="K165" s="49" t="s">
        <v>59</v>
      </c>
      <c r="L165" s="49" t="s">
        <v>1101</v>
      </c>
      <c r="M165" s="49" t="s">
        <v>1102</v>
      </c>
      <c r="N165" s="49" t="s">
        <v>62</v>
      </c>
      <c r="O165" s="49" t="s">
        <v>98</v>
      </c>
      <c r="P165" s="49" t="s">
        <v>120</v>
      </c>
      <c r="Q165" s="49">
        <v>3</v>
      </c>
      <c r="R165" s="49" t="s">
        <v>83</v>
      </c>
      <c r="S165" s="49" t="s">
        <v>66</v>
      </c>
      <c r="T165" s="49" t="s">
        <v>85</v>
      </c>
      <c r="U165" s="49" t="s">
        <v>121</v>
      </c>
      <c r="V165" s="49" t="s">
        <v>510</v>
      </c>
      <c r="W165" s="49" t="s">
        <v>123</v>
      </c>
      <c r="X165" s="51" t="s">
        <v>1111</v>
      </c>
      <c r="Y165" s="51" t="s">
        <v>72</v>
      </c>
      <c r="Z165" s="51" t="s">
        <v>1112</v>
      </c>
      <c r="AA165" s="29"/>
      <c r="AB165" s="30"/>
      <c r="AC165" s="38"/>
      <c r="AD165" s="29"/>
      <c r="AE165" s="39">
        <v>1</v>
      </c>
      <c r="AF165" s="40"/>
      <c r="AG165" s="32">
        <v>1</v>
      </c>
      <c r="AH165" s="33"/>
      <c r="AI165" s="32"/>
      <c r="AJ165" s="33"/>
      <c r="AK165" s="32"/>
      <c r="AL165" s="33"/>
      <c r="AM165" s="32"/>
      <c r="AN165" s="33"/>
      <c r="AO165" s="34"/>
      <c r="AP165" s="35"/>
      <c r="AQ165" s="34"/>
      <c r="AR165" s="35"/>
      <c r="AS165" s="34"/>
      <c r="AT165" s="35"/>
      <c r="AU165" s="36"/>
      <c r="AV165" s="37"/>
      <c r="AW165" s="36">
        <v>1</v>
      </c>
      <c r="AX165" s="52">
        <f t="shared" si="4"/>
        <v>1</v>
      </c>
      <c r="AY165" s="52"/>
      <c r="AZ165" s="52"/>
    </row>
    <row r="166" spans="1:52" ht="110.25" customHeight="1" x14ac:dyDescent="0.25">
      <c r="A166" s="46" t="s">
        <v>1096</v>
      </c>
      <c r="B166" s="46" t="s">
        <v>1113</v>
      </c>
      <c r="C166" s="46" t="s">
        <v>1098</v>
      </c>
      <c r="D166" s="46">
        <v>2019</v>
      </c>
      <c r="E166" s="47" t="s">
        <v>1114</v>
      </c>
      <c r="F166" s="46">
        <v>808793</v>
      </c>
      <c r="G166" s="46">
        <v>812914</v>
      </c>
      <c r="H166" s="46" t="s">
        <v>1100</v>
      </c>
      <c r="I166" s="46" t="s">
        <v>1096</v>
      </c>
      <c r="J166" s="65">
        <v>4.3506944444444445E-2</v>
      </c>
      <c r="K166" s="46" t="s">
        <v>59</v>
      </c>
      <c r="L166" s="47" t="s">
        <v>1101</v>
      </c>
      <c r="M166" s="46" t="s">
        <v>1102</v>
      </c>
      <c r="N166" s="46" t="s">
        <v>62</v>
      </c>
      <c r="O166" s="46" t="s">
        <v>98</v>
      </c>
      <c r="P166" s="46" t="s">
        <v>120</v>
      </c>
      <c r="Q166" s="46">
        <v>3</v>
      </c>
      <c r="R166" s="46" t="s">
        <v>83</v>
      </c>
      <c r="S166" s="46" t="s">
        <v>66</v>
      </c>
      <c r="T166" s="46" t="s">
        <v>85</v>
      </c>
      <c r="U166" s="46" t="s">
        <v>121</v>
      </c>
      <c r="V166" s="46" t="s">
        <v>510</v>
      </c>
      <c r="W166" s="46" t="s">
        <v>123</v>
      </c>
      <c r="X166" s="48" t="s">
        <v>1115</v>
      </c>
      <c r="Y166" s="48" t="s">
        <v>72</v>
      </c>
      <c r="Z166" s="48" t="s">
        <v>1116</v>
      </c>
      <c r="AA166" s="29"/>
      <c r="AB166" s="30"/>
      <c r="AC166" s="38"/>
      <c r="AD166" s="29"/>
      <c r="AE166" s="39">
        <v>1</v>
      </c>
      <c r="AF166" s="40"/>
      <c r="AG166" s="32"/>
      <c r="AH166" s="33"/>
      <c r="AI166" s="32"/>
      <c r="AJ166" s="33"/>
      <c r="AK166" s="32"/>
      <c r="AL166" s="33"/>
      <c r="AM166" s="32"/>
      <c r="AN166" s="33"/>
      <c r="AO166" s="34"/>
      <c r="AP166" s="35"/>
      <c r="AQ166" s="34"/>
      <c r="AR166" s="35"/>
      <c r="AS166" s="34"/>
      <c r="AT166" s="35"/>
      <c r="AU166" s="36"/>
      <c r="AV166" s="37"/>
      <c r="AW166" s="36">
        <v>1</v>
      </c>
      <c r="AX166" s="52">
        <f t="shared" si="4"/>
        <v>0</v>
      </c>
      <c r="AY166" s="52"/>
      <c r="AZ166" s="52"/>
    </row>
    <row r="167" spans="1:52" ht="110.25" customHeight="1" x14ac:dyDescent="0.25">
      <c r="A167" s="49" t="s">
        <v>1096</v>
      </c>
      <c r="B167" s="49" t="s">
        <v>1117</v>
      </c>
      <c r="C167" s="49" t="s">
        <v>1098</v>
      </c>
      <c r="D167" s="49">
        <v>2019</v>
      </c>
      <c r="E167" s="50" t="s">
        <v>1118</v>
      </c>
      <c r="F167" s="49">
        <v>830894</v>
      </c>
      <c r="G167" s="49">
        <v>833114</v>
      </c>
      <c r="H167" s="49" t="s">
        <v>1100</v>
      </c>
      <c r="I167" s="49" t="s">
        <v>1096</v>
      </c>
      <c r="J167" s="64">
        <v>4.3506944444444445E-2</v>
      </c>
      <c r="K167" s="49" t="s">
        <v>59</v>
      </c>
      <c r="L167" s="49" t="s">
        <v>1101</v>
      </c>
      <c r="M167" s="49" t="s">
        <v>1102</v>
      </c>
      <c r="N167" s="49" t="s">
        <v>62</v>
      </c>
      <c r="O167" s="49" t="s">
        <v>98</v>
      </c>
      <c r="P167" s="49" t="s">
        <v>120</v>
      </c>
      <c r="Q167" s="49">
        <v>3</v>
      </c>
      <c r="R167" s="49" t="s">
        <v>83</v>
      </c>
      <c r="S167" s="49" t="s">
        <v>66</v>
      </c>
      <c r="T167" s="49" t="s">
        <v>85</v>
      </c>
      <c r="U167" s="49" t="s">
        <v>121</v>
      </c>
      <c r="V167" s="49" t="s">
        <v>510</v>
      </c>
      <c r="W167" s="49" t="s">
        <v>123</v>
      </c>
      <c r="X167" s="51" t="s">
        <v>1119</v>
      </c>
      <c r="Y167" s="51" t="s">
        <v>72</v>
      </c>
      <c r="Z167" s="51" t="s">
        <v>1120</v>
      </c>
      <c r="AA167" s="29"/>
      <c r="AB167" s="30"/>
      <c r="AC167" s="38"/>
      <c r="AD167" s="29"/>
      <c r="AE167" s="39">
        <v>1</v>
      </c>
      <c r="AF167" s="40"/>
      <c r="AG167" s="32">
        <v>1</v>
      </c>
      <c r="AH167" s="33"/>
      <c r="AI167" s="32"/>
      <c r="AJ167" s="33"/>
      <c r="AK167" s="32"/>
      <c r="AL167" s="33"/>
      <c r="AM167" s="32"/>
      <c r="AN167" s="33"/>
      <c r="AO167" s="34"/>
      <c r="AP167" s="35"/>
      <c r="AQ167" s="34"/>
      <c r="AR167" s="35"/>
      <c r="AS167" s="34"/>
      <c r="AT167" s="35"/>
      <c r="AU167" s="36"/>
      <c r="AV167" s="37">
        <v>1</v>
      </c>
      <c r="AW167" s="36"/>
      <c r="AX167" s="52">
        <f t="shared" si="4"/>
        <v>1</v>
      </c>
      <c r="AY167" s="52"/>
      <c r="AZ167" s="52"/>
    </row>
    <row r="168" spans="1:52" ht="110.25" customHeight="1" x14ac:dyDescent="0.25">
      <c r="A168" s="46" t="s">
        <v>1096</v>
      </c>
      <c r="B168" s="46" t="s">
        <v>1121</v>
      </c>
      <c r="C168" s="46" t="s">
        <v>1098</v>
      </c>
      <c r="D168" s="46">
        <v>2019</v>
      </c>
      <c r="E168" s="47" t="s">
        <v>1122</v>
      </c>
      <c r="F168" s="46">
        <v>1673110</v>
      </c>
      <c r="G168" s="46">
        <v>1674608</v>
      </c>
      <c r="H168" s="46" t="s">
        <v>1123</v>
      </c>
      <c r="I168" s="46" t="s">
        <v>1096</v>
      </c>
      <c r="J168" s="65">
        <v>4.3506944444444445E-2</v>
      </c>
      <c r="K168" s="46" t="s">
        <v>59</v>
      </c>
      <c r="L168" s="46" t="s">
        <v>1101</v>
      </c>
      <c r="M168" s="46" t="s">
        <v>1102</v>
      </c>
      <c r="N168" s="46" t="s">
        <v>97</v>
      </c>
      <c r="O168" s="46" t="s">
        <v>63</v>
      </c>
      <c r="P168" s="46" t="s">
        <v>120</v>
      </c>
      <c r="Q168" s="46">
        <v>3</v>
      </c>
      <c r="R168" s="46" t="s">
        <v>99</v>
      </c>
      <c r="S168" s="46" t="s">
        <v>66</v>
      </c>
      <c r="T168" s="46" t="s">
        <v>85</v>
      </c>
      <c r="U168" s="46" t="s">
        <v>1124</v>
      </c>
      <c r="V168" s="46" t="s">
        <v>510</v>
      </c>
      <c r="W168" s="46" t="s">
        <v>100</v>
      </c>
      <c r="X168" s="48" t="s">
        <v>1125</v>
      </c>
      <c r="Y168" s="48" t="s">
        <v>72</v>
      </c>
      <c r="Z168" s="48" t="s">
        <v>1126</v>
      </c>
      <c r="AA168" s="29"/>
      <c r="AB168" s="30"/>
      <c r="AC168" s="38"/>
      <c r="AD168" s="29"/>
      <c r="AE168" s="39">
        <v>1</v>
      </c>
      <c r="AF168" s="40"/>
      <c r="AG168" s="32"/>
      <c r="AH168" s="33"/>
      <c r="AI168" s="32"/>
      <c r="AJ168" s="33"/>
      <c r="AK168" s="32">
        <v>1</v>
      </c>
      <c r="AL168" s="33"/>
      <c r="AM168" s="32"/>
      <c r="AN168" s="33"/>
      <c r="AO168" s="34"/>
      <c r="AP168" s="35"/>
      <c r="AQ168" s="34"/>
      <c r="AR168" s="35"/>
      <c r="AS168" s="34"/>
      <c r="AT168" s="35"/>
      <c r="AU168" s="36"/>
      <c r="AV168" s="37">
        <v>1</v>
      </c>
      <c r="AW168" s="36"/>
      <c r="AX168" s="52">
        <f t="shared" si="4"/>
        <v>1</v>
      </c>
      <c r="AY168" s="52"/>
      <c r="AZ168" s="52"/>
    </row>
    <row r="169" spans="1:52" ht="110.25" customHeight="1" x14ac:dyDescent="0.25">
      <c r="A169" s="49" t="s">
        <v>1096</v>
      </c>
      <c r="B169" s="49" t="s">
        <v>1127</v>
      </c>
      <c r="C169" s="49" t="s">
        <v>1098</v>
      </c>
      <c r="D169" s="49">
        <v>2019</v>
      </c>
      <c r="E169" s="50" t="s">
        <v>1128</v>
      </c>
      <c r="F169" s="49">
        <v>1759603</v>
      </c>
      <c r="G169" s="49">
        <v>1760603</v>
      </c>
      <c r="H169" s="49" t="s">
        <v>1100</v>
      </c>
      <c r="I169" s="49" t="s">
        <v>1096</v>
      </c>
      <c r="J169" s="64">
        <v>4.3506944444444445E-2</v>
      </c>
      <c r="K169" s="49" t="s">
        <v>59</v>
      </c>
      <c r="L169" s="49" t="s">
        <v>1101</v>
      </c>
      <c r="M169" s="49" t="s">
        <v>1102</v>
      </c>
      <c r="N169" s="49" t="s">
        <v>62</v>
      </c>
      <c r="O169" s="49" t="s">
        <v>98</v>
      </c>
      <c r="P169" s="49" t="s">
        <v>120</v>
      </c>
      <c r="Q169" s="49">
        <v>3</v>
      </c>
      <c r="R169" s="49" t="s">
        <v>83</v>
      </c>
      <c r="S169" s="49" t="s">
        <v>66</v>
      </c>
      <c r="T169" s="49" t="s">
        <v>85</v>
      </c>
      <c r="U169" s="49" t="s">
        <v>121</v>
      </c>
      <c r="V169" s="49" t="s">
        <v>510</v>
      </c>
      <c r="W169" s="49" t="s">
        <v>123</v>
      </c>
      <c r="X169" s="51" t="s">
        <v>1129</v>
      </c>
      <c r="Y169" s="51" t="s">
        <v>72</v>
      </c>
      <c r="Z169" s="51" t="s">
        <v>1130</v>
      </c>
      <c r="AA169" s="29"/>
      <c r="AB169" s="30"/>
      <c r="AC169" s="38"/>
      <c r="AD169" s="29"/>
      <c r="AE169" s="39">
        <v>1</v>
      </c>
      <c r="AF169" s="40"/>
      <c r="AG169" s="32"/>
      <c r="AH169" s="33"/>
      <c r="AI169" s="32"/>
      <c r="AJ169" s="33"/>
      <c r="AK169" s="32">
        <v>1</v>
      </c>
      <c r="AL169" s="33"/>
      <c r="AM169" s="32"/>
      <c r="AN169" s="33">
        <v>1</v>
      </c>
      <c r="AO169" s="34"/>
      <c r="AP169" s="35"/>
      <c r="AQ169" s="34"/>
      <c r="AR169" s="35"/>
      <c r="AS169" s="34"/>
      <c r="AT169" s="35"/>
      <c r="AU169" s="36"/>
      <c r="AV169" s="37">
        <v>1</v>
      </c>
      <c r="AW169" s="36"/>
      <c r="AX169" s="52">
        <f t="shared" si="4"/>
        <v>1</v>
      </c>
      <c r="AY169" s="52"/>
      <c r="AZ169" s="52"/>
    </row>
    <row r="170" spans="1:52" ht="110.25" customHeight="1" x14ac:dyDescent="0.25">
      <c r="A170" s="46" t="s">
        <v>1096</v>
      </c>
      <c r="B170" s="46" t="s">
        <v>1131</v>
      </c>
      <c r="C170" s="46" t="s">
        <v>1098</v>
      </c>
      <c r="D170" s="46">
        <v>2019</v>
      </c>
      <c r="E170" s="46" t="s">
        <v>1132</v>
      </c>
      <c r="F170" s="46">
        <v>1765105</v>
      </c>
      <c r="G170" s="46">
        <v>1766407</v>
      </c>
      <c r="H170" s="46" t="s">
        <v>1100</v>
      </c>
      <c r="I170" s="46" t="s">
        <v>1096</v>
      </c>
      <c r="J170" s="65">
        <v>4.3506944444444445E-2</v>
      </c>
      <c r="K170" s="46" t="s">
        <v>59</v>
      </c>
      <c r="L170" s="46" t="s">
        <v>1101</v>
      </c>
      <c r="M170" s="46" t="s">
        <v>1102</v>
      </c>
      <c r="N170" s="46" t="s">
        <v>62</v>
      </c>
      <c r="O170" s="46" t="s">
        <v>98</v>
      </c>
      <c r="P170" s="46" t="s">
        <v>120</v>
      </c>
      <c r="Q170" s="46">
        <v>3</v>
      </c>
      <c r="R170" s="46" t="s">
        <v>83</v>
      </c>
      <c r="S170" s="46" t="s">
        <v>66</v>
      </c>
      <c r="T170" s="46" t="s">
        <v>85</v>
      </c>
      <c r="U170" s="46" t="s">
        <v>121</v>
      </c>
      <c r="V170" s="46" t="s">
        <v>510</v>
      </c>
      <c r="W170" s="46" t="s">
        <v>123</v>
      </c>
      <c r="X170" s="48" t="s">
        <v>1130</v>
      </c>
      <c r="Y170" s="48" t="s">
        <v>72</v>
      </c>
      <c r="Z170" s="48" t="s">
        <v>1133</v>
      </c>
      <c r="AA170" s="29"/>
      <c r="AB170" s="30"/>
      <c r="AC170" s="38"/>
      <c r="AD170" s="29"/>
      <c r="AE170" s="39">
        <v>1</v>
      </c>
      <c r="AF170" s="40">
        <v>1</v>
      </c>
      <c r="AG170" s="32">
        <v>1</v>
      </c>
      <c r="AH170" s="33"/>
      <c r="AI170" s="32"/>
      <c r="AJ170" s="33"/>
      <c r="AK170" s="32"/>
      <c r="AL170" s="33"/>
      <c r="AM170" s="32"/>
      <c r="AN170" s="33"/>
      <c r="AO170" s="34"/>
      <c r="AP170" s="35"/>
      <c r="AQ170" s="34"/>
      <c r="AR170" s="35"/>
      <c r="AS170" s="34"/>
      <c r="AT170" s="35"/>
      <c r="AU170" s="36"/>
      <c r="AV170" s="37">
        <v>1</v>
      </c>
      <c r="AW170" s="36"/>
      <c r="AX170" s="52">
        <f t="shared" si="4"/>
        <v>1</v>
      </c>
      <c r="AY170" s="52"/>
      <c r="AZ170" s="52"/>
    </row>
    <row r="171" spans="1:52" ht="110.25" customHeight="1" x14ac:dyDescent="0.25">
      <c r="A171" s="49" t="s">
        <v>1096</v>
      </c>
      <c r="B171" s="49" t="s">
        <v>1134</v>
      </c>
      <c r="C171" s="49" t="s">
        <v>1098</v>
      </c>
      <c r="D171" s="49">
        <v>2019</v>
      </c>
      <c r="E171" s="49" t="s">
        <v>1135</v>
      </c>
      <c r="F171" s="49">
        <v>1766598</v>
      </c>
      <c r="G171" s="49">
        <v>1770010</v>
      </c>
      <c r="H171" s="49" t="s">
        <v>1100</v>
      </c>
      <c r="I171" s="49" t="s">
        <v>1096</v>
      </c>
      <c r="J171" s="64">
        <v>4.3506944444444445E-2</v>
      </c>
      <c r="K171" s="49" t="s">
        <v>59</v>
      </c>
      <c r="L171" s="49" t="s">
        <v>1101</v>
      </c>
      <c r="M171" s="49" t="s">
        <v>1102</v>
      </c>
      <c r="N171" s="49" t="s">
        <v>62</v>
      </c>
      <c r="O171" s="49" t="s">
        <v>98</v>
      </c>
      <c r="P171" s="49" t="s">
        <v>120</v>
      </c>
      <c r="Q171" s="49">
        <v>3</v>
      </c>
      <c r="R171" s="49" t="s">
        <v>83</v>
      </c>
      <c r="S171" s="49" t="s">
        <v>66</v>
      </c>
      <c r="T171" s="49" t="s">
        <v>85</v>
      </c>
      <c r="U171" s="49" t="s">
        <v>121</v>
      </c>
      <c r="V171" s="49" t="s">
        <v>510</v>
      </c>
      <c r="W171" s="49" t="s">
        <v>123</v>
      </c>
      <c r="X171" s="51" t="s">
        <v>1136</v>
      </c>
      <c r="Y171" s="51" t="s">
        <v>72</v>
      </c>
      <c r="Z171" s="51" t="s">
        <v>1137</v>
      </c>
      <c r="AA171" s="29"/>
      <c r="AB171" s="30"/>
      <c r="AC171" s="38"/>
      <c r="AD171" s="29"/>
      <c r="AE171" s="39">
        <v>1</v>
      </c>
      <c r="AF171" s="40">
        <v>1</v>
      </c>
      <c r="AG171" s="32">
        <v>1</v>
      </c>
      <c r="AH171" s="33"/>
      <c r="AI171" s="32"/>
      <c r="AJ171" s="33"/>
      <c r="AK171" s="32"/>
      <c r="AL171" s="33"/>
      <c r="AM171" s="32"/>
      <c r="AN171" s="33"/>
      <c r="AO171" s="34"/>
      <c r="AP171" s="35"/>
      <c r="AQ171" s="34"/>
      <c r="AR171" s="35"/>
      <c r="AS171" s="34"/>
      <c r="AT171" s="35"/>
      <c r="AU171" s="36"/>
      <c r="AV171" s="37">
        <v>1</v>
      </c>
      <c r="AW171" s="36"/>
      <c r="AX171" s="52">
        <f t="shared" si="4"/>
        <v>1</v>
      </c>
      <c r="AY171" s="52"/>
      <c r="AZ171" s="52"/>
    </row>
    <row r="172" spans="1:52" ht="110.25" customHeight="1" x14ac:dyDescent="0.25">
      <c r="A172" s="46" t="s">
        <v>1096</v>
      </c>
      <c r="B172" s="46" t="s">
        <v>1138</v>
      </c>
      <c r="C172" s="46" t="s">
        <v>1098</v>
      </c>
      <c r="D172" s="46">
        <v>2019</v>
      </c>
      <c r="E172" s="47" t="s">
        <v>1139</v>
      </c>
      <c r="F172" s="46">
        <v>1878743</v>
      </c>
      <c r="G172" s="46">
        <v>1879798</v>
      </c>
      <c r="H172" s="46" t="s">
        <v>1100</v>
      </c>
      <c r="I172" s="46" t="s">
        <v>1096</v>
      </c>
      <c r="J172" s="65">
        <v>4.3506944444444445E-2</v>
      </c>
      <c r="K172" s="46" t="s">
        <v>59</v>
      </c>
      <c r="L172" s="46" t="s">
        <v>1101</v>
      </c>
      <c r="M172" s="46" t="s">
        <v>1102</v>
      </c>
      <c r="N172" s="46" t="s">
        <v>62</v>
      </c>
      <c r="O172" s="46" t="s">
        <v>98</v>
      </c>
      <c r="P172" s="46" t="s">
        <v>120</v>
      </c>
      <c r="Q172" s="46">
        <v>3</v>
      </c>
      <c r="R172" s="46" t="s">
        <v>83</v>
      </c>
      <c r="S172" s="46" t="s">
        <v>66</v>
      </c>
      <c r="T172" s="46" t="s">
        <v>85</v>
      </c>
      <c r="U172" s="46" t="s">
        <v>121</v>
      </c>
      <c r="V172" s="46" t="s">
        <v>510</v>
      </c>
      <c r="W172" s="46" t="s">
        <v>123</v>
      </c>
      <c r="X172" s="48" t="s">
        <v>1140</v>
      </c>
      <c r="Y172" s="48" t="s">
        <v>72</v>
      </c>
      <c r="Z172" s="48" t="s">
        <v>1141</v>
      </c>
      <c r="AA172" s="29"/>
      <c r="AB172" s="30"/>
      <c r="AC172" s="38"/>
      <c r="AD172" s="29"/>
      <c r="AE172" s="39">
        <v>1</v>
      </c>
      <c r="AF172" s="40">
        <v>1</v>
      </c>
      <c r="AG172" s="32">
        <v>1</v>
      </c>
      <c r="AH172" s="33"/>
      <c r="AI172" s="32"/>
      <c r="AJ172" s="33"/>
      <c r="AK172" s="32"/>
      <c r="AL172" s="33"/>
      <c r="AM172" s="32"/>
      <c r="AN172" s="33"/>
      <c r="AO172" s="34">
        <v>1</v>
      </c>
      <c r="AP172" s="35"/>
      <c r="AQ172" s="34"/>
      <c r="AR172" s="35">
        <v>1</v>
      </c>
      <c r="AS172" s="34"/>
      <c r="AT172" s="35"/>
      <c r="AU172" s="36"/>
      <c r="AV172" s="37">
        <v>1</v>
      </c>
      <c r="AW172" s="36"/>
      <c r="AX172" s="52">
        <f t="shared" si="4"/>
        <v>1</v>
      </c>
      <c r="AY172" s="52"/>
      <c r="AZ172" s="52"/>
    </row>
    <row r="173" spans="1:52" ht="110.25" customHeight="1" x14ac:dyDescent="0.25">
      <c r="A173" s="49" t="s">
        <v>1096</v>
      </c>
      <c r="B173" s="49" t="s">
        <v>1142</v>
      </c>
      <c r="C173" s="49" t="s">
        <v>1098</v>
      </c>
      <c r="D173" s="49">
        <v>2019</v>
      </c>
      <c r="E173" s="50" t="s">
        <v>1143</v>
      </c>
      <c r="F173" s="49">
        <v>1944304</v>
      </c>
      <c r="G173" s="49">
        <v>1946205</v>
      </c>
      <c r="H173" s="49" t="s">
        <v>1100</v>
      </c>
      <c r="I173" s="49" t="s">
        <v>1096</v>
      </c>
      <c r="J173" s="64">
        <v>4.3506944444444445E-2</v>
      </c>
      <c r="K173" s="49" t="s">
        <v>59</v>
      </c>
      <c r="L173" s="49" t="s">
        <v>1101</v>
      </c>
      <c r="M173" s="49" t="s">
        <v>1102</v>
      </c>
      <c r="N173" s="49" t="s">
        <v>62</v>
      </c>
      <c r="O173" s="49" t="s">
        <v>98</v>
      </c>
      <c r="P173" s="49" t="s">
        <v>120</v>
      </c>
      <c r="Q173" s="49">
        <v>3</v>
      </c>
      <c r="R173" s="49" t="s">
        <v>83</v>
      </c>
      <c r="S173" s="49" t="s">
        <v>66</v>
      </c>
      <c r="T173" s="49" t="s">
        <v>85</v>
      </c>
      <c r="U173" s="49" t="s">
        <v>121</v>
      </c>
      <c r="V173" s="49" t="s">
        <v>510</v>
      </c>
      <c r="W173" s="49" t="s">
        <v>123</v>
      </c>
      <c r="X173" s="51" t="s">
        <v>1144</v>
      </c>
      <c r="Y173" s="51" t="s">
        <v>72</v>
      </c>
      <c r="Z173" s="51" t="s">
        <v>1145</v>
      </c>
      <c r="AA173" s="29"/>
      <c r="AB173" s="30"/>
      <c r="AC173" s="38"/>
      <c r="AD173" s="29"/>
      <c r="AE173" s="39">
        <v>1</v>
      </c>
      <c r="AF173" s="40"/>
      <c r="AG173" s="32"/>
      <c r="AH173" s="33"/>
      <c r="AI173" s="32"/>
      <c r="AJ173" s="33"/>
      <c r="AK173" s="32"/>
      <c r="AL173" s="33"/>
      <c r="AM173" s="32"/>
      <c r="AN173" s="33">
        <v>1</v>
      </c>
      <c r="AO173" s="34"/>
      <c r="AP173" s="35"/>
      <c r="AQ173" s="34"/>
      <c r="AR173" s="35"/>
      <c r="AS173" s="34"/>
      <c r="AT173" s="35"/>
      <c r="AU173" s="36"/>
      <c r="AV173" s="37">
        <v>1</v>
      </c>
      <c r="AW173" s="36"/>
      <c r="AX173" s="52">
        <f t="shared" si="4"/>
        <v>1</v>
      </c>
      <c r="AY173" s="52"/>
      <c r="AZ173" s="52"/>
    </row>
    <row r="174" spans="1:52" ht="110.25" customHeight="1" x14ac:dyDescent="0.25">
      <c r="A174" s="46" t="s">
        <v>1096</v>
      </c>
      <c r="B174" s="46" t="s">
        <v>1146</v>
      </c>
      <c r="C174" s="46" t="s">
        <v>1098</v>
      </c>
      <c r="D174" s="46">
        <v>2019</v>
      </c>
      <c r="E174" s="47" t="s">
        <v>1147</v>
      </c>
      <c r="F174" s="46">
        <v>3687692</v>
      </c>
      <c r="G174" s="46">
        <v>3689302</v>
      </c>
      <c r="H174" s="46" t="s">
        <v>1100</v>
      </c>
      <c r="I174" s="46" t="s">
        <v>1096</v>
      </c>
      <c r="J174" s="65">
        <v>4.3506944444444445E-2</v>
      </c>
      <c r="K174" s="46" t="s">
        <v>59</v>
      </c>
      <c r="L174" s="46" t="s">
        <v>1101</v>
      </c>
      <c r="M174" s="46" t="s">
        <v>1102</v>
      </c>
      <c r="N174" s="46" t="s">
        <v>62</v>
      </c>
      <c r="O174" s="46" t="s">
        <v>98</v>
      </c>
      <c r="P174" s="46" t="s">
        <v>120</v>
      </c>
      <c r="Q174" s="46">
        <v>3</v>
      </c>
      <c r="R174" s="46" t="s">
        <v>83</v>
      </c>
      <c r="S174" s="46" t="s">
        <v>66</v>
      </c>
      <c r="T174" s="46" t="s">
        <v>85</v>
      </c>
      <c r="U174" s="46" t="s">
        <v>121</v>
      </c>
      <c r="V174" s="46" t="s">
        <v>510</v>
      </c>
      <c r="W174" s="46" t="s">
        <v>123</v>
      </c>
      <c r="X174" s="48" t="s">
        <v>1148</v>
      </c>
      <c r="Y174" s="48" t="s">
        <v>72</v>
      </c>
      <c r="Z174" s="48" t="s">
        <v>1149</v>
      </c>
      <c r="AA174" s="29"/>
      <c r="AB174" s="30"/>
      <c r="AC174" s="38"/>
      <c r="AD174" s="29"/>
      <c r="AE174" s="39">
        <v>1</v>
      </c>
      <c r="AF174" s="40"/>
      <c r="AG174" s="32"/>
      <c r="AH174" s="33"/>
      <c r="AI174" s="32"/>
      <c r="AJ174" s="33"/>
      <c r="AK174" s="32"/>
      <c r="AL174" s="33"/>
      <c r="AM174" s="32"/>
      <c r="AN174" s="33"/>
      <c r="AO174" s="34"/>
      <c r="AP174" s="35">
        <v>1</v>
      </c>
      <c r="AQ174" s="34"/>
      <c r="AR174" s="35"/>
      <c r="AS174" s="34"/>
      <c r="AT174" s="35"/>
      <c r="AU174" s="36"/>
      <c r="AV174" s="37">
        <v>1</v>
      </c>
      <c r="AW174" s="36"/>
      <c r="AX174" s="52">
        <f t="shared" si="4"/>
        <v>1</v>
      </c>
      <c r="AY174" s="52"/>
      <c r="AZ174" s="52"/>
    </row>
    <row r="175" spans="1:52" ht="110.25" customHeight="1" x14ac:dyDescent="0.25">
      <c r="A175" s="49" t="s">
        <v>1150</v>
      </c>
      <c r="B175" s="49" t="s">
        <v>1151</v>
      </c>
      <c r="C175" s="49" t="s">
        <v>1152</v>
      </c>
      <c r="D175" s="49" t="s">
        <v>114</v>
      </c>
      <c r="E175" s="50" t="s">
        <v>1153</v>
      </c>
      <c r="F175" s="49">
        <v>190490</v>
      </c>
      <c r="G175" s="49">
        <v>197610</v>
      </c>
      <c r="H175" s="49" t="s">
        <v>1154</v>
      </c>
      <c r="I175" s="49" t="s">
        <v>1150</v>
      </c>
      <c r="J175" s="64">
        <v>6.3657407407407404E-3</v>
      </c>
      <c r="K175" s="49" t="s">
        <v>59</v>
      </c>
      <c r="L175" s="49" t="s">
        <v>1155</v>
      </c>
      <c r="M175" s="49" t="s">
        <v>1156</v>
      </c>
      <c r="N175" s="49" t="s">
        <v>1157</v>
      </c>
      <c r="O175" s="49" t="s">
        <v>98</v>
      </c>
      <c r="P175" s="49" t="s">
        <v>64</v>
      </c>
      <c r="Q175" s="49">
        <v>2</v>
      </c>
      <c r="R175" s="49" t="s">
        <v>83</v>
      </c>
      <c r="S175" s="49" t="s">
        <v>66</v>
      </c>
      <c r="T175" s="49" t="s">
        <v>85</v>
      </c>
      <c r="U175" s="49" t="s">
        <v>68</v>
      </c>
      <c r="V175" s="49" t="s">
        <v>510</v>
      </c>
      <c r="W175" s="49" t="s">
        <v>123</v>
      </c>
      <c r="X175" s="51" t="s">
        <v>1158</v>
      </c>
      <c r="Y175" s="51" t="s">
        <v>72</v>
      </c>
      <c r="Z175" s="51" t="s">
        <v>1159</v>
      </c>
      <c r="AA175" s="29"/>
      <c r="AB175" s="30"/>
      <c r="AC175" s="38"/>
      <c r="AD175" s="29"/>
      <c r="AE175" s="39">
        <v>1</v>
      </c>
      <c r="AF175" s="40"/>
      <c r="AG175" s="32"/>
      <c r="AH175" s="33"/>
      <c r="AI175" s="32"/>
      <c r="AJ175" s="33"/>
      <c r="AK175" s="32"/>
      <c r="AL175" s="33"/>
      <c r="AM175" s="32"/>
      <c r="AN175" s="33">
        <v>1</v>
      </c>
      <c r="AO175" s="34"/>
      <c r="AP175" s="35"/>
      <c r="AQ175" s="34"/>
      <c r="AR175" s="35"/>
      <c r="AS175" s="34"/>
      <c r="AT175" s="35"/>
      <c r="AU175" s="36"/>
      <c r="AV175" s="37">
        <v>1</v>
      </c>
      <c r="AW175" s="36"/>
      <c r="AX175" s="52">
        <f t="shared" si="4"/>
        <v>1</v>
      </c>
      <c r="AY175" s="52"/>
      <c r="AZ175" s="52"/>
    </row>
    <row r="176" spans="1:52" ht="110.25" customHeight="1" x14ac:dyDescent="0.25">
      <c r="A176" s="46" t="s">
        <v>1150</v>
      </c>
      <c r="B176" s="46" t="s">
        <v>1160</v>
      </c>
      <c r="C176" s="46" t="s">
        <v>1152</v>
      </c>
      <c r="D176" s="46" t="s">
        <v>114</v>
      </c>
      <c r="E176" s="47" t="s">
        <v>1161</v>
      </c>
      <c r="F176" s="46">
        <v>501889</v>
      </c>
      <c r="G176" s="46">
        <v>504635</v>
      </c>
      <c r="H176" s="46" t="s">
        <v>1154</v>
      </c>
      <c r="I176" s="46" t="s">
        <v>1150</v>
      </c>
      <c r="J176" s="65">
        <v>6.3657407407407404E-3</v>
      </c>
      <c r="K176" s="46" t="s">
        <v>59</v>
      </c>
      <c r="L176" s="46" t="s">
        <v>1155</v>
      </c>
      <c r="M176" s="46" t="s">
        <v>1156</v>
      </c>
      <c r="N176" s="46" t="s">
        <v>1157</v>
      </c>
      <c r="O176" s="46" t="s">
        <v>98</v>
      </c>
      <c r="P176" s="46" t="s">
        <v>64</v>
      </c>
      <c r="Q176" s="46">
        <v>2</v>
      </c>
      <c r="R176" s="46" t="s">
        <v>83</v>
      </c>
      <c r="S176" s="46" t="s">
        <v>66</v>
      </c>
      <c r="T176" s="46" t="s">
        <v>85</v>
      </c>
      <c r="U176" s="46" t="s">
        <v>68</v>
      </c>
      <c r="V176" s="46" t="s">
        <v>510</v>
      </c>
      <c r="W176" s="46" t="s">
        <v>123</v>
      </c>
      <c r="X176" s="48" t="s">
        <v>1162</v>
      </c>
      <c r="Y176" s="48" t="s">
        <v>72</v>
      </c>
      <c r="Z176" s="48" t="s">
        <v>1163</v>
      </c>
      <c r="AA176" s="29"/>
      <c r="AB176" s="30"/>
      <c r="AC176" s="38"/>
      <c r="AD176" s="29"/>
      <c r="AE176" s="39">
        <v>1</v>
      </c>
      <c r="AF176" s="40"/>
      <c r="AG176" s="32"/>
      <c r="AH176" s="33"/>
      <c r="AI176" s="32"/>
      <c r="AJ176" s="33"/>
      <c r="AK176" s="32"/>
      <c r="AL176" s="33"/>
      <c r="AM176" s="32"/>
      <c r="AN176" s="33">
        <v>1</v>
      </c>
      <c r="AO176" s="34"/>
      <c r="AP176" s="35"/>
      <c r="AQ176" s="34"/>
      <c r="AR176" s="35"/>
      <c r="AS176" s="34"/>
      <c r="AT176" s="35"/>
      <c r="AU176" s="36"/>
      <c r="AV176" s="37">
        <v>1</v>
      </c>
      <c r="AW176" s="36"/>
      <c r="AX176" s="52">
        <f t="shared" si="4"/>
        <v>1</v>
      </c>
      <c r="AY176" s="52"/>
      <c r="AZ176" s="52"/>
    </row>
    <row r="177" spans="1:147" ht="110.25" customHeight="1" x14ac:dyDescent="0.25">
      <c r="A177" s="49" t="s">
        <v>1164</v>
      </c>
      <c r="B177" s="49" t="s">
        <v>1165</v>
      </c>
      <c r="C177" s="49" t="s">
        <v>1166</v>
      </c>
      <c r="D177" s="49">
        <v>2020</v>
      </c>
      <c r="E177" s="50" t="s">
        <v>1167</v>
      </c>
      <c r="F177" s="49">
        <v>1848065</v>
      </c>
      <c r="G177" s="49">
        <v>1851802</v>
      </c>
      <c r="H177" s="49" t="s">
        <v>1168</v>
      </c>
      <c r="I177" s="49" t="s">
        <v>1164</v>
      </c>
      <c r="J177" s="64">
        <v>2.9236111111111112E-2</v>
      </c>
      <c r="K177" s="49" t="s">
        <v>59</v>
      </c>
      <c r="L177" s="49" t="s">
        <v>1169</v>
      </c>
      <c r="M177" s="49" t="s">
        <v>1170</v>
      </c>
      <c r="N177" s="49" t="s">
        <v>186</v>
      </c>
      <c r="O177" s="49" t="s">
        <v>63</v>
      </c>
      <c r="P177" s="49" t="s">
        <v>1171</v>
      </c>
      <c r="Q177" s="49">
        <v>4</v>
      </c>
      <c r="R177" s="49" t="s">
        <v>99</v>
      </c>
      <c r="S177" s="49" t="s">
        <v>66</v>
      </c>
      <c r="T177" s="49" t="s">
        <v>67</v>
      </c>
      <c r="U177" s="49" t="s">
        <v>68</v>
      </c>
      <c r="V177" s="49" t="s">
        <v>69</v>
      </c>
      <c r="W177" s="49" t="s">
        <v>100</v>
      </c>
      <c r="X177" s="51" t="s">
        <v>1172</v>
      </c>
      <c r="Y177" s="51" t="s">
        <v>72</v>
      </c>
      <c r="Z177" s="51" t="s">
        <v>1173</v>
      </c>
      <c r="AA177" s="29">
        <v>1</v>
      </c>
      <c r="AB177" s="30"/>
      <c r="AC177" s="38"/>
      <c r="AD177" s="29"/>
      <c r="AE177" s="39"/>
      <c r="AF177" s="40"/>
      <c r="AG177" s="32"/>
      <c r="AH177" s="33"/>
      <c r="AI177" s="32"/>
      <c r="AJ177" s="33"/>
      <c r="AK177" s="32"/>
      <c r="AL177" s="33"/>
      <c r="AM177" s="32"/>
      <c r="AN177" s="33"/>
      <c r="AO177" s="34"/>
      <c r="AP177" s="35"/>
      <c r="AQ177" s="34"/>
      <c r="AR177" s="35"/>
      <c r="AS177" s="34"/>
      <c r="AT177" s="35"/>
      <c r="AU177" s="36"/>
      <c r="AV177" s="37"/>
      <c r="AW177" s="36"/>
      <c r="AX177" s="52">
        <f t="shared" si="4"/>
        <v>0</v>
      </c>
      <c r="AY177" s="52"/>
      <c r="AZ177" s="52"/>
    </row>
    <row r="178" spans="1:147" ht="110.25" customHeight="1" x14ac:dyDescent="0.25">
      <c r="A178" s="46" t="s">
        <v>1174</v>
      </c>
      <c r="B178" s="46" t="s">
        <v>1175</v>
      </c>
      <c r="C178" s="46" t="s">
        <v>1176</v>
      </c>
      <c r="D178" s="46">
        <v>2022</v>
      </c>
      <c r="E178" s="47" t="s">
        <v>1177</v>
      </c>
      <c r="F178" s="46">
        <v>1271355</v>
      </c>
      <c r="G178" s="46">
        <v>1274887</v>
      </c>
      <c r="H178" s="46" t="s">
        <v>1178</v>
      </c>
      <c r="I178" s="46" t="s">
        <v>1174</v>
      </c>
      <c r="J178" s="65">
        <v>2.9675925925925925E-2</v>
      </c>
      <c r="K178" s="46" t="s">
        <v>79</v>
      </c>
      <c r="L178" s="46" t="s">
        <v>1179</v>
      </c>
      <c r="M178" s="46" t="s">
        <v>1180</v>
      </c>
      <c r="N178" s="46" t="s">
        <v>97</v>
      </c>
      <c r="O178" s="46" t="s">
        <v>63</v>
      </c>
      <c r="P178" s="46" t="s">
        <v>64</v>
      </c>
      <c r="Q178" s="46">
        <v>2</v>
      </c>
      <c r="R178" s="46" t="s">
        <v>454</v>
      </c>
      <c r="S178" s="46" t="s">
        <v>84</v>
      </c>
      <c r="T178" s="46" t="s">
        <v>85</v>
      </c>
      <c r="U178" s="46" t="s">
        <v>68</v>
      </c>
      <c r="V178" s="46" t="s">
        <v>86</v>
      </c>
      <c r="W178" s="46" t="s">
        <v>70</v>
      </c>
      <c r="X178" s="48" t="s">
        <v>1181</v>
      </c>
      <c r="Y178" s="48" t="s">
        <v>72</v>
      </c>
      <c r="Z178" s="48" t="s">
        <v>1182</v>
      </c>
      <c r="AA178" s="29"/>
      <c r="AB178" s="30"/>
      <c r="AC178" s="38"/>
      <c r="AD178" s="29"/>
      <c r="AE178" s="39">
        <v>1</v>
      </c>
      <c r="AF178" s="40"/>
      <c r="AG178" s="32"/>
      <c r="AH178" s="33"/>
      <c r="AI178" s="32">
        <v>1</v>
      </c>
      <c r="AJ178" s="33"/>
      <c r="AK178" s="32"/>
      <c r="AL178" s="33"/>
      <c r="AM178" s="32"/>
      <c r="AN178" s="33"/>
      <c r="AO178" s="34"/>
      <c r="AP178" s="35"/>
      <c r="AQ178" s="34">
        <v>1</v>
      </c>
      <c r="AR178" s="35"/>
      <c r="AS178" s="34"/>
      <c r="AT178" s="35"/>
      <c r="AU178" s="36"/>
      <c r="AV178" s="37">
        <v>1</v>
      </c>
      <c r="AW178" s="36"/>
      <c r="AX178" s="52">
        <f t="shared" si="4"/>
        <v>1</v>
      </c>
      <c r="AY178" s="52"/>
      <c r="AZ178" s="52"/>
    </row>
    <row r="179" spans="1:147" ht="110.25" customHeight="1" x14ac:dyDescent="0.25">
      <c r="A179" s="49" t="s">
        <v>1174</v>
      </c>
      <c r="B179" s="49" t="s">
        <v>1183</v>
      </c>
      <c r="C179" s="49" t="s">
        <v>1176</v>
      </c>
      <c r="D179" s="49">
        <v>2022</v>
      </c>
      <c r="E179" s="50" t="s">
        <v>1184</v>
      </c>
      <c r="F179" s="49">
        <v>1443200</v>
      </c>
      <c r="G179" s="49">
        <v>1444246</v>
      </c>
      <c r="H179" s="49" t="s">
        <v>1185</v>
      </c>
      <c r="I179" s="49" t="s">
        <v>1174</v>
      </c>
      <c r="J179" s="64">
        <v>2.9675925925925925E-2</v>
      </c>
      <c r="K179" s="49" t="s">
        <v>79</v>
      </c>
      <c r="L179" s="49" t="s">
        <v>1179</v>
      </c>
      <c r="M179" s="49" t="s">
        <v>1180</v>
      </c>
      <c r="N179" s="49" t="s">
        <v>97</v>
      </c>
      <c r="O179" s="49" t="s">
        <v>63</v>
      </c>
      <c r="P179" s="49" t="s">
        <v>64</v>
      </c>
      <c r="Q179" s="49">
        <v>2</v>
      </c>
      <c r="R179" s="49" t="s">
        <v>99</v>
      </c>
      <c r="S179" s="49" t="s">
        <v>84</v>
      </c>
      <c r="T179" s="49" t="s">
        <v>85</v>
      </c>
      <c r="U179" s="49" t="s">
        <v>1044</v>
      </c>
      <c r="V179" s="49" t="s">
        <v>86</v>
      </c>
      <c r="W179" s="49" t="s">
        <v>87</v>
      </c>
      <c r="X179" s="51" t="s">
        <v>1186</v>
      </c>
      <c r="Y179" s="51" t="s">
        <v>72</v>
      </c>
      <c r="Z179" s="51" t="s">
        <v>1187</v>
      </c>
      <c r="AA179" s="29"/>
      <c r="AB179" s="30"/>
      <c r="AC179" s="38"/>
      <c r="AD179" s="29"/>
      <c r="AE179" s="39">
        <v>1</v>
      </c>
      <c r="AF179" s="40"/>
      <c r="AG179" s="32"/>
      <c r="AH179" s="33"/>
      <c r="AI179" s="32">
        <v>1</v>
      </c>
      <c r="AJ179" s="33"/>
      <c r="AK179" s="32"/>
      <c r="AL179" s="33"/>
      <c r="AM179" s="32"/>
      <c r="AN179" s="33"/>
      <c r="AO179" s="34"/>
      <c r="AP179" s="35"/>
      <c r="AQ179" s="34"/>
      <c r="AR179" s="35"/>
      <c r="AS179" s="34"/>
      <c r="AT179" s="35"/>
      <c r="AU179" s="36"/>
      <c r="AV179" s="37"/>
      <c r="AW179" s="36"/>
      <c r="AX179" s="52">
        <f t="shared" si="4"/>
        <v>0</v>
      </c>
      <c r="AY179" s="52"/>
      <c r="AZ179" s="52"/>
    </row>
    <row r="180" spans="1:147" s="44" customFormat="1" ht="110.25" customHeight="1" x14ac:dyDescent="0.25">
      <c r="A180" s="46" t="s">
        <v>1188</v>
      </c>
      <c r="B180" s="46" t="s">
        <v>1189</v>
      </c>
      <c r="C180" s="46" t="s">
        <v>1190</v>
      </c>
      <c r="D180" s="46" t="s">
        <v>114</v>
      </c>
      <c r="E180" s="47" t="s">
        <v>1191</v>
      </c>
      <c r="F180" s="46">
        <v>1609452</v>
      </c>
      <c r="G180" s="46">
        <v>1618262</v>
      </c>
      <c r="H180" s="46" t="s">
        <v>1192</v>
      </c>
      <c r="I180" s="46" t="s">
        <v>1188</v>
      </c>
      <c r="J180" s="65">
        <v>2.0254629629629629E-2</v>
      </c>
      <c r="K180" s="46" t="s">
        <v>79</v>
      </c>
      <c r="L180" s="47" t="s">
        <v>1193</v>
      </c>
      <c r="M180" s="46" t="s">
        <v>1194</v>
      </c>
      <c r="N180" s="46" t="s">
        <v>97</v>
      </c>
      <c r="O180" s="46" t="s">
        <v>98</v>
      </c>
      <c r="P180" s="46" t="s">
        <v>120</v>
      </c>
      <c r="Q180" s="46">
        <v>2</v>
      </c>
      <c r="R180" s="46" t="s">
        <v>99</v>
      </c>
      <c r="S180" s="46" t="s">
        <v>84</v>
      </c>
      <c r="T180" s="46" t="s">
        <v>67</v>
      </c>
      <c r="U180" s="46" t="s">
        <v>121</v>
      </c>
      <c r="V180" s="46" t="s">
        <v>86</v>
      </c>
      <c r="W180" s="46" t="s">
        <v>100</v>
      </c>
      <c r="X180" s="48" t="s">
        <v>1195</v>
      </c>
      <c r="Y180" s="48" t="s">
        <v>72</v>
      </c>
      <c r="Z180" s="48" t="s">
        <v>1196</v>
      </c>
      <c r="AA180" s="29">
        <v>1</v>
      </c>
      <c r="AB180" s="43"/>
      <c r="AC180" s="43"/>
      <c r="AD180" s="43"/>
      <c r="AE180" s="39"/>
      <c r="AF180" s="40"/>
      <c r="AG180" s="32"/>
      <c r="AH180" s="33"/>
      <c r="AI180" s="32"/>
      <c r="AJ180" s="33"/>
      <c r="AK180" s="32"/>
      <c r="AL180" s="33"/>
      <c r="AM180" s="32"/>
      <c r="AN180" s="33"/>
      <c r="AO180" s="34"/>
      <c r="AP180" s="35"/>
      <c r="AQ180" s="34"/>
      <c r="AR180" s="35"/>
      <c r="AS180" s="34"/>
      <c r="AT180" s="35"/>
      <c r="AU180" s="36"/>
      <c r="AV180" s="37"/>
      <c r="AW180" s="36"/>
      <c r="AX180" s="52">
        <f t="shared" si="4"/>
        <v>0</v>
      </c>
      <c r="AY180" s="52"/>
      <c r="AZ180" s="52" t="s">
        <v>2282</v>
      </c>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c r="CD180" s="53"/>
      <c r="CE180" s="53"/>
      <c r="CF180" s="53"/>
      <c r="CG180" s="53"/>
      <c r="CH180" s="53"/>
      <c r="CI180" s="53"/>
      <c r="CJ180" s="53"/>
      <c r="CK180" s="53"/>
      <c r="CL180" s="53"/>
      <c r="CM180" s="53"/>
      <c r="CN180" s="53"/>
      <c r="CO180" s="53"/>
      <c r="CP180" s="53"/>
      <c r="CQ180" s="53"/>
      <c r="CR180" s="53"/>
      <c r="CS180" s="53"/>
      <c r="CT180" s="53"/>
      <c r="CU180" s="53"/>
      <c r="CV180" s="53"/>
      <c r="CW180" s="53"/>
      <c r="CX180" s="53"/>
      <c r="CY180" s="53"/>
      <c r="CZ180" s="53"/>
      <c r="DA180" s="53"/>
      <c r="DB180" s="53"/>
      <c r="DC180" s="53"/>
      <c r="DD180" s="53"/>
      <c r="DE180" s="53"/>
      <c r="DF180" s="53"/>
      <c r="DG180" s="53"/>
      <c r="DH180" s="53"/>
      <c r="DI180" s="53"/>
      <c r="DJ180" s="53"/>
      <c r="DK180" s="53"/>
      <c r="DL180" s="53"/>
      <c r="DM180" s="53"/>
      <c r="DN180" s="53"/>
      <c r="DO180" s="53"/>
      <c r="DP180" s="53"/>
      <c r="DQ180" s="53"/>
      <c r="DR180" s="53"/>
      <c r="DS180" s="53"/>
      <c r="DT180" s="53"/>
      <c r="DU180" s="53"/>
      <c r="DV180" s="53"/>
      <c r="DW180" s="53"/>
      <c r="DX180" s="53"/>
      <c r="DY180" s="53"/>
      <c r="DZ180" s="53"/>
      <c r="EA180" s="53"/>
      <c r="EB180" s="53"/>
      <c r="EC180" s="53"/>
      <c r="ED180" s="53"/>
      <c r="EE180" s="53"/>
      <c r="EF180" s="53"/>
      <c r="EG180" s="53"/>
      <c r="EH180" s="53"/>
      <c r="EI180" s="53"/>
      <c r="EJ180" s="53"/>
      <c r="EK180" s="53"/>
      <c r="EL180" s="53"/>
      <c r="EM180" s="53"/>
      <c r="EN180" s="53"/>
      <c r="EO180" s="53"/>
      <c r="EP180" s="53"/>
      <c r="EQ180" s="53"/>
    </row>
    <row r="181" spans="1:147" ht="110.25" customHeight="1" x14ac:dyDescent="0.25">
      <c r="A181" s="49" t="s">
        <v>1197</v>
      </c>
      <c r="B181" s="49" t="s">
        <v>1198</v>
      </c>
      <c r="C181" s="49" t="s">
        <v>1199</v>
      </c>
      <c r="D181" s="49">
        <v>2022</v>
      </c>
      <c r="E181" s="50" t="s">
        <v>1200</v>
      </c>
      <c r="F181" s="49">
        <v>416870</v>
      </c>
      <c r="G181" s="49">
        <v>418948</v>
      </c>
      <c r="H181" s="49" t="s">
        <v>1201</v>
      </c>
      <c r="I181" s="49" t="s">
        <v>1197</v>
      </c>
      <c r="J181" s="64">
        <v>3.5706018518518519E-2</v>
      </c>
      <c r="K181" s="49" t="s">
        <v>79</v>
      </c>
      <c r="L181" s="49" t="s">
        <v>1202</v>
      </c>
      <c r="M181" s="49" t="s">
        <v>1203</v>
      </c>
      <c r="N181" s="49" t="s">
        <v>159</v>
      </c>
      <c r="O181" s="49" t="s">
        <v>63</v>
      </c>
      <c r="P181" s="49" t="s">
        <v>64</v>
      </c>
      <c r="Q181" s="49">
        <v>2</v>
      </c>
      <c r="R181" s="49" t="s">
        <v>160</v>
      </c>
      <c r="S181" s="49" t="s">
        <v>84</v>
      </c>
      <c r="T181" s="49" t="s">
        <v>85</v>
      </c>
      <c r="U181" s="49" t="s">
        <v>68</v>
      </c>
      <c r="V181" s="49" t="s">
        <v>86</v>
      </c>
      <c r="W181" s="49" t="s">
        <v>398</v>
      </c>
      <c r="X181" s="51" t="s">
        <v>1204</v>
      </c>
      <c r="Y181" s="51" t="s">
        <v>72</v>
      </c>
      <c r="Z181" s="51" t="s">
        <v>1205</v>
      </c>
      <c r="AA181" s="29"/>
      <c r="AB181" s="30"/>
      <c r="AC181" s="38"/>
      <c r="AD181" s="29"/>
      <c r="AE181" s="39">
        <v>1</v>
      </c>
      <c r="AF181" s="40"/>
      <c r="AG181" s="32">
        <v>1</v>
      </c>
      <c r="AH181" s="33"/>
      <c r="AI181" s="32"/>
      <c r="AJ181" s="33"/>
      <c r="AK181" s="32"/>
      <c r="AL181" s="33"/>
      <c r="AM181" s="32"/>
      <c r="AN181" s="33"/>
      <c r="AO181" s="34"/>
      <c r="AP181" s="35"/>
      <c r="AQ181" s="34">
        <v>1</v>
      </c>
      <c r="AR181" s="35"/>
      <c r="AS181" s="34"/>
      <c r="AT181" s="35"/>
      <c r="AU181" s="36"/>
      <c r="AV181" s="37">
        <v>1</v>
      </c>
      <c r="AW181" s="36"/>
      <c r="AX181" s="52">
        <f t="shared" ref="AX181:AX244" si="5">IF(SUM(COUNTIF(AG181:AN181,1), COUNTIF(AO181:AT181,1), COUNTIF(AU181:AW181,1))&gt;1, 1, 0)</f>
        <v>1</v>
      </c>
      <c r="AY181" s="52"/>
      <c r="AZ181" s="52"/>
    </row>
    <row r="182" spans="1:147" ht="110.25" customHeight="1" x14ac:dyDescent="0.25">
      <c r="A182" s="46" t="s">
        <v>1197</v>
      </c>
      <c r="B182" s="46" t="s">
        <v>1206</v>
      </c>
      <c r="C182" s="46" t="s">
        <v>1199</v>
      </c>
      <c r="D182" s="46">
        <v>2022</v>
      </c>
      <c r="E182" s="46" t="s">
        <v>1200</v>
      </c>
      <c r="F182" s="46">
        <v>416870</v>
      </c>
      <c r="G182" s="46">
        <v>418948</v>
      </c>
      <c r="H182" s="46" t="s">
        <v>1201</v>
      </c>
      <c r="I182" s="46" t="s">
        <v>1197</v>
      </c>
      <c r="J182" s="65">
        <v>3.5706018518518519E-2</v>
      </c>
      <c r="K182" s="46" t="s">
        <v>79</v>
      </c>
      <c r="L182" s="46" t="s">
        <v>1202</v>
      </c>
      <c r="M182" s="46" t="s">
        <v>1203</v>
      </c>
      <c r="N182" s="46" t="s">
        <v>159</v>
      </c>
      <c r="O182" s="46" t="s">
        <v>63</v>
      </c>
      <c r="P182" s="46" t="s">
        <v>64</v>
      </c>
      <c r="Q182" s="46">
        <v>2</v>
      </c>
      <c r="R182" s="46" t="s">
        <v>160</v>
      </c>
      <c r="S182" s="46" t="s">
        <v>84</v>
      </c>
      <c r="T182" s="46" t="s">
        <v>85</v>
      </c>
      <c r="U182" s="46" t="s">
        <v>68</v>
      </c>
      <c r="V182" s="46" t="s">
        <v>86</v>
      </c>
      <c r="W182" s="46" t="s">
        <v>398</v>
      </c>
      <c r="X182" s="48" t="s">
        <v>1207</v>
      </c>
      <c r="Y182" s="48" t="s">
        <v>72</v>
      </c>
      <c r="Z182" s="48" t="s">
        <v>1208</v>
      </c>
      <c r="AA182" s="29"/>
      <c r="AB182" s="30"/>
      <c r="AC182" s="38"/>
      <c r="AD182" s="29"/>
      <c r="AE182" s="39">
        <v>1</v>
      </c>
      <c r="AF182" s="40"/>
      <c r="AG182" s="32">
        <v>1</v>
      </c>
      <c r="AH182" s="33"/>
      <c r="AI182" s="32"/>
      <c r="AJ182" s="33"/>
      <c r="AK182" s="32"/>
      <c r="AL182" s="33"/>
      <c r="AM182" s="32"/>
      <c r="AN182" s="33"/>
      <c r="AO182" s="34"/>
      <c r="AP182" s="35"/>
      <c r="AQ182" s="34">
        <v>1</v>
      </c>
      <c r="AR182" s="35"/>
      <c r="AS182" s="34"/>
      <c r="AT182" s="35"/>
      <c r="AU182" s="36"/>
      <c r="AV182" s="37">
        <v>1</v>
      </c>
      <c r="AW182" s="36"/>
      <c r="AX182" s="52">
        <f t="shared" si="5"/>
        <v>1</v>
      </c>
      <c r="AY182" s="52"/>
      <c r="AZ182" s="52"/>
    </row>
    <row r="183" spans="1:147" ht="110.25" customHeight="1" x14ac:dyDescent="0.25">
      <c r="A183" s="49" t="s">
        <v>1197</v>
      </c>
      <c r="B183" s="49" t="s">
        <v>1209</v>
      </c>
      <c r="C183" s="49" t="s">
        <v>1199</v>
      </c>
      <c r="D183" s="49">
        <v>2022</v>
      </c>
      <c r="E183" s="50" t="s">
        <v>1210</v>
      </c>
      <c r="F183" s="49">
        <v>430163</v>
      </c>
      <c r="G183" s="49">
        <v>431471</v>
      </c>
      <c r="H183" s="49" t="s">
        <v>1201</v>
      </c>
      <c r="I183" s="49" t="s">
        <v>1197</v>
      </c>
      <c r="J183" s="64">
        <v>3.5706018518518519E-2</v>
      </c>
      <c r="K183" s="49" t="s">
        <v>79</v>
      </c>
      <c r="L183" s="49" t="s">
        <v>1202</v>
      </c>
      <c r="M183" s="49" t="s">
        <v>1203</v>
      </c>
      <c r="N183" s="49" t="s">
        <v>159</v>
      </c>
      <c r="O183" s="49" t="s">
        <v>63</v>
      </c>
      <c r="P183" s="49" t="s">
        <v>64</v>
      </c>
      <c r="Q183" s="49">
        <v>2</v>
      </c>
      <c r="R183" s="49" t="s">
        <v>160</v>
      </c>
      <c r="S183" s="49" t="s">
        <v>84</v>
      </c>
      <c r="T183" s="49" t="s">
        <v>85</v>
      </c>
      <c r="U183" s="49" t="s">
        <v>68</v>
      </c>
      <c r="V183" s="49" t="s">
        <v>86</v>
      </c>
      <c r="W183" s="49" t="s">
        <v>398</v>
      </c>
      <c r="X183" s="51" t="s">
        <v>1211</v>
      </c>
      <c r="Y183" s="51" t="s">
        <v>72</v>
      </c>
      <c r="Z183" s="51" t="s">
        <v>1212</v>
      </c>
      <c r="AA183" s="29"/>
      <c r="AB183" s="30"/>
      <c r="AC183" s="38"/>
      <c r="AD183" s="29"/>
      <c r="AE183" s="39">
        <v>1</v>
      </c>
      <c r="AF183" s="40">
        <v>1</v>
      </c>
      <c r="AG183" s="32"/>
      <c r="AH183" s="33"/>
      <c r="AI183" s="32"/>
      <c r="AJ183" s="33"/>
      <c r="AK183" s="32"/>
      <c r="AL183" s="33"/>
      <c r="AM183" s="32"/>
      <c r="AN183" s="33"/>
      <c r="AO183" s="34"/>
      <c r="AP183" s="35"/>
      <c r="AQ183" s="34">
        <v>1</v>
      </c>
      <c r="AR183" s="35"/>
      <c r="AS183" s="34"/>
      <c r="AT183" s="35"/>
      <c r="AU183" s="36"/>
      <c r="AV183" s="37">
        <v>1</v>
      </c>
      <c r="AW183" s="36"/>
      <c r="AX183" s="52">
        <f t="shared" si="5"/>
        <v>1</v>
      </c>
      <c r="AY183" s="52"/>
      <c r="AZ183" s="52"/>
    </row>
    <row r="184" spans="1:147" ht="110.25" customHeight="1" x14ac:dyDescent="0.25">
      <c r="A184" s="46" t="s">
        <v>1213</v>
      </c>
      <c r="B184" s="46" t="s">
        <v>1214</v>
      </c>
      <c r="C184" s="46" t="s">
        <v>1215</v>
      </c>
      <c r="D184" s="46">
        <v>2021</v>
      </c>
      <c r="E184" s="47" t="s">
        <v>1216</v>
      </c>
      <c r="F184" s="46">
        <v>1332900</v>
      </c>
      <c r="G184" s="46">
        <v>1338494</v>
      </c>
      <c r="H184" s="46" t="s">
        <v>1217</v>
      </c>
      <c r="I184" s="46" t="s">
        <v>1213</v>
      </c>
      <c r="J184" s="65">
        <v>4.085648148148148E-2</v>
      </c>
      <c r="K184" s="46" t="s">
        <v>79</v>
      </c>
      <c r="L184" s="46" t="s">
        <v>1218</v>
      </c>
      <c r="M184" s="46" t="s">
        <v>1219</v>
      </c>
      <c r="N184" s="46" t="s">
        <v>159</v>
      </c>
      <c r="O184" s="46" t="s">
        <v>63</v>
      </c>
      <c r="P184" s="46" t="s">
        <v>64</v>
      </c>
      <c r="Q184" s="46">
        <v>2</v>
      </c>
      <c r="R184" s="46" t="s">
        <v>160</v>
      </c>
      <c r="S184" s="46" t="s">
        <v>84</v>
      </c>
      <c r="T184" s="46" t="s">
        <v>85</v>
      </c>
      <c r="U184" s="46" t="s">
        <v>68</v>
      </c>
      <c r="V184" s="46" t="s">
        <v>86</v>
      </c>
      <c r="W184" s="46" t="s">
        <v>87</v>
      </c>
      <c r="X184" s="48" t="s">
        <v>1220</v>
      </c>
      <c r="Y184" s="48" t="s">
        <v>72</v>
      </c>
      <c r="Z184" s="48" t="s">
        <v>1221</v>
      </c>
      <c r="AA184" s="29"/>
      <c r="AB184" s="30"/>
      <c r="AC184" s="38"/>
      <c r="AD184" s="29"/>
      <c r="AE184" s="39">
        <v>1</v>
      </c>
      <c r="AF184" s="40"/>
      <c r="AG184" s="32"/>
      <c r="AH184" s="33"/>
      <c r="AI184" s="32"/>
      <c r="AJ184" s="33"/>
      <c r="AK184" s="32"/>
      <c r="AL184" s="33"/>
      <c r="AM184" s="32"/>
      <c r="AN184" s="33"/>
      <c r="AO184" s="34"/>
      <c r="AP184" s="35"/>
      <c r="AQ184" s="34">
        <v>1</v>
      </c>
      <c r="AR184" s="35"/>
      <c r="AS184" s="34"/>
      <c r="AT184" s="35"/>
      <c r="AU184" s="36"/>
      <c r="AV184" s="37"/>
      <c r="AW184" s="36"/>
      <c r="AX184" s="52">
        <f t="shared" si="5"/>
        <v>0</v>
      </c>
      <c r="AY184" s="52"/>
      <c r="AZ184" s="52"/>
    </row>
    <row r="185" spans="1:147" ht="110.25" customHeight="1" x14ac:dyDescent="0.25">
      <c r="A185" s="49" t="s">
        <v>1213</v>
      </c>
      <c r="B185" s="49" t="s">
        <v>1222</v>
      </c>
      <c r="C185" s="49" t="s">
        <v>1215</v>
      </c>
      <c r="D185" s="49">
        <v>2021</v>
      </c>
      <c r="E185" s="49" t="s">
        <v>1216</v>
      </c>
      <c r="F185" s="49">
        <v>1332900</v>
      </c>
      <c r="G185" s="49">
        <v>1338494</v>
      </c>
      <c r="H185" s="49" t="s">
        <v>1217</v>
      </c>
      <c r="I185" s="49" t="s">
        <v>1213</v>
      </c>
      <c r="J185" s="64">
        <v>4.085648148148148E-2</v>
      </c>
      <c r="K185" s="49" t="s">
        <v>79</v>
      </c>
      <c r="L185" s="49" t="s">
        <v>1218</v>
      </c>
      <c r="M185" s="49" t="s">
        <v>1219</v>
      </c>
      <c r="N185" s="49" t="s">
        <v>159</v>
      </c>
      <c r="O185" s="49" t="s">
        <v>63</v>
      </c>
      <c r="P185" s="49" t="s">
        <v>64</v>
      </c>
      <c r="Q185" s="49">
        <v>2</v>
      </c>
      <c r="R185" s="49" t="s">
        <v>160</v>
      </c>
      <c r="S185" s="49" t="s">
        <v>84</v>
      </c>
      <c r="T185" s="49" t="s">
        <v>85</v>
      </c>
      <c r="U185" s="49" t="s">
        <v>68</v>
      </c>
      <c r="V185" s="49" t="s">
        <v>86</v>
      </c>
      <c r="W185" s="49" t="s">
        <v>87</v>
      </c>
      <c r="X185" s="51" t="s">
        <v>1223</v>
      </c>
      <c r="Y185" s="51" t="s">
        <v>72</v>
      </c>
      <c r="Z185" s="51" t="s">
        <v>1224</v>
      </c>
      <c r="AA185" s="29"/>
      <c r="AB185" s="30"/>
      <c r="AC185" s="38"/>
      <c r="AD185" s="29"/>
      <c r="AE185" s="39">
        <v>1</v>
      </c>
      <c r="AF185" s="40"/>
      <c r="AG185" s="32"/>
      <c r="AH185" s="33"/>
      <c r="AI185" s="32"/>
      <c r="AJ185" s="33"/>
      <c r="AK185" s="32"/>
      <c r="AL185" s="33"/>
      <c r="AM185" s="32"/>
      <c r="AN185" s="33"/>
      <c r="AO185" s="34"/>
      <c r="AP185" s="35"/>
      <c r="AQ185" s="34">
        <v>1</v>
      </c>
      <c r="AR185" s="35"/>
      <c r="AS185" s="34"/>
      <c r="AT185" s="35"/>
      <c r="AU185" s="36"/>
      <c r="AV185" s="37"/>
      <c r="AW185" s="36"/>
      <c r="AX185" s="52">
        <f t="shared" si="5"/>
        <v>0</v>
      </c>
      <c r="AY185" s="52"/>
      <c r="AZ185" s="52"/>
    </row>
    <row r="186" spans="1:147" ht="110.25" customHeight="1" x14ac:dyDescent="0.25">
      <c r="A186" s="46" t="s">
        <v>1213</v>
      </c>
      <c r="B186" s="46" t="s">
        <v>1225</v>
      </c>
      <c r="C186" s="46" t="s">
        <v>1215</v>
      </c>
      <c r="D186" s="46">
        <v>2021</v>
      </c>
      <c r="E186" s="47" t="s">
        <v>1226</v>
      </c>
      <c r="F186" s="46">
        <v>3519699</v>
      </c>
      <c r="G186" s="46">
        <v>3524147</v>
      </c>
      <c r="H186" s="46" t="s">
        <v>1227</v>
      </c>
      <c r="I186" s="46" t="s">
        <v>1213</v>
      </c>
      <c r="J186" s="65">
        <v>4.085648148148148E-2</v>
      </c>
      <c r="K186" s="46" t="s">
        <v>79</v>
      </c>
      <c r="L186" s="46" t="s">
        <v>1218</v>
      </c>
      <c r="M186" s="46" t="s">
        <v>1219</v>
      </c>
      <c r="N186" s="46" t="s">
        <v>97</v>
      </c>
      <c r="O186" s="46" t="s">
        <v>63</v>
      </c>
      <c r="P186" s="46" t="s">
        <v>64</v>
      </c>
      <c r="Q186" s="46">
        <v>2</v>
      </c>
      <c r="R186" s="46" t="s">
        <v>99</v>
      </c>
      <c r="S186" s="46" t="s">
        <v>84</v>
      </c>
      <c r="T186" s="46" t="s">
        <v>85</v>
      </c>
      <c r="U186" s="46" t="s">
        <v>68</v>
      </c>
      <c r="V186" s="46" t="s">
        <v>86</v>
      </c>
      <c r="W186" s="46" t="s">
        <v>100</v>
      </c>
      <c r="X186" s="48" t="s">
        <v>1228</v>
      </c>
      <c r="Y186" s="48" t="s">
        <v>72</v>
      </c>
      <c r="Z186" s="48" t="s">
        <v>1229</v>
      </c>
      <c r="AA186" s="29"/>
      <c r="AB186" s="30"/>
      <c r="AC186" s="38"/>
      <c r="AD186" s="29"/>
      <c r="AE186" s="39">
        <v>1</v>
      </c>
      <c r="AF186" s="40"/>
      <c r="AG186" s="32"/>
      <c r="AH186" s="33"/>
      <c r="AI186" s="32"/>
      <c r="AJ186" s="33"/>
      <c r="AK186" s="32"/>
      <c r="AL186" s="33"/>
      <c r="AM186" s="32"/>
      <c r="AN186" s="33"/>
      <c r="AO186" s="34"/>
      <c r="AP186" s="35"/>
      <c r="AQ186" s="34"/>
      <c r="AR186" s="35"/>
      <c r="AS186" s="34"/>
      <c r="AT186" s="35"/>
      <c r="AU186" s="36"/>
      <c r="AV186" s="37">
        <v>1</v>
      </c>
      <c r="AW186" s="36"/>
      <c r="AX186" s="52">
        <f t="shared" si="5"/>
        <v>0</v>
      </c>
      <c r="AY186" s="52"/>
      <c r="AZ186" s="52"/>
    </row>
    <row r="187" spans="1:147" ht="110.25" customHeight="1" x14ac:dyDescent="0.25">
      <c r="A187" s="49" t="s">
        <v>1230</v>
      </c>
      <c r="B187" s="49" t="s">
        <v>1231</v>
      </c>
      <c r="C187" s="49" t="s">
        <v>1232</v>
      </c>
      <c r="D187" s="49" t="s">
        <v>114</v>
      </c>
      <c r="E187" s="49" t="s">
        <v>1233</v>
      </c>
      <c r="F187" s="49">
        <v>222585</v>
      </c>
      <c r="G187" s="49">
        <v>224433</v>
      </c>
      <c r="H187" s="49" t="s">
        <v>506</v>
      </c>
      <c r="I187" s="49" t="s">
        <v>1230</v>
      </c>
      <c r="J187" s="64">
        <v>1.4884259259259259E-2</v>
      </c>
      <c r="K187" s="49" t="s">
        <v>59</v>
      </c>
      <c r="L187" s="49" t="s">
        <v>1234</v>
      </c>
      <c r="M187" s="49" t="s">
        <v>1235</v>
      </c>
      <c r="N187" s="49" t="s">
        <v>119</v>
      </c>
      <c r="O187" s="49" t="s">
        <v>63</v>
      </c>
      <c r="P187" s="49" t="s">
        <v>64</v>
      </c>
      <c r="Q187" s="49">
        <v>3</v>
      </c>
      <c r="R187" s="49" t="s">
        <v>83</v>
      </c>
      <c r="S187" s="49" t="s">
        <v>66</v>
      </c>
      <c r="T187" s="49" t="s">
        <v>85</v>
      </c>
      <c r="U187" s="49" t="s">
        <v>509</v>
      </c>
      <c r="V187" s="49" t="s">
        <v>510</v>
      </c>
      <c r="W187" s="49" t="s">
        <v>123</v>
      </c>
      <c r="X187" s="51" t="s">
        <v>1236</v>
      </c>
      <c r="Y187" s="51" t="s">
        <v>72</v>
      </c>
      <c r="Z187" s="51" t="s">
        <v>1237</v>
      </c>
      <c r="AA187" s="29"/>
      <c r="AB187" s="30"/>
      <c r="AC187" s="38"/>
      <c r="AD187" s="29"/>
      <c r="AE187" s="39">
        <v>1</v>
      </c>
      <c r="AF187" s="40"/>
      <c r="AG187" s="32"/>
      <c r="AH187" s="33"/>
      <c r="AI187" s="32"/>
      <c r="AJ187" s="33"/>
      <c r="AK187" s="32"/>
      <c r="AL187" s="33"/>
      <c r="AM187" s="32"/>
      <c r="AN187" s="33"/>
      <c r="AO187" s="34"/>
      <c r="AP187" s="35"/>
      <c r="AQ187" s="34"/>
      <c r="AR187" s="35"/>
      <c r="AS187" s="34"/>
      <c r="AT187" s="35"/>
      <c r="AU187" s="36"/>
      <c r="AV187" s="37">
        <v>1</v>
      </c>
      <c r="AW187" s="36"/>
      <c r="AX187" s="52">
        <f t="shared" si="5"/>
        <v>0</v>
      </c>
      <c r="AY187" s="52"/>
      <c r="AZ187" s="52"/>
    </row>
    <row r="188" spans="1:147" ht="110.25" customHeight="1" x14ac:dyDescent="0.25">
      <c r="A188" s="46" t="s">
        <v>1238</v>
      </c>
      <c r="B188" s="46" t="s">
        <v>1239</v>
      </c>
      <c r="C188" s="46" t="s">
        <v>1240</v>
      </c>
      <c r="D188" s="46">
        <v>2023</v>
      </c>
      <c r="E188" s="47" t="s">
        <v>1241</v>
      </c>
      <c r="F188" s="46">
        <v>713549</v>
      </c>
      <c r="G188" s="46">
        <v>716475</v>
      </c>
      <c r="H188" s="46" t="s">
        <v>1242</v>
      </c>
      <c r="I188" s="46" t="s">
        <v>1238</v>
      </c>
      <c r="J188" s="65">
        <v>1.7974537037037035E-2</v>
      </c>
      <c r="K188" s="46" t="s">
        <v>79</v>
      </c>
      <c r="L188" s="46" t="s">
        <v>1243</v>
      </c>
      <c r="M188" s="46" t="s">
        <v>1244</v>
      </c>
      <c r="N188" s="46" t="s">
        <v>97</v>
      </c>
      <c r="O188" s="46" t="s">
        <v>98</v>
      </c>
      <c r="P188" s="46" t="s">
        <v>64</v>
      </c>
      <c r="Q188" s="46">
        <v>3</v>
      </c>
      <c r="R188" s="46" t="s">
        <v>358</v>
      </c>
      <c r="S188" s="46" t="s">
        <v>84</v>
      </c>
      <c r="T188" s="46" t="s">
        <v>85</v>
      </c>
      <c r="U188" s="46" t="s">
        <v>1245</v>
      </c>
      <c r="V188" s="46" t="s">
        <v>86</v>
      </c>
      <c r="W188" s="46" t="s">
        <v>70</v>
      </c>
      <c r="X188" s="48" t="s">
        <v>1246</v>
      </c>
      <c r="Y188" s="48" t="s">
        <v>72</v>
      </c>
      <c r="Z188" s="48" t="s">
        <v>1247</v>
      </c>
      <c r="AA188" s="29"/>
      <c r="AB188" s="30"/>
      <c r="AC188" s="38"/>
      <c r="AD188" s="29"/>
      <c r="AE188" s="39">
        <v>1</v>
      </c>
      <c r="AF188" s="40"/>
      <c r="AG188" s="32"/>
      <c r="AH188" s="33"/>
      <c r="AI188" s="32"/>
      <c r="AJ188" s="33"/>
      <c r="AK188" s="32"/>
      <c r="AL188" s="33"/>
      <c r="AM188" s="32"/>
      <c r="AN188" s="33"/>
      <c r="AO188" s="34"/>
      <c r="AP188" s="35"/>
      <c r="AQ188" s="34">
        <v>1</v>
      </c>
      <c r="AR188" s="35"/>
      <c r="AS188" s="34"/>
      <c r="AT188" s="35"/>
      <c r="AU188" s="36"/>
      <c r="AV188" s="37"/>
      <c r="AW188" s="36"/>
      <c r="AX188" s="52">
        <f t="shared" si="5"/>
        <v>0</v>
      </c>
      <c r="AY188" s="52"/>
      <c r="AZ188" s="52"/>
    </row>
    <row r="189" spans="1:147" ht="110.25" customHeight="1" x14ac:dyDescent="0.25">
      <c r="A189" s="49" t="s">
        <v>1248</v>
      </c>
      <c r="B189" s="49" t="s">
        <v>1249</v>
      </c>
      <c r="C189" s="49" t="s">
        <v>1250</v>
      </c>
      <c r="D189" s="49" t="s">
        <v>114</v>
      </c>
      <c r="E189" s="50" t="s">
        <v>1251</v>
      </c>
      <c r="F189" s="49">
        <v>150393</v>
      </c>
      <c r="G189" s="49">
        <v>153532</v>
      </c>
      <c r="H189" s="49" t="s">
        <v>1252</v>
      </c>
      <c r="I189" s="49" t="s">
        <v>1248</v>
      </c>
      <c r="J189" s="64">
        <v>1.9953703703703703E-2</v>
      </c>
      <c r="K189" s="49" t="s">
        <v>79</v>
      </c>
      <c r="L189" s="49" t="s">
        <v>1253</v>
      </c>
      <c r="M189" s="49" t="s">
        <v>1254</v>
      </c>
      <c r="N189" s="49" t="s">
        <v>1157</v>
      </c>
      <c r="O189" s="49" t="s">
        <v>98</v>
      </c>
      <c r="P189" s="49" t="s">
        <v>64</v>
      </c>
      <c r="Q189" s="49">
        <v>2</v>
      </c>
      <c r="R189" s="49" t="s">
        <v>83</v>
      </c>
      <c r="S189" s="49" t="s">
        <v>84</v>
      </c>
      <c r="T189" s="49" t="s">
        <v>85</v>
      </c>
      <c r="U189" s="49" t="s">
        <v>68</v>
      </c>
      <c r="V189" s="49" t="s">
        <v>122</v>
      </c>
      <c r="W189" s="49" t="s">
        <v>123</v>
      </c>
      <c r="X189" s="51" t="s">
        <v>1255</v>
      </c>
      <c r="Y189" s="51" t="s">
        <v>72</v>
      </c>
      <c r="Z189" s="51" t="s">
        <v>1256</v>
      </c>
      <c r="AA189" s="29"/>
      <c r="AB189" s="30"/>
      <c r="AC189" s="38"/>
      <c r="AD189" s="29"/>
      <c r="AE189" s="39">
        <v>1</v>
      </c>
      <c r="AF189" s="40"/>
      <c r="AG189" s="32"/>
      <c r="AH189" s="33"/>
      <c r="AI189" s="32"/>
      <c r="AJ189" s="33"/>
      <c r="AK189" s="32"/>
      <c r="AL189" s="33"/>
      <c r="AM189" s="32"/>
      <c r="AN189" s="33"/>
      <c r="AO189" s="34">
        <v>1</v>
      </c>
      <c r="AP189" s="35"/>
      <c r="AQ189" s="34"/>
      <c r="AR189" s="35"/>
      <c r="AS189" s="34"/>
      <c r="AT189" s="35"/>
      <c r="AU189" s="36"/>
      <c r="AV189" s="37">
        <v>1</v>
      </c>
      <c r="AW189" s="36"/>
      <c r="AX189" s="52">
        <f t="shared" si="5"/>
        <v>1</v>
      </c>
      <c r="AY189" s="52"/>
      <c r="AZ189" s="52"/>
    </row>
    <row r="190" spans="1:147" ht="110.25" customHeight="1" x14ac:dyDescent="0.25">
      <c r="A190" s="46" t="s">
        <v>1248</v>
      </c>
      <c r="B190" s="46" t="s">
        <v>1257</v>
      </c>
      <c r="C190" s="46" t="s">
        <v>1250</v>
      </c>
      <c r="D190" s="46" t="s">
        <v>114</v>
      </c>
      <c r="E190" s="47" t="s">
        <v>1258</v>
      </c>
      <c r="F190" s="46">
        <v>245138</v>
      </c>
      <c r="G190" s="46">
        <v>248777</v>
      </c>
      <c r="H190" s="46" t="s">
        <v>1252</v>
      </c>
      <c r="I190" s="46" t="s">
        <v>1248</v>
      </c>
      <c r="J190" s="65">
        <v>1.9953703703703703E-2</v>
      </c>
      <c r="K190" s="46" t="s">
        <v>79</v>
      </c>
      <c r="L190" s="46" t="s">
        <v>1253</v>
      </c>
      <c r="M190" s="46" t="s">
        <v>1254</v>
      </c>
      <c r="N190" s="46" t="s">
        <v>1157</v>
      </c>
      <c r="O190" s="46" t="s">
        <v>98</v>
      </c>
      <c r="P190" s="46" t="s">
        <v>64</v>
      </c>
      <c r="Q190" s="46">
        <v>2</v>
      </c>
      <c r="R190" s="46" t="s">
        <v>83</v>
      </c>
      <c r="S190" s="46" t="s">
        <v>84</v>
      </c>
      <c r="T190" s="46" t="s">
        <v>85</v>
      </c>
      <c r="U190" s="46" t="s">
        <v>68</v>
      </c>
      <c r="V190" s="46" t="s">
        <v>122</v>
      </c>
      <c r="W190" s="46" t="s">
        <v>123</v>
      </c>
      <c r="X190" s="48" t="s">
        <v>1259</v>
      </c>
      <c r="Y190" s="48" t="s">
        <v>72</v>
      </c>
      <c r="Z190" s="48" t="s">
        <v>1260</v>
      </c>
      <c r="AA190" s="29"/>
      <c r="AB190" s="30"/>
      <c r="AC190" s="38"/>
      <c r="AD190" s="29"/>
      <c r="AE190" s="39">
        <v>1</v>
      </c>
      <c r="AF190" s="40"/>
      <c r="AG190" s="32"/>
      <c r="AH190" s="33"/>
      <c r="AI190" s="32"/>
      <c r="AJ190" s="33"/>
      <c r="AK190" s="32"/>
      <c r="AL190" s="33"/>
      <c r="AM190" s="32"/>
      <c r="AN190" s="33"/>
      <c r="AO190" s="34"/>
      <c r="AP190" s="35"/>
      <c r="AQ190" s="34"/>
      <c r="AR190" s="35"/>
      <c r="AS190" s="34"/>
      <c r="AT190" s="35"/>
      <c r="AU190" s="36"/>
      <c r="AV190" s="37">
        <v>1</v>
      </c>
      <c r="AW190" s="36"/>
      <c r="AX190" s="52">
        <f t="shared" si="5"/>
        <v>0</v>
      </c>
      <c r="AY190" s="52"/>
      <c r="AZ190" s="52"/>
    </row>
    <row r="191" spans="1:147" ht="110.25" customHeight="1" x14ac:dyDescent="0.25">
      <c r="A191" s="49" t="s">
        <v>1261</v>
      </c>
      <c r="B191" s="49" t="s">
        <v>1262</v>
      </c>
      <c r="C191" s="49" t="s">
        <v>1263</v>
      </c>
      <c r="D191" s="49">
        <v>2019</v>
      </c>
      <c r="E191" s="50" t="s">
        <v>1264</v>
      </c>
      <c r="F191" s="49">
        <v>1259055</v>
      </c>
      <c r="G191" s="49">
        <v>1260779</v>
      </c>
      <c r="H191" s="49" t="s">
        <v>1265</v>
      </c>
      <c r="I191" s="49" t="s">
        <v>1261</v>
      </c>
      <c r="J191" s="64">
        <v>0.12026620370370371</v>
      </c>
      <c r="K191" s="49" t="s">
        <v>79</v>
      </c>
      <c r="L191" s="49" t="s">
        <v>1266</v>
      </c>
      <c r="M191" s="49" t="s">
        <v>1267</v>
      </c>
      <c r="N191" s="49" t="s">
        <v>711</v>
      </c>
      <c r="O191" s="49" t="s">
        <v>63</v>
      </c>
      <c r="P191" s="49" t="s">
        <v>120</v>
      </c>
      <c r="Q191" s="49">
        <v>1</v>
      </c>
      <c r="R191" s="49" t="s">
        <v>83</v>
      </c>
      <c r="S191" s="49" t="s">
        <v>66</v>
      </c>
      <c r="T191" s="49" t="s">
        <v>85</v>
      </c>
      <c r="U191" s="49" t="s">
        <v>153</v>
      </c>
      <c r="V191" s="49" t="s">
        <v>274</v>
      </c>
      <c r="W191" s="49" t="s">
        <v>123</v>
      </c>
      <c r="X191" s="51" t="s">
        <v>1268</v>
      </c>
      <c r="Y191" s="51" t="s">
        <v>72</v>
      </c>
      <c r="Z191" s="51" t="s">
        <v>1269</v>
      </c>
      <c r="AA191" s="29"/>
      <c r="AB191" s="30"/>
      <c r="AC191" s="38"/>
      <c r="AD191" s="29"/>
      <c r="AE191" s="39">
        <v>1</v>
      </c>
      <c r="AF191" s="40"/>
      <c r="AG191" s="32"/>
      <c r="AH191" s="33"/>
      <c r="AI191" s="32"/>
      <c r="AJ191" s="33"/>
      <c r="AK191" s="32"/>
      <c r="AL191" s="33"/>
      <c r="AM191" s="32"/>
      <c r="AN191" s="33"/>
      <c r="AO191" s="34"/>
      <c r="AP191" s="35"/>
      <c r="AQ191" s="34"/>
      <c r="AR191" s="35"/>
      <c r="AS191" s="34"/>
      <c r="AT191" s="35"/>
      <c r="AU191" s="36"/>
      <c r="AV191" s="37">
        <v>1</v>
      </c>
      <c r="AW191" s="36"/>
      <c r="AX191" s="52">
        <f t="shared" si="5"/>
        <v>0</v>
      </c>
      <c r="AY191" s="52"/>
      <c r="AZ191" s="52"/>
    </row>
    <row r="192" spans="1:147" ht="110.25" customHeight="1" x14ac:dyDescent="0.25">
      <c r="A192" s="46" t="s">
        <v>1261</v>
      </c>
      <c r="B192" s="46" t="s">
        <v>1270</v>
      </c>
      <c r="C192" s="46" t="s">
        <v>1263</v>
      </c>
      <c r="D192" s="46">
        <v>2019</v>
      </c>
      <c r="E192" s="47" t="s">
        <v>1271</v>
      </c>
      <c r="F192" s="46">
        <v>5296614</v>
      </c>
      <c r="G192" s="46">
        <v>5299682</v>
      </c>
      <c r="H192" s="46" t="s">
        <v>1265</v>
      </c>
      <c r="I192" s="46" t="s">
        <v>1261</v>
      </c>
      <c r="J192" s="65">
        <v>0.12026620370370371</v>
      </c>
      <c r="K192" s="46" t="s">
        <v>79</v>
      </c>
      <c r="L192" s="46" t="s">
        <v>1266</v>
      </c>
      <c r="M192" s="46" t="s">
        <v>1267</v>
      </c>
      <c r="N192" s="46" t="s">
        <v>711</v>
      </c>
      <c r="O192" s="46" t="s">
        <v>63</v>
      </c>
      <c r="P192" s="46" t="s">
        <v>120</v>
      </c>
      <c r="Q192" s="46">
        <v>1</v>
      </c>
      <c r="R192" s="46" t="s">
        <v>83</v>
      </c>
      <c r="S192" s="46" t="s">
        <v>66</v>
      </c>
      <c r="T192" s="46" t="s">
        <v>85</v>
      </c>
      <c r="U192" s="46" t="s">
        <v>153</v>
      </c>
      <c r="V192" s="46" t="s">
        <v>274</v>
      </c>
      <c r="W192" s="46" t="s">
        <v>123</v>
      </c>
      <c r="X192" s="48" t="s">
        <v>1272</v>
      </c>
      <c r="Y192" s="48" t="s">
        <v>72</v>
      </c>
      <c r="Z192" s="48" t="s">
        <v>1273</v>
      </c>
      <c r="AA192" s="29"/>
      <c r="AB192" s="30"/>
      <c r="AC192" s="38"/>
      <c r="AD192" s="29"/>
      <c r="AE192" s="39">
        <v>1</v>
      </c>
      <c r="AF192" s="40"/>
      <c r="AG192" s="32"/>
      <c r="AH192" s="33"/>
      <c r="AI192" s="32"/>
      <c r="AJ192" s="33"/>
      <c r="AK192" s="32"/>
      <c r="AL192" s="33"/>
      <c r="AM192" s="32"/>
      <c r="AN192" s="33"/>
      <c r="AO192" s="34"/>
      <c r="AP192" s="35"/>
      <c r="AQ192" s="34"/>
      <c r="AR192" s="35"/>
      <c r="AS192" s="34"/>
      <c r="AT192" s="35"/>
      <c r="AU192" s="36"/>
      <c r="AV192" s="37"/>
      <c r="AW192" s="36">
        <v>1</v>
      </c>
      <c r="AX192" s="52">
        <f t="shared" si="5"/>
        <v>0</v>
      </c>
      <c r="AY192" s="52"/>
      <c r="AZ192" s="52"/>
    </row>
    <row r="193" spans="1:52" ht="110.25" customHeight="1" x14ac:dyDescent="0.25">
      <c r="A193" s="49" t="s">
        <v>1261</v>
      </c>
      <c r="B193" s="49" t="s">
        <v>1274</v>
      </c>
      <c r="C193" s="49" t="s">
        <v>1263</v>
      </c>
      <c r="D193" s="49">
        <v>2019</v>
      </c>
      <c r="E193" s="50" t="s">
        <v>1275</v>
      </c>
      <c r="F193" s="49">
        <v>6225797</v>
      </c>
      <c r="G193" s="49">
        <v>6229329</v>
      </c>
      <c r="H193" s="49" t="s">
        <v>1265</v>
      </c>
      <c r="I193" s="49" t="s">
        <v>1261</v>
      </c>
      <c r="J193" s="64">
        <v>0.12026620370370371</v>
      </c>
      <c r="K193" s="49" t="s">
        <v>79</v>
      </c>
      <c r="L193" s="49" t="s">
        <v>1266</v>
      </c>
      <c r="M193" s="49" t="s">
        <v>1267</v>
      </c>
      <c r="N193" s="49" t="s">
        <v>711</v>
      </c>
      <c r="O193" s="49" t="s">
        <v>63</v>
      </c>
      <c r="P193" s="49" t="s">
        <v>120</v>
      </c>
      <c r="Q193" s="49">
        <v>1</v>
      </c>
      <c r="R193" s="49" t="s">
        <v>83</v>
      </c>
      <c r="S193" s="49" t="s">
        <v>66</v>
      </c>
      <c r="T193" s="49" t="s">
        <v>85</v>
      </c>
      <c r="U193" s="49" t="s">
        <v>153</v>
      </c>
      <c r="V193" s="49" t="s">
        <v>274</v>
      </c>
      <c r="W193" s="49" t="s">
        <v>123</v>
      </c>
      <c r="X193" s="51" t="s">
        <v>1276</v>
      </c>
      <c r="Y193" s="51" t="s">
        <v>72</v>
      </c>
      <c r="Z193" s="51" t="s">
        <v>1277</v>
      </c>
      <c r="AA193" s="29"/>
      <c r="AB193" s="30"/>
      <c r="AC193" s="38"/>
      <c r="AD193" s="29"/>
      <c r="AE193" s="39">
        <v>1</v>
      </c>
      <c r="AF193" s="40"/>
      <c r="AG193" s="32"/>
      <c r="AH193" s="33"/>
      <c r="AI193" s="32"/>
      <c r="AJ193" s="33"/>
      <c r="AK193" s="32"/>
      <c r="AL193" s="33"/>
      <c r="AM193" s="32"/>
      <c r="AN193" s="33"/>
      <c r="AO193" s="34"/>
      <c r="AP193" s="35"/>
      <c r="AQ193" s="34"/>
      <c r="AR193" s="35"/>
      <c r="AS193" s="34">
        <v>1</v>
      </c>
      <c r="AT193" s="35"/>
      <c r="AU193" s="36"/>
      <c r="AV193" s="37"/>
      <c r="AW193" s="36">
        <v>1</v>
      </c>
      <c r="AX193" s="52">
        <f t="shared" si="5"/>
        <v>1</v>
      </c>
      <c r="AY193" s="52"/>
      <c r="AZ193" s="52"/>
    </row>
    <row r="194" spans="1:52" ht="110.25" customHeight="1" x14ac:dyDescent="0.25">
      <c r="A194" s="46" t="s">
        <v>1261</v>
      </c>
      <c r="B194" s="46" t="s">
        <v>1278</v>
      </c>
      <c r="C194" s="46" t="s">
        <v>1263</v>
      </c>
      <c r="D194" s="46">
        <v>2019</v>
      </c>
      <c r="E194" s="47" t="s">
        <v>1279</v>
      </c>
      <c r="F194" s="46">
        <v>9858649</v>
      </c>
      <c r="G194" s="46">
        <v>9864604</v>
      </c>
      <c r="H194" s="46" t="s">
        <v>1265</v>
      </c>
      <c r="I194" s="46" t="s">
        <v>1261</v>
      </c>
      <c r="J194" s="65">
        <v>0.12026620370370371</v>
      </c>
      <c r="K194" s="46" t="s">
        <v>79</v>
      </c>
      <c r="L194" s="46" t="s">
        <v>1266</v>
      </c>
      <c r="M194" s="46" t="s">
        <v>1267</v>
      </c>
      <c r="N194" s="46" t="s">
        <v>711</v>
      </c>
      <c r="O194" s="46" t="s">
        <v>63</v>
      </c>
      <c r="P194" s="46" t="s">
        <v>120</v>
      </c>
      <c r="Q194" s="46">
        <v>1</v>
      </c>
      <c r="R194" s="46" t="s">
        <v>83</v>
      </c>
      <c r="S194" s="46" t="s">
        <v>66</v>
      </c>
      <c r="T194" s="46" t="s">
        <v>85</v>
      </c>
      <c r="U194" s="46" t="s">
        <v>153</v>
      </c>
      <c r="V194" s="46" t="s">
        <v>274</v>
      </c>
      <c r="W194" s="46" t="s">
        <v>123</v>
      </c>
      <c r="X194" s="48" t="s">
        <v>1280</v>
      </c>
      <c r="Y194" s="48" t="s">
        <v>72</v>
      </c>
      <c r="Z194" s="48" t="s">
        <v>1281</v>
      </c>
      <c r="AA194" s="29">
        <v>1</v>
      </c>
      <c r="AB194" s="30"/>
      <c r="AC194" s="38"/>
      <c r="AD194" s="29"/>
      <c r="AE194" s="39"/>
      <c r="AF194" s="40"/>
      <c r="AG194" s="32"/>
      <c r="AH194" s="33"/>
      <c r="AI194" s="32"/>
      <c r="AJ194" s="33"/>
      <c r="AK194" s="32"/>
      <c r="AL194" s="33"/>
      <c r="AM194" s="32"/>
      <c r="AN194" s="33"/>
      <c r="AO194" s="34"/>
      <c r="AP194" s="35"/>
      <c r="AQ194" s="34"/>
      <c r="AR194" s="35"/>
      <c r="AS194" s="34"/>
      <c r="AT194" s="35"/>
      <c r="AU194" s="36"/>
      <c r="AV194" s="37"/>
      <c r="AW194" s="36"/>
      <c r="AX194" s="52">
        <f t="shared" si="5"/>
        <v>0</v>
      </c>
      <c r="AY194" s="52"/>
      <c r="AZ194" s="52"/>
    </row>
    <row r="195" spans="1:52" ht="110.25" customHeight="1" x14ac:dyDescent="0.25">
      <c r="A195" s="49" t="s">
        <v>1282</v>
      </c>
      <c r="B195" s="49" t="s">
        <v>1283</v>
      </c>
      <c r="C195" s="49" t="s">
        <v>1284</v>
      </c>
      <c r="D195" s="49">
        <v>2023</v>
      </c>
      <c r="E195" s="50" t="s">
        <v>1285</v>
      </c>
      <c r="F195" s="49">
        <v>3530</v>
      </c>
      <c r="G195" s="49">
        <v>7980</v>
      </c>
      <c r="H195" s="49" t="s">
        <v>1286</v>
      </c>
      <c r="I195" s="49" t="s">
        <v>1282</v>
      </c>
      <c r="J195" s="64">
        <v>4.0706018518518516E-2</v>
      </c>
      <c r="K195" s="49" t="s">
        <v>79</v>
      </c>
      <c r="L195" s="49" t="s">
        <v>1287</v>
      </c>
      <c r="M195" s="49" t="s">
        <v>1288</v>
      </c>
      <c r="N195" s="49" t="s">
        <v>119</v>
      </c>
      <c r="O195" s="49" t="s">
        <v>63</v>
      </c>
      <c r="P195" s="49" t="s">
        <v>64</v>
      </c>
      <c r="Q195" s="49">
        <v>3</v>
      </c>
      <c r="R195" s="49" t="s">
        <v>577</v>
      </c>
      <c r="S195" s="49" t="s">
        <v>84</v>
      </c>
      <c r="T195" s="49" t="s">
        <v>85</v>
      </c>
      <c r="U195" s="49" t="s">
        <v>68</v>
      </c>
      <c r="V195" s="49" t="s">
        <v>86</v>
      </c>
      <c r="W195" s="49" t="s">
        <v>70</v>
      </c>
      <c r="X195" s="51" t="s">
        <v>1289</v>
      </c>
      <c r="Y195" s="51" t="s">
        <v>72</v>
      </c>
      <c r="Z195" s="51" t="s">
        <v>1290</v>
      </c>
      <c r="AA195" s="29"/>
      <c r="AB195" s="30"/>
      <c r="AC195" s="38"/>
      <c r="AD195" s="29"/>
      <c r="AE195" s="39">
        <v>1</v>
      </c>
      <c r="AF195" s="40">
        <v>1</v>
      </c>
      <c r="AG195" s="32"/>
      <c r="AH195" s="33"/>
      <c r="AI195" s="32"/>
      <c r="AJ195" s="33"/>
      <c r="AK195" s="32"/>
      <c r="AL195" s="33"/>
      <c r="AM195" s="32"/>
      <c r="AN195" s="33">
        <v>1</v>
      </c>
      <c r="AO195" s="34"/>
      <c r="AP195" s="35"/>
      <c r="AQ195" s="34"/>
      <c r="AR195" s="35"/>
      <c r="AS195" s="34"/>
      <c r="AT195" s="35"/>
      <c r="AU195" s="36"/>
      <c r="AV195" s="37">
        <v>1</v>
      </c>
      <c r="AW195" s="36"/>
      <c r="AX195" s="52">
        <f t="shared" si="5"/>
        <v>1</v>
      </c>
      <c r="AY195" s="52"/>
      <c r="AZ195" s="52"/>
    </row>
    <row r="196" spans="1:52" ht="110.25" customHeight="1" x14ac:dyDescent="0.25">
      <c r="A196" s="46" t="s">
        <v>1291</v>
      </c>
      <c r="B196" s="46" t="s">
        <v>1292</v>
      </c>
      <c r="C196" s="46" t="s">
        <v>1293</v>
      </c>
      <c r="D196" s="46">
        <v>2023</v>
      </c>
      <c r="E196" s="47" t="s">
        <v>1294</v>
      </c>
      <c r="F196" s="46">
        <v>253780</v>
      </c>
      <c r="G196" s="46">
        <v>256550</v>
      </c>
      <c r="H196" s="46" t="s">
        <v>927</v>
      </c>
      <c r="I196" s="46" t="s">
        <v>1291</v>
      </c>
      <c r="J196" s="65">
        <v>3.138888888888889E-2</v>
      </c>
      <c r="K196" s="46" t="s">
        <v>79</v>
      </c>
      <c r="L196" s="46" t="s">
        <v>1295</v>
      </c>
      <c r="M196" s="46" t="s">
        <v>1296</v>
      </c>
      <c r="N196" s="46" t="s">
        <v>97</v>
      </c>
      <c r="O196" s="46" t="s">
        <v>63</v>
      </c>
      <c r="P196" s="46" t="s">
        <v>64</v>
      </c>
      <c r="Q196" s="46">
        <v>2</v>
      </c>
      <c r="R196" s="46" t="s">
        <v>99</v>
      </c>
      <c r="S196" s="46" t="s">
        <v>84</v>
      </c>
      <c r="T196" s="46" t="s">
        <v>85</v>
      </c>
      <c r="U196" s="46" t="s">
        <v>68</v>
      </c>
      <c r="V196" s="46" t="s">
        <v>86</v>
      </c>
      <c r="W196" s="46" t="s">
        <v>100</v>
      </c>
      <c r="X196" s="48" t="s">
        <v>1297</v>
      </c>
      <c r="Y196" s="48" t="s">
        <v>72</v>
      </c>
      <c r="Z196" s="48" t="s">
        <v>1298</v>
      </c>
      <c r="AA196" s="29"/>
      <c r="AB196" s="30"/>
      <c r="AC196" s="38"/>
      <c r="AD196" s="29"/>
      <c r="AE196" s="39">
        <v>1</v>
      </c>
      <c r="AF196" s="40">
        <v>1</v>
      </c>
      <c r="AG196" s="32">
        <v>1</v>
      </c>
      <c r="AH196" s="33"/>
      <c r="AI196" s="32"/>
      <c r="AJ196" s="33"/>
      <c r="AK196" s="32"/>
      <c r="AL196" s="33"/>
      <c r="AM196" s="32"/>
      <c r="AN196" s="33"/>
      <c r="AO196" s="34">
        <v>1</v>
      </c>
      <c r="AP196" s="35"/>
      <c r="AQ196" s="34"/>
      <c r="AR196" s="35"/>
      <c r="AS196" s="34"/>
      <c r="AT196" s="35"/>
      <c r="AU196" s="36"/>
      <c r="AV196" s="37"/>
      <c r="AW196" s="36"/>
      <c r="AX196" s="52">
        <f t="shared" si="5"/>
        <v>1</v>
      </c>
      <c r="AY196" s="52"/>
      <c r="AZ196" s="52"/>
    </row>
    <row r="197" spans="1:52" ht="110.25" customHeight="1" x14ac:dyDescent="0.25">
      <c r="A197" s="49" t="s">
        <v>1291</v>
      </c>
      <c r="B197" s="49" t="s">
        <v>1299</v>
      </c>
      <c r="C197" s="49" t="s">
        <v>1293</v>
      </c>
      <c r="D197" s="49">
        <v>2023</v>
      </c>
      <c r="E197" s="50" t="s">
        <v>1300</v>
      </c>
      <c r="F197" s="49">
        <v>1230233</v>
      </c>
      <c r="G197" s="49">
        <v>1231233</v>
      </c>
      <c r="H197" s="49" t="s">
        <v>1301</v>
      </c>
      <c r="I197" s="49" t="s">
        <v>1291</v>
      </c>
      <c r="J197" s="64">
        <v>3.138888888888889E-2</v>
      </c>
      <c r="K197" s="49" t="s">
        <v>79</v>
      </c>
      <c r="L197" s="49" t="s">
        <v>1295</v>
      </c>
      <c r="M197" s="49" t="s">
        <v>1296</v>
      </c>
      <c r="N197" s="49" t="s">
        <v>62</v>
      </c>
      <c r="O197" s="49" t="s">
        <v>63</v>
      </c>
      <c r="P197" s="49" t="s">
        <v>64</v>
      </c>
      <c r="Q197" s="49">
        <v>2</v>
      </c>
      <c r="R197" s="49" t="s">
        <v>577</v>
      </c>
      <c r="S197" s="49" t="s">
        <v>84</v>
      </c>
      <c r="T197" s="49" t="s">
        <v>85</v>
      </c>
      <c r="U197" s="49" t="s">
        <v>68</v>
      </c>
      <c r="V197" s="49" t="s">
        <v>86</v>
      </c>
      <c r="W197" s="49" t="s">
        <v>398</v>
      </c>
      <c r="X197" s="51" t="s">
        <v>1302</v>
      </c>
      <c r="Y197" s="51" t="s">
        <v>72</v>
      </c>
      <c r="Z197" s="51" t="s">
        <v>1303</v>
      </c>
      <c r="AA197" s="29"/>
      <c r="AB197" s="30"/>
      <c r="AC197" s="38"/>
      <c r="AD197" s="29"/>
      <c r="AE197" s="39">
        <v>1</v>
      </c>
      <c r="AF197" s="40"/>
      <c r="AG197" s="32"/>
      <c r="AH197" s="33"/>
      <c r="AI197" s="32"/>
      <c r="AJ197" s="33"/>
      <c r="AK197" s="32"/>
      <c r="AL197" s="33"/>
      <c r="AM197" s="32"/>
      <c r="AN197" s="33"/>
      <c r="AO197" s="34"/>
      <c r="AP197" s="35"/>
      <c r="AQ197" s="34"/>
      <c r="AR197" s="35"/>
      <c r="AS197" s="34"/>
      <c r="AT197" s="35"/>
      <c r="AU197" s="36"/>
      <c r="AV197" s="37">
        <v>1</v>
      </c>
      <c r="AW197" s="36"/>
      <c r="AX197" s="52">
        <f t="shared" si="5"/>
        <v>0</v>
      </c>
      <c r="AY197" s="52"/>
      <c r="AZ197" s="52"/>
    </row>
    <row r="198" spans="1:52" ht="110.25" customHeight="1" x14ac:dyDescent="0.25">
      <c r="A198" s="46" t="s">
        <v>1304</v>
      </c>
      <c r="B198" s="46" t="s">
        <v>1305</v>
      </c>
      <c r="C198" s="46" t="s">
        <v>1306</v>
      </c>
      <c r="D198" s="46">
        <v>2022</v>
      </c>
      <c r="E198" s="47" t="s">
        <v>1307</v>
      </c>
      <c r="F198" s="46">
        <v>1967947</v>
      </c>
      <c r="G198" s="46">
        <v>1969487</v>
      </c>
      <c r="H198" s="46" t="s">
        <v>1308</v>
      </c>
      <c r="I198" s="46" t="s">
        <v>1304</v>
      </c>
      <c r="J198" s="65">
        <v>5.0439814814814812E-2</v>
      </c>
      <c r="K198" s="46" t="s">
        <v>79</v>
      </c>
      <c r="L198" s="46" t="s">
        <v>1309</v>
      </c>
      <c r="M198" s="46" t="s">
        <v>1310</v>
      </c>
      <c r="N198" s="46" t="s">
        <v>273</v>
      </c>
      <c r="O198" s="46" t="s">
        <v>98</v>
      </c>
      <c r="P198" s="46" t="s">
        <v>64</v>
      </c>
      <c r="Q198" s="46">
        <v>3</v>
      </c>
      <c r="R198" s="46" t="s">
        <v>83</v>
      </c>
      <c r="S198" s="46" t="s">
        <v>84</v>
      </c>
      <c r="T198" s="46" t="s">
        <v>85</v>
      </c>
      <c r="U198" s="46" t="s">
        <v>839</v>
      </c>
      <c r="V198" s="46" t="s">
        <v>86</v>
      </c>
      <c r="W198" s="46" t="s">
        <v>87</v>
      </c>
      <c r="X198" s="48" t="s">
        <v>1311</v>
      </c>
      <c r="Y198" s="48" t="s">
        <v>72</v>
      </c>
      <c r="Z198" s="48" t="s">
        <v>1312</v>
      </c>
      <c r="AA198" s="29"/>
      <c r="AB198" s="30"/>
      <c r="AC198" s="38"/>
      <c r="AD198" s="29"/>
      <c r="AE198" s="39">
        <v>1</v>
      </c>
      <c r="AF198" s="40"/>
      <c r="AG198" s="32"/>
      <c r="AH198" s="33"/>
      <c r="AI198" s="32"/>
      <c r="AJ198" s="33"/>
      <c r="AK198" s="32">
        <v>1</v>
      </c>
      <c r="AL198" s="33"/>
      <c r="AM198" s="32"/>
      <c r="AN198" s="33"/>
      <c r="AO198" s="34"/>
      <c r="AP198" s="35"/>
      <c r="AQ198" s="34"/>
      <c r="AR198" s="35"/>
      <c r="AS198" s="34"/>
      <c r="AT198" s="35"/>
      <c r="AU198" s="36"/>
      <c r="AV198" s="37"/>
      <c r="AW198" s="36">
        <v>1</v>
      </c>
      <c r="AX198" s="52">
        <f t="shared" si="5"/>
        <v>1</v>
      </c>
      <c r="AY198" s="52"/>
      <c r="AZ198" s="52"/>
    </row>
    <row r="199" spans="1:52" ht="110.25" customHeight="1" x14ac:dyDescent="0.25">
      <c r="A199" s="49" t="s">
        <v>1313</v>
      </c>
      <c r="B199" s="49" t="s">
        <v>1314</v>
      </c>
      <c r="C199" s="49" t="s">
        <v>1315</v>
      </c>
      <c r="D199" s="49">
        <v>2022</v>
      </c>
      <c r="E199" s="50" t="s">
        <v>1316</v>
      </c>
      <c r="F199" s="49">
        <v>693294</v>
      </c>
      <c r="G199" s="49">
        <v>699157</v>
      </c>
      <c r="H199" s="49" t="s">
        <v>1317</v>
      </c>
      <c r="I199" s="49" t="s">
        <v>1313</v>
      </c>
      <c r="J199" s="64">
        <v>6.7094907407407409E-2</v>
      </c>
      <c r="K199" s="49" t="s">
        <v>79</v>
      </c>
      <c r="L199" s="49" t="s">
        <v>1318</v>
      </c>
      <c r="M199" s="49" t="s">
        <v>1319</v>
      </c>
      <c r="N199" s="49" t="s">
        <v>1320</v>
      </c>
      <c r="O199" s="49" t="s">
        <v>63</v>
      </c>
      <c r="P199" s="49" t="s">
        <v>64</v>
      </c>
      <c r="Q199" s="49">
        <v>3</v>
      </c>
      <c r="R199" s="49" t="s">
        <v>160</v>
      </c>
      <c r="S199" s="49" t="s">
        <v>84</v>
      </c>
      <c r="T199" s="49" t="s">
        <v>85</v>
      </c>
      <c r="U199" s="49" t="s">
        <v>68</v>
      </c>
      <c r="V199" s="49" t="s">
        <v>86</v>
      </c>
      <c r="W199" s="49" t="s">
        <v>87</v>
      </c>
      <c r="X199" s="51" t="s">
        <v>1321</v>
      </c>
      <c r="Y199" s="51" t="s">
        <v>72</v>
      </c>
      <c r="Z199" s="51" t="s">
        <v>1322</v>
      </c>
      <c r="AA199" s="29"/>
      <c r="AB199" s="30"/>
      <c r="AC199" s="38"/>
      <c r="AD199" s="29"/>
      <c r="AE199" s="39">
        <v>1</v>
      </c>
      <c r="AF199" s="40"/>
      <c r="AG199" s="32"/>
      <c r="AH199" s="33"/>
      <c r="AI199" s="32"/>
      <c r="AJ199" s="33"/>
      <c r="AK199" s="32"/>
      <c r="AL199" s="33"/>
      <c r="AM199" s="32"/>
      <c r="AN199" s="33"/>
      <c r="AO199" s="34"/>
      <c r="AP199" s="35"/>
      <c r="AQ199" s="34"/>
      <c r="AR199" s="35"/>
      <c r="AS199" s="34"/>
      <c r="AT199" s="35"/>
      <c r="AU199" s="36"/>
      <c r="AV199" s="37">
        <v>1</v>
      </c>
      <c r="AW199" s="36"/>
      <c r="AX199" s="52">
        <f t="shared" si="5"/>
        <v>0</v>
      </c>
      <c r="AY199" s="52"/>
      <c r="AZ199" s="52"/>
    </row>
    <row r="200" spans="1:52" ht="110.25" customHeight="1" x14ac:dyDescent="0.25">
      <c r="A200" s="46" t="s">
        <v>1313</v>
      </c>
      <c r="B200" s="46" t="s">
        <v>1323</v>
      </c>
      <c r="C200" s="46" t="s">
        <v>1315</v>
      </c>
      <c r="D200" s="46">
        <v>2022</v>
      </c>
      <c r="E200" s="47" t="s">
        <v>1324</v>
      </c>
      <c r="F200" s="46">
        <v>702824</v>
      </c>
      <c r="G200" s="46">
        <v>703882</v>
      </c>
      <c r="H200" s="46" t="s">
        <v>1325</v>
      </c>
      <c r="I200" s="46" t="s">
        <v>1313</v>
      </c>
      <c r="J200" s="65">
        <v>6.7094907407407409E-2</v>
      </c>
      <c r="K200" s="46" t="s">
        <v>79</v>
      </c>
      <c r="L200" s="46" t="s">
        <v>1318</v>
      </c>
      <c r="M200" s="46" t="s">
        <v>1319</v>
      </c>
      <c r="N200" s="46" t="s">
        <v>1320</v>
      </c>
      <c r="O200" s="46" t="s">
        <v>98</v>
      </c>
      <c r="P200" s="46" t="s">
        <v>64</v>
      </c>
      <c r="Q200" s="46">
        <v>3</v>
      </c>
      <c r="R200" s="46" t="s">
        <v>160</v>
      </c>
      <c r="S200" s="46" t="s">
        <v>84</v>
      </c>
      <c r="T200" s="46" t="s">
        <v>85</v>
      </c>
      <c r="U200" s="46" t="s">
        <v>68</v>
      </c>
      <c r="V200" s="46" t="s">
        <v>86</v>
      </c>
      <c r="W200" s="46" t="s">
        <v>87</v>
      </c>
      <c r="X200" s="48" t="s">
        <v>1326</v>
      </c>
      <c r="Y200" s="48" t="s">
        <v>72</v>
      </c>
      <c r="Z200" s="48" t="s">
        <v>1327</v>
      </c>
      <c r="AA200" s="29"/>
      <c r="AB200" s="30"/>
      <c r="AC200" s="38"/>
      <c r="AD200" s="29"/>
      <c r="AE200" s="39">
        <v>1</v>
      </c>
      <c r="AF200" s="40"/>
      <c r="AG200" s="32">
        <v>1</v>
      </c>
      <c r="AH200" s="33"/>
      <c r="AI200" s="32"/>
      <c r="AJ200" s="33"/>
      <c r="AK200" s="32"/>
      <c r="AL200" s="33"/>
      <c r="AM200" s="32"/>
      <c r="AN200" s="33"/>
      <c r="AO200" s="34">
        <v>1</v>
      </c>
      <c r="AP200" s="35"/>
      <c r="AQ200" s="34"/>
      <c r="AR200" s="35"/>
      <c r="AS200" s="34"/>
      <c r="AT200" s="35"/>
      <c r="AU200" s="36"/>
      <c r="AV200" s="37"/>
      <c r="AW200" s="36"/>
      <c r="AX200" s="52">
        <f t="shared" si="5"/>
        <v>1</v>
      </c>
      <c r="AY200" s="52"/>
      <c r="AZ200" s="52"/>
    </row>
    <row r="201" spans="1:52" ht="110.25" customHeight="1" x14ac:dyDescent="0.25">
      <c r="A201" s="49" t="s">
        <v>1313</v>
      </c>
      <c r="B201" s="49" t="s">
        <v>1328</v>
      </c>
      <c r="C201" s="49" t="s">
        <v>1315</v>
      </c>
      <c r="D201" s="49">
        <v>2022</v>
      </c>
      <c r="E201" s="50" t="s">
        <v>1329</v>
      </c>
      <c r="F201" s="49">
        <v>2904120</v>
      </c>
      <c r="G201" s="49">
        <v>2912160</v>
      </c>
      <c r="H201" s="49" t="s">
        <v>1325</v>
      </c>
      <c r="I201" s="49" t="s">
        <v>1313</v>
      </c>
      <c r="J201" s="64">
        <v>6.7094907407407409E-2</v>
      </c>
      <c r="K201" s="49" t="s">
        <v>79</v>
      </c>
      <c r="L201" s="49" t="s">
        <v>1318</v>
      </c>
      <c r="M201" s="49" t="s">
        <v>1319</v>
      </c>
      <c r="N201" s="49" t="s">
        <v>1320</v>
      </c>
      <c r="O201" s="49" t="s">
        <v>98</v>
      </c>
      <c r="P201" s="49" t="s">
        <v>64</v>
      </c>
      <c r="Q201" s="49">
        <v>3</v>
      </c>
      <c r="R201" s="49" t="s">
        <v>160</v>
      </c>
      <c r="S201" s="49" t="s">
        <v>84</v>
      </c>
      <c r="T201" s="49" t="s">
        <v>85</v>
      </c>
      <c r="U201" s="49" t="s">
        <v>68</v>
      </c>
      <c r="V201" s="49" t="s">
        <v>86</v>
      </c>
      <c r="W201" s="49" t="s">
        <v>87</v>
      </c>
      <c r="X201" s="51" t="s">
        <v>1330</v>
      </c>
      <c r="Y201" s="51" t="s">
        <v>72</v>
      </c>
      <c r="Z201" s="51" t="s">
        <v>1331</v>
      </c>
      <c r="AA201" s="29"/>
      <c r="AB201" s="30"/>
      <c r="AC201" s="38"/>
      <c r="AD201" s="29"/>
      <c r="AE201" s="39">
        <v>1</v>
      </c>
      <c r="AF201" s="40"/>
      <c r="AG201" s="32"/>
      <c r="AH201" s="33"/>
      <c r="AI201" s="32"/>
      <c r="AJ201" s="33"/>
      <c r="AK201" s="32"/>
      <c r="AL201" s="33"/>
      <c r="AM201" s="32"/>
      <c r="AN201" s="33"/>
      <c r="AO201" s="34"/>
      <c r="AP201" s="35"/>
      <c r="AQ201" s="34"/>
      <c r="AR201" s="35"/>
      <c r="AS201" s="34"/>
      <c r="AT201" s="35"/>
      <c r="AU201" s="36"/>
      <c r="AV201" s="37">
        <v>1</v>
      </c>
      <c r="AW201" s="36"/>
      <c r="AX201" s="52">
        <f t="shared" si="5"/>
        <v>0</v>
      </c>
      <c r="AY201" s="52"/>
      <c r="AZ201" s="52"/>
    </row>
    <row r="202" spans="1:52" ht="110.25" customHeight="1" x14ac:dyDescent="0.25">
      <c r="A202" s="46" t="s">
        <v>1313</v>
      </c>
      <c r="B202" s="46" t="s">
        <v>1332</v>
      </c>
      <c r="C202" s="46" t="s">
        <v>1315</v>
      </c>
      <c r="D202" s="46">
        <v>2022</v>
      </c>
      <c r="E202" s="47" t="s">
        <v>1333</v>
      </c>
      <c r="F202" s="46">
        <v>5790890</v>
      </c>
      <c r="G202" s="46">
        <v>5792520</v>
      </c>
      <c r="H202" s="46" t="s">
        <v>1334</v>
      </c>
      <c r="I202" s="46" t="s">
        <v>1313</v>
      </c>
      <c r="J202" s="65">
        <v>6.7094907407407409E-2</v>
      </c>
      <c r="K202" s="46" t="s">
        <v>79</v>
      </c>
      <c r="L202" s="47" t="s">
        <v>1318</v>
      </c>
      <c r="M202" s="46" t="s">
        <v>1319</v>
      </c>
      <c r="N202" s="46" t="s">
        <v>97</v>
      </c>
      <c r="O202" s="46" t="s">
        <v>63</v>
      </c>
      <c r="P202" s="46" t="s">
        <v>64</v>
      </c>
      <c r="Q202" s="46">
        <v>3</v>
      </c>
      <c r="R202" s="46" t="s">
        <v>99</v>
      </c>
      <c r="S202" s="46" t="s">
        <v>84</v>
      </c>
      <c r="T202" s="46" t="s">
        <v>85</v>
      </c>
      <c r="U202" s="46" t="s">
        <v>68</v>
      </c>
      <c r="V202" s="46" t="s">
        <v>86</v>
      </c>
      <c r="W202" s="46" t="s">
        <v>100</v>
      </c>
      <c r="X202" s="48" t="s">
        <v>1335</v>
      </c>
      <c r="Y202" s="48" t="s">
        <v>72</v>
      </c>
      <c r="Z202" s="48" t="s">
        <v>1336</v>
      </c>
      <c r="AA202" s="29"/>
      <c r="AB202" s="30"/>
      <c r="AC202" s="38"/>
      <c r="AD202" s="29"/>
      <c r="AE202" s="39">
        <v>1</v>
      </c>
      <c r="AF202" s="40">
        <v>1</v>
      </c>
      <c r="AG202" s="32">
        <v>1</v>
      </c>
      <c r="AH202" s="33"/>
      <c r="AI202" s="32"/>
      <c r="AJ202" s="33"/>
      <c r="AK202" s="32"/>
      <c r="AL202" s="33"/>
      <c r="AM202" s="32"/>
      <c r="AN202" s="33">
        <v>1</v>
      </c>
      <c r="AO202" s="34"/>
      <c r="AP202" s="35">
        <v>1</v>
      </c>
      <c r="AQ202" s="34"/>
      <c r="AR202" s="35"/>
      <c r="AS202" s="34"/>
      <c r="AT202" s="35"/>
      <c r="AU202" s="36"/>
      <c r="AV202" s="37"/>
      <c r="AW202" s="36"/>
      <c r="AX202" s="52">
        <f t="shared" si="5"/>
        <v>1</v>
      </c>
      <c r="AY202" s="52"/>
      <c r="AZ202" s="52"/>
    </row>
    <row r="203" spans="1:52" ht="110.25" customHeight="1" x14ac:dyDescent="0.25">
      <c r="A203" s="49" t="s">
        <v>1337</v>
      </c>
      <c r="B203" s="49" t="s">
        <v>1338</v>
      </c>
      <c r="C203" s="49" t="s">
        <v>1339</v>
      </c>
      <c r="D203" s="49">
        <v>2022</v>
      </c>
      <c r="E203" s="50" t="s">
        <v>1340</v>
      </c>
      <c r="F203" s="49">
        <v>27910</v>
      </c>
      <c r="G203" s="49">
        <v>31541</v>
      </c>
      <c r="H203" s="49" t="s">
        <v>1341</v>
      </c>
      <c r="I203" s="49" t="s">
        <v>1337</v>
      </c>
      <c r="J203" s="64">
        <v>4.3692129629629629E-2</v>
      </c>
      <c r="K203" s="49" t="s">
        <v>79</v>
      </c>
      <c r="L203" s="49" t="s">
        <v>1342</v>
      </c>
      <c r="M203" s="49" t="s">
        <v>1343</v>
      </c>
      <c r="N203" s="49" t="s">
        <v>248</v>
      </c>
      <c r="O203" s="49" t="s">
        <v>63</v>
      </c>
      <c r="P203" s="49" t="s">
        <v>64</v>
      </c>
      <c r="Q203" s="49">
        <v>2</v>
      </c>
      <c r="R203" s="49" t="s">
        <v>160</v>
      </c>
      <c r="S203" s="49" t="s">
        <v>84</v>
      </c>
      <c r="T203" s="49" t="s">
        <v>85</v>
      </c>
      <c r="U203" s="49" t="s">
        <v>68</v>
      </c>
      <c r="V203" s="49" t="s">
        <v>86</v>
      </c>
      <c r="W203" s="49" t="s">
        <v>377</v>
      </c>
      <c r="X203" s="51" t="s">
        <v>1344</v>
      </c>
      <c r="Y203" s="51" t="s">
        <v>72</v>
      </c>
      <c r="Z203" s="51" t="s">
        <v>1345</v>
      </c>
      <c r="AA203" s="29"/>
      <c r="AB203" s="30"/>
      <c r="AC203" s="38"/>
      <c r="AD203" s="29"/>
      <c r="AE203" s="39">
        <v>1</v>
      </c>
      <c r="AF203" s="40"/>
      <c r="AG203" s="32"/>
      <c r="AH203" s="33"/>
      <c r="AI203" s="32"/>
      <c r="AJ203" s="33"/>
      <c r="AK203" s="32"/>
      <c r="AL203" s="33"/>
      <c r="AM203" s="32"/>
      <c r="AN203" s="33"/>
      <c r="AO203" s="34"/>
      <c r="AP203" s="35"/>
      <c r="AQ203" s="34"/>
      <c r="AR203" s="35">
        <v>1</v>
      </c>
      <c r="AS203" s="34"/>
      <c r="AT203" s="35"/>
      <c r="AU203" s="36"/>
      <c r="AV203" s="37"/>
      <c r="AW203" s="36">
        <v>1</v>
      </c>
      <c r="AX203" s="52">
        <f t="shared" si="5"/>
        <v>1</v>
      </c>
      <c r="AY203" s="52"/>
      <c r="AZ203" s="52"/>
    </row>
    <row r="204" spans="1:52" ht="110.25" customHeight="1" x14ac:dyDescent="0.25">
      <c r="A204" s="46" t="s">
        <v>1337</v>
      </c>
      <c r="B204" s="46" t="s">
        <v>1346</v>
      </c>
      <c r="C204" s="46" t="s">
        <v>1339</v>
      </c>
      <c r="D204" s="46">
        <v>2022</v>
      </c>
      <c r="E204" s="47" t="s">
        <v>1347</v>
      </c>
      <c r="F204" s="46">
        <v>144178</v>
      </c>
      <c r="G204" s="46">
        <v>146888</v>
      </c>
      <c r="H204" s="46" t="s">
        <v>1341</v>
      </c>
      <c r="I204" s="46" t="s">
        <v>1337</v>
      </c>
      <c r="J204" s="65">
        <v>4.3692129629629629E-2</v>
      </c>
      <c r="K204" s="46" t="s">
        <v>79</v>
      </c>
      <c r="L204" s="46" t="s">
        <v>1342</v>
      </c>
      <c r="M204" s="46" t="s">
        <v>1343</v>
      </c>
      <c r="N204" s="46" t="s">
        <v>248</v>
      </c>
      <c r="O204" s="46" t="s">
        <v>63</v>
      </c>
      <c r="P204" s="46" t="s">
        <v>64</v>
      </c>
      <c r="Q204" s="46">
        <v>2</v>
      </c>
      <c r="R204" s="46" t="s">
        <v>160</v>
      </c>
      <c r="S204" s="46" t="s">
        <v>84</v>
      </c>
      <c r="T204" s="46" t="s">
        <v>85</v>
      </c>
      <c r="U204" s="46" t="s">
        <v>68</v>
      </c>
      <c r="V204" s="46" t="s">
        <v>86</v>
      </c>
      <c r="W204" s="46" t="s">
        <v>377</v>
      </c>
      <c r="X204" s="48" t="s">
        <v>1348</v>
      </c>
      <c r="Y204" s="48" t="s">
        <v>72</v>
      </c>
      <c r="Z204" s="48" t="s">
        <v>1349</v>
      </c>
      <c r="AA204" s="29"/>
      <c r="AB204" s="30"/>
      <c r="AC204" s="38"/>
      <c r="AD204" s="29"/>
      <c r="AE204" s="39">
        <v>1</v>
      </c>
      <c r="AF204" s="40"/>
      <c r="AG204" s="32"/>
      <c r="AH204" s="33"/>
      <c r="AI204" s="32"/>
      <c r="AJ204" s="33"/>
      <c r="AK204" s="32"/>
      <c r="AL204" s="33"/>
      <c r="AM204" s="32"/>
      <c r="AN204" s="33">
        <v>1</v>
      </c>
      <c r="AO204" s="34"/>
      <c r="AP204" s="35"/>
      <c r="AQ204" s="34"/>
      <c r="AR204" s="35"/>
      <c r="AS204" s="34"/>
      <c r="AT204" s="35"/>
      <c r="AU204" s="36"/>
      <c r="AV204" s="37"/>
      <c r="AW204" s="36"/>
      <c r="AX204" s="52">
        <f t="shared" si="5"/>
        <v>0</v>
      </c>
      <c r="AY204" s="52"/>
      <c r="AZ204" s="52"/>
    </row>
    <row r="205" spans="1:52" ht="110.25" customHeight="1" x14ac:dyDescent="0.25">
      <c r="A205" s="49" t="s">
        <v>1337</v>
      </c>
      <c r="B205" s="49" t="s">
        <v>1350</v>
      </c>
      <c r="C205" s="49" t="s">
        <v>1339</v>
      </c>
      <c r="D205" s="49">
        <v>2022</v>
      </c>
      <c r="E205" s="50" t="s">
        <v>1351</v>
      </c>
      <c r="F205" s="49">
        <v>170950</v>
      </c>
      <c r="G205" s="49">
        <v>172030</v>
      </c>
      <c r="H205" s="49" t="s">
        <v>1341</v>
      </c>
      <c r="I205" s="49" t="s">
        <v>1337</v>
      </c>
      <c r="J205" s="64">
        <v>4.3692129629629629E-2</v>
      </c>
      <c r="K205" s="49" t="s">
        <v>79</v>
      </c>
      <c r="L205" s="49" t="s">
        <v>1342</v>
      </c>
      <c r="M205" s="49" t="s">
        <v>1343</v>
      </c>
      <c r="N205" s="49" t="s">
        <v>248</v>
      </c>
      <c r="O205" s="49" t="s">
        <v>63</v>
      </c>
      <c r="P205" s="49" t="s">
        <v>64</v>
      </c>
      <c r="Q205" s="49">
        <v>2</v>
      </c>
      <c r="R205" s="49" t="s">
        <v>160</v>
      </c>
      <c r="S205" s="49" t="s">
        <v>84</v>
      </c>
      <c r="T205" s="49" t="s">
        <v>85</v>
      </c>
      <c r="U205" s="49" t="s">
        <v>68</v>
      </c>
      <c r="V205" s="49" t="s">
        <v>86</v>
      </c>
      <c r="W205" s="49" t="s">
        <v>377</v>
      </c>
      <c r="X205" s="51" t="s">
        <v>1352</v>
      </c>
      <c r="Y205" s="51" t="s">
        <v>72</v>
      </c>
      <c r="Z205" s="51" t="s">
        <v>1353</v>
      </c>
      <c r="AA205" s="29"/>
      <c r="AB205" s="30"/>
      <c r="AC205" s="38"/>
      <c r="AD205" s="29"/>
      <c r="AE205" s="39">
        <v>1</v>
      </c>
      <c r="AF205" s="40">
        <v>1</v>
      </c>
      <c r="AG205" s="32"/>
      <c r="AH205" s="33"/>
      <c r="AI205" s="32"/>
      <c r="AJ205" s="33"/>
      <c r="AK205" s="32"/>
      <c r="AL205" s="33"/>
      <c r="AM205" s="32"/>
      <c r="AN205" s="33"/>
      <c r="AO205" s="34"/>
      <c r="AP205" s="35"/>
      <c r="AQ205" s="34">
        <v>1</v>
      </c>
      <c r="AR205" s="35"/>
      <c r="AS205" s="34"/>
      <c r="AT205" s="35"/>
      <c r="AU205" s="36"/>
      <c r="AV205" s="37"/>
      <c r="AW205" s="36"/>
      <c r="AX205" s="52">
        <f t="shared" si="5"/>
        <v>0</v>
      </c>
      <c r="AY205" s="52"/>
      <c r="AZ205" s="52"/>
    </row>
    <row r="206" spans="1:52" ht="110.25" customHeight="1" x14ac:dyDescent="0.25">
      <c r="A206" s="46" t="s">
        <v>1354</v>
      </c>
      <c r="B206" s="46" t="s">
        <v>1355</v>
      </c>
      <c r="C206" s="46" t="s">
        <v>1356</v>
      </c>
      <c r="D206" s="46">
        <v>2022</v>
      </c>
      <c r="E206" s="47" t="s">
        <v>1357</v>
      </c>
      <c r="F206" s="46">
        <v>292750</v>
      </c>
      <c r="G206" s="46">
        <v>295010</v>
      </c>
      <c r="H206" s="46" t="s">
        <v>197</v>
      </c>
      <c r="I206" s="46" t="s">
        <v>1354</v>
      </c>
      <c r="J206" s="65">
        <v>1.9421296296296298E-2</v>
      </c>
      <c r="K206" s="46" t="s">
        <v>79</v>
      </c>
      <c r="L206" s="46" t="s">
        <v>1358</v>
      </c>
      <c r="M206" s="46" t="s">
        <v>1359</v>
      </c>
      <c r="N206" s="46" t="s">
        <v>97</v>
      </c>
      <c r="O206" s="46" t="s">
        <v>63</v>
      </c>
      <c r="P206" s="46" t="s">
        <v>64</v>
      </c>
      <c r="Q206" s="46">
        <v>3</v>
      </c>
      <c r="R206" s="46" t="s">
        <v>99</v>
      </c>
      <c r="S206" s="46" t="s">
        <v>84</v>
      </c>
      <c r="T206" s="46" t="s">
        <v>85</v>
      </c>
      <c r="U206" s="46" t="s">
        <v>68</v>
      </c>
      <c r="V206" s="46" t="s">
        <v>86</v>
      </c>
      <c r="W206" s="46" t="s">
        <v>100</v>
      </c>
      <c r="X206" s="48" t="s">
        <v>1360</v>
      </c>
      <c r="Y206" s="48" t="s">
        <v>72</v>
      </c>
      <c r="Z206" s="48" t="s">
        <v>1361</v>
      </c>
      <c r="AA206" s="29"/>
      <c r="AB206" s="30"/>
      <c r="AC206" s="38"/>
      <c r="AD206" s="29"/>
      <c r="AE206" s="39">
        <v>1</v>
      </c>
      <c r="AF206" s="40"/>
      <c r="AG206" s="32"/>
      <c r="AH206" s="33"/>
      <c r="AI206" s="32"/>
      <c r="AJ206" s="33"/>
      <c r="AK206" s="32"/>
      <c r="AL206" s="33"/>
      <c r="AM206" s="32"/>
      <c r="AN206" s="33"/>
      <c r="AO206" s="34"/>
      <c r="AP206" s="35"/>
      <c r="AQ206" s="34"/>
      <c r="AR206" s="35"/>
      <c r="AS206" s="34"/>
      <c r="AT206" s="35"/>
      <c r="AU206" s="36">
        <v>1</v>
      </c>
      <c r="AV206" s="37">
        <v>1</v>
      </c>
      <c r="AW206" s="36"/>
      <c r="AX206" s="52">
        <f t="shared" si="5"/>
        <v>1</v>
      </c>
      <c r="AY206" s="52"/>
      <c r="AZ206" s="52"/>
    </row>
    <row r="207" spans="1:52" ht="110.25" customHeight="1" x14ac:dyDescent="0.25">
      <c r="A207" s="49" t="s">
        <v>1354</v>
      </c>
      <c r="B207" s="49" t="s">
        <v>1362</v>
      </c>
      <c r="C207" s="49" t="s">
        <v>1356</v>
      </c>
      <c r="D207" s="49">
        <v>2022</v>
      </c>
      <c r="E207" s="50" t="s">
        <v>1363</v>
      </c>
      <c r="F207" s="49">
        <v>594130</v>
      </c>
      <c r="G207" s="49">
        <v>595773</v>
      </c>
      <c r="H207" s="49" t="s">
        <v>197</v>
      </c>
      <c r="I207" s="49" t="s">
        <v>1354</v>
      </c>
      <c r="J207" s="64">
        <v>1.9421296296296298E-2</v>
      </c>
      <c r="K207" s="49" t="s">
        <v>79</v>
      </c>
      <c r="L207" s="49" t="s">
        <v>1358</v>
      </c>
      <c r="M207" s="49" t="s">
        <v>1359</v>
      </c>
      <c r="N207" s="49" t="s">
        <v>97</v>
      </c>
      <c r="O207" s="49" t="s">
        <v>63</v>
      </c>
      <c r="P207" s="49" t="s">
        <v>64</v>
      </c>
      <c r="Q207" s="49">
        <v>3</v>
      </c>
      <c r="R207" s="49" t="s">
        <v>99</v>
      </c>
      <c r="S207" s="49" t="s">
        <v>84</v>
      </c>
      <c r="T207" s="49" t="s">
        <v>85</v>
      </c>
      <c r="U207" s="49" t="s">
        <v>68</v>
      </c>
      <c r="V207" s="49" t="s">
        <v>86</v>
      </c>
      <c r="W207" s="49" t="s">
        <v>100</v>
      </c>
      <c r="X207" s="51" t="s">
        <v>1364</v>
      </c>
      <c r="Y207" s="51" t="s">
        <v>72</v>
      </c>
      <c r="Z207" s="51" t="s">
        <v>1365</v>
      </c>
      <c r="AA207" s="29"/>
      <c r="AB207" s="30"/>
      <c r="AC207" s="38"/>
      <c r="AD207" s="29"/>
      <c r="AE207" s="39">
        <v>1</v>
      </c>
      <c r="AF207" s="40"/>
      <c r="AG207" s="32"/>
      <c r="AH207" s="33"/>
      <c r="AI207" s="32"/>
      <c r="AJ207" s="33"/>
      <c r="AK207" s="32"/>
      <c r="AL207" s="33"/>
      <c r="AM207" s="32"/>
      <c r="AN207" s="33"/>
      <c r="AO207" s="34"/>
      <c r="AP207" s="35"/>
      <c r="AQ207" s="34"/>
      <c r="AR207" s="35"/>
      <c r="AS207" s="34"/>
      <c r="AT207" s="35"/>
      <c r="AU207" s="36">
        <v>1</v>
      </c>
      <c r="AV207" s="37">
        <v>1</v>
      </c>
      <c r="AW207" s="36"/>
      <c r="AX207" s="52">
        <f t="shared" si="5"/>
        <v>1</v>
      </c>
      <c r="AY207" s="52"/>
      <c r="AZ207" s="52"/>
    </row>
    <row r="208" spans="1:52" ht="110.25" customHeight="1" x14ac:dyDescent="0.25">
      <c r="A208" s="46" t="s">
        <v>1354</v>
      </c>
      <c r="B208" s="46" t="s">
        <v>1366</v>
      </c>
      <c r="C208" s="46" t="s">
        <v>1356</v>
      </c>
      <c r="D208" s="46">
        <v>2022</v>
      </c>
      <c r="E208" s="47" t="s">
        <v>1367</v>
      </c>
      <c r="F208" s="46">
        <v>1110690</v>
      </c>
      <c r="G208" s="46">
        <v>1113544</v>
      </c>
      <c r="H208" s="46" t="s">
        <v>197</v>
      </c>
      <c r="I208" s="46" t="s">
        <v>1354</v>
      </c>
      <c r="J208" s="65">
        <v>1.9421296296296298E-2</v>
      </c>
      <c r="K208" s="46" t="s">
        <v>79</v>
      </c>
      <c r="L208" s="46" t="s">
        <v>1358</v>
      </c>
      <c r="M208" s="46" t="s">
        <v>1359</v>
      </c>
      <c r="N208" s="46" t="s">
        <v>97</v>
      </c>
      <c r="O208" s="46" t="s">
        <v>63</v>
      </c>
      <c r="P208" s="46" t="s">
        <v>64</v>
      </c>
      <c r="Q208" s="46">
        <v>3</v>
      </c>
      <c r="R208" s="46" t="s">
        <v>99</v>
      </c>
      <c r="S208" s="46" t="s">
        <v>84</v>
      </c>
      <c r="T208" s="46" t="s">
        <v>85</v>
      </c>
      <c r="U208" s="46" t="s">
        <v>68</v>
      </c>
      <c r="V208" s="46" t="s">
        <v>86</v>
      </c>
      <c r="W208" s="46" t="s">
        <v>100</v>
      </c>
      <c r="X208" s="48" t="s">
        <v>1368</v>
      </c>
      <c r="Y208" s="48" t="s">
        <v>72</v>
      </c>
      <c r="Z208" s="48" t="s">
        <v>1369</v>
      </c>
      <c r="AA208" s="29"/>
      <c r="AB208" s="30"/>
      <c r="AC208" s="38"/>
      <c r="AD208" s="29"/>
      <c r="AE208" s="39">
        <v>1</v>
      </c>
      <c r="AF208" s="40">
        <v>1</v>
      </c>
      <c r="AG208" s="32"/>
      <c r="AH208" s="33"/>
      <c r="AI208" s="32"/>
      <c r="AJ208" s="33"/>
      <c r="AK208" s="32"/>
      <c r="AL208" s="33"/>
      <c r="AM208" s="32"/>
      <c r="AN208" s="33"/>
      <c r="AO208" s="34"/>
      <c r="AP208" s="35"/>
      <c r="AQ208" s="34"/>
      <c r="AR208" s="35"/>
      <c r="AS208" s="34"/>
      <c r="AT208" s="35"/>
      <c r="AU208" s="36"/>
      <c r="AV208" s="37">
        <v>1</v>
      </c>
      <c r="AW208" s="36"/>
      <c r="AX208" s="52">
        <f t="shared" si="5"/>
        <v>0</v>
      </c>
      <c r="AY208" s="52"/>
      <c r="AZ208" s="52"/>
    </row>
    <row r="209" spans="1:147" ht="110.25" customHeight="1" x14ac:dyDescent="0.25">
      <c r="A209" s="49" t="s">
        <v>1354</v>
      </c>
      <c r="B209" s="49" t="s">
        <v>1370</v>
      </c>
      <c r="C209" s="49" t="s">
        <v>1356</v>
      </c>
      <c r="D209" s="49">
        <v>2022</v>
      </c>
      <c r="E209" s="50" t="s">
        <v>1371</v>
      </c>
      <c r="F209" s="49">
        <v>1115210</v>
      </c>
      <c r="G209" s="49">
        <v>1115947</v>
      </c>
      <c r="H209" s="49" t="s">
        <v>1372</v>
      </c>
      <c r="I209" s="49" t="s">
        <v>1354</v>
      </c>
      <c r="J209" s="64">
        <v>1.9421296296296298E-2</v>
      </c>
      <c r="K209" s="49" t="s">
        <v>79</v>
      </c>
      <c r="L209" s="49" t="s">
        <v>1358</v>
      </c>
      <c r="M209" s="49" t="s">
        <v>1359</v>
      </c>
      <c r="N209" s="49" t="s">
        <v>97</v>
      </c>
      <c r="O209" s="49" t="s">
        <v>63</v>
      </c>
      <c r="P209" s="49" t="s">
        <v>64</v>
      </c>
      <c r="Q209" s="49">
        <v>3</v>
      </c>
      <c r="R209" s="49" t="s">
        <v>99</v>
      </c>
      <c r="S209" s="49" t="s">
        <v>84</v>
      </c>
      <c r="T209" s="49" t="s">
        <v>85</v>
      </c>
      <c r="U209" s="49" t="s">
        <v>68</v>
      </c>
      <c r="V209" s="49" t="s">
        <v>86</v>
      </c>
      <c r="W209" s="49" t="s">
        <v>100</v>
      </c>
      <c r="X209" s="51" t="s">
        <v>1373</v>
      </c>
      <c r="Y209" s="51" t="s">
        <v>72</v>
      </c>
      <c r="Z209" s="51" t="s">
        <v>1374</v>
      </c>
      <c r="AA209" s="29"/>
      <c r="AB209" s="30"/>
      <c r="AC209" s="38"/>
      <c r="AD209" s="29"/>
      <c r="AE209" s="39">
        <v>1</v>
      </c>
      <c r="AF209" s="40"/>
      <c r="AG209" s="32"/>
      <c r="AH209" s="33"/>
      <c r="AI209" s="32"/>
      <c r="AJ209" s="33"/>
      <c r="AK209" s="32"/>
      <c r="AL209" s="33"/>
      <c r="AM209" s="32"/>
      <c r="AN209" s="33"/>
      <c r="AO209" s="34"/>
      <c r="AP209" s="35"/>
      <c r="AQ209" s="34"/>
      <c r="AR209" s="35"/>
      <c r="AS209" s="34"/>
      <c r="AT209" s="35"/>
      <c r="AU209" s="36"/>
      <c r="AV209" s="37">
        <v>1</v>
      </c>
      <c r="AW209" s="36"/>
      <c r="AX209" s="52">
        <f t="shared" si="5"/>
        <v>0</v>
      </c>
      <c r="AY209" s="52"/>
      <c r="AZ209" s="52"/>
    </row>
    <row r="210" spans="1:147" ht="110.25" customHeight="1" x14ac:dyDescent="0.25">
      <c r="A210" s="46" t="s">
        <v>1354</v>
      </c>
      <c r="B210" s="46" t="s">
        <v>1375</v>
      </c>
      <c r="C210" s="46" t="s">
        <v>1356</v>
      </c>
      <c r="D210" s="46">
        <v>2022</v>
      </c>
      <c r="E210" s="47" t="s">
        <v>1376</v>
      </c>
      <c r="F210" s="46">
        <v>1219110</v>
      </c>
      <c r="G210" s="46">
        <v>1220378</v>
      </c>
      <c r="H210" s="46" t="s">
        <v>1372</v>
      </c>
      <c r="I210" s="46" t="s">
        <v>1354</v>
      </c>
      <c r="J210" s="65">
        <v>1.9421296296296298E-2</v>
      </c>
      <c r="K210" s="46" t="s">
        <v>79</v>
      </c>
      <c r="L210" s="46" t="s">
        <v>1358</v>
      </c>
      <c r="M210" s="46" t="s">
        <v>1359</v>
      </c>
      <c r="N210" s="46" t="s">
        <v>97</v>
      </c>
      <c r="O210" s="46" t="s">
        <v>63</v>
      </c>
      <c r="P210" s="46" t="s">
        <v>64</v>
      </c>
      <c r="Q210" s="46">
        <v>3</v>
      </c>
      <c r="R210" s="46" t="s">
        <v>99</v>
      </c>
      <c r="S210" s="46" t="s">
        <v>84</v>
      </c>
      <c r="T210" s="46" t="s">
        <v>85</v>
      </c>
      <c r="U210" s="46" t="s">
        <v>68</v>
      </c>
      <c r="V210" s="46" t="s">
        <v>86</v>
      </c>
      <c r="W210" s="46" t="s">
        <v>100</v>
      </c>
      <c r="X210" s="48" t="s">
        <v>1377</v>
      </c>
      <c r="Y210" s="48" t="s">
        <v>72</v>
      </c>
      <c r="Z210" s="48" t="s">
        <v>1378</v>
      </c>
      <c r="AA210" s="29"/>
      <c r="AB210" s="30"/>
      <c r="AC210" s="38"/>
      <c r="AD210" s="29"/>
      <c r="AE210" s="39">
        <v>1</v>
      </c>
      <c r="AF210" s="40"/>
      <c r="AG210" s="32"/>
      <c r="AH210" s="33"/>
      <c r="AI210" s="32"/>
      <c r="AJ210" s="33"/>
      <c r="AK210" s="32"/>
      <c r="AL210" s="33"/>
      <c r="AM210" s="32"/>
      <c r="AN210" s="33"/>
      <c r="AO210" s="34"/>
      <c r="AP210" s="35"/>
      <c r="AQ210" s="34"/>
      <c r="AR210" s="35"/>
      <c r="AS210" s="34"/>
      <c r="AT210" s="35"/>
      <c r="AU210" s="36"/>
      <c r="AV210" s="37">
        <v>1</v>
      </c>
      <c r="AW210" s="36"/>
      <c r="AX210" s="52">
        <f t="shared" si="5"/>
        <v>0</v>
      </c>
      <c r="AY210" s="52"/>
      <c r="AZ210" s="52"/>
    </row>
    <row r="211" spans="1:147" ht="110.25" customHeight="1" x14ac:dyDescent="0.25">
      <c r="A211" s="49" t="s">
        <v>1354</v>
      </c>
      <c r="B211" s="49" t="s">
        <v>1379</v>
      </c>
      <c r="C211" s="49" t="s">
        <v>1356</v>
      </c>
      <c r="D211" s="49">
        <v>2022</v>
      </c>
      <c r="E211" s="50" t="s">
        <v>1380</v>
      </c>
      <c r="F211" s="49">
        <v>1412170</v>
      </c>
      <c r="G211" s="49">
        <v>1413794</v>
      </c>
      <c r="H211" s="49" t="s">
        <v>197</v>
      </c>
      <c r="I211" s="49" t="s">
        <v>1354</v>
      </c>
      <c r="J211" s="64">
        <v>1.9421296296296298E-2</v>
      </c>
      <c r="K211" s="49" t="s">
        <v>79</v>
      </c>
      <c r="L211" s="49" t="s">
        <v>1358</v>
      </c>
      <c r="M211" s="49" t="s">
        <v>1359</v>
      </c>
      <c r="N211" s="49" t="s">
        <v>97</v>
      </c>
      <c r="O211" s="49" t="s">
        <v>63</v>
      </c>
      <c r="P211" s="49" t="s">
        <v>64</v>
      </c>
      <c r="Q211" s="49">
        <v>3</v>
      </c>
      <c r="R211" s="49" t="s">
        <v>99</v>
      </c>
      <c r="S211" s="49" t="s">
        <v>84</v>
      </c>
      <c r="T211" s="49" t="s">
        <v>85</v>
      </c>
      <c r="U211" s="49" t="s">
        <v>68</v>
      </c>
      <c r="V211" s="49" t="s">
        <v>86</v>
      </c>
      <c r="W211" s="49" t="s">
        <v>100</v>
      </c>
      <c r="X211" s="51" t="s">
        <v>1381</v>
      </c>
      <c r="Y211" s="51" t="s">
        <v>72</v>
      </c>
      <c r="Z211" s="51" t="s">
        <v>1382</v>
      </c>
      <c r="AA211" s="29"/>
      <c r="AB211" s="30"/>
      <c r="AC211" s="38"/>
      <c r="AD211" s="29"/>
      <c r="AE211" s="39">
        <v>1</v>
      </c>
      <c r="AF211" s="40"/>
      <c r="AG211" s="32"/>
      <c r="AH211" s="33"/>
      <c r="AI211" s="32"/>
      <c r="AJ211" s="33"/>
      <c r="AK211" s="32"/>
      <c r="AL211" s="33"/>
      <c r="AM211" s="32"/>
      <c r="AN211" s="33"/>
      <c r="AO211" s="34">
        <v>1</v>
      </c>
      <c r="AP211" s="35"/>
      <c r="AQ211" s="34"/>
      <c r="AR211" s="35"/>
      <c r="AS211" s="34"/>
      <c r="AT211" s="35"/>
      <c r="AU211" s="36"/>
      <c r="AV211" s="37">
        <v>1</v>
      </c>
      <c r="AW211" s="36"/>
      <c r="AX211" s="52">
        <f t="shared" si="5"/>
        <v>1</v>
      </c>
      <c r="AY211" s="52"/>
      <c r="AZ211" s="52"/>
    </row>
    <row r="212" spans="1:147" ht="110.25" customHeight="1" x14ac:dyDescent="0.25">
      <c r="A212" s="46" t="s">
        <v>1383</v>
      </c>
      <c r="B212" s="46" t="s">
        <v>1384</v>
      </c>
      <c r="C212" s="46" t="s">
        <v>1385</v>
      </c>
      <c r="D212" s="46">
        <v>2024</v>
      </c>
      <c r="E212" s="47" t="s">
        <v>1386</v>
      </c>
      <c r="F212" s="46">
        <v>3018630</v>
      </c>
      <c r="G212" s="46">
        <v>3022990</v>
      </c>
      <c r="H212" s="46" t="s">
        <v>1387</v>
      </c>
      <c r="I212" s="46" t="s">
        <v>1383</v>
      </c>
      <c r="J212" s="65">
        <v>3.5000000000000003E-2</v>
      </c>
      <c r="K212" s="46" t="s">
        <v>79</v>
      </c>
      <c r="L212" s="46" t="s">
        <v>1388</v>
      </c>
      <c r="M212" s="46" t="s">
        <v>1389</v>
      </c>
      <c r="N212" s="46" t="s">
        <v>97</v>
      </c>
      <c r="O212" s="46" t="s">
        <v>63</v>
      </c>
      <c r="P212" s="46" t="s">
        <v>64</v>
      </c>
      <c r="Q212" s="46">
        <v>3</v>
      </c>
      <c r="R212" s="46" t="s">
        <v>99</v>
      </c>
      <c r="S212" s="46" t="s">
        <v>84</v>
      </c>
      <c r="T212" s="46" t="s">
        <v>85</v>
      </c>
      <c r="U212" s="46" t="s">
        <v>991</v>
      </c>
      <c r="V212" s="46" t="s">
        <v>86</v>
      </c>
      <c r="W212" s="46" t="s">
        <v>100</v>
      </c>
      <c r="X212" s="48" t="s">
        <v>1390</v>
      </c>
      <c r="Y212" s="48" t="s">
        <v>72</v>
      </c>
      <c r="Z212" s="48" t="s">
        <v>1391</v>
      </c>
      <c r="AA212" s="29"/>
      <c r="AB212" s="30"/>
      <c r="AC212" s="38"/>
      <c r="AD212" s="29"/>
      <c r="AE212" s="39">
        <v>1</v>
      </c>
      <c r="AF212" s="40"/>
      <c r="AG212" s="32"/>
      <c r="AH212" s="33"/>
      <c r="AI212" s="32"/>
      <c r="AJ212" s="33"/>
      <c r="AK212" s="32"/>
      <c r="AL212" s="33"/>
      <c r="AM212" s="32"/>
      <c r="AN212" s="33"/>
      <c r="AO212" s="34"/>
      <c r="AP212" s="35"/>
      <c r="AQ212" s="34"/>
      <c r="AR212" s="35"/>
      <c r="AS212" s="34"/>
      <c r="AT212" s="35"/>
      <c r="AU212" s="36"/>
      <c r="AV212" s="37">
        <v>1</v>
      </c>
      <c r="AW212" s="36"/>
      <c r="AX212" s="52">
        <f t="shared" si="5"/>
        <v>0</v>
      </c>
      <c r="AY212" s="52"/>
      <c r="AZ212" s="52"/>
    </row>
    <row r="213" spans="1:147" ht="110.25" customHeight="1" x14ac:dyDescent="0.25">
      <c r="A213" s="49" t="s">
        <v>1392</v>
      </c>
      <c r="B213" s="49" t="s">
        <v>1393</v>
      </c>
      <c r="C213" s="49" t="s">
        <v>1394</v>
      </c>
      <c r="D213" s="49">
        <v>2021</v>
      </c>
      <c r="E213" s="50" t="s">
        <v>1395</v>
      </c>
      <c r="F213" s="49">
        <v>1933800</v>
      </c>
      <c r="G213" s="49">
        <v>1934500</v>
      </c>
      <c r="H213" s="49" t="s">
        <v>1396</v>
      </c>
      <c r="I213" s="49" t="s">
        <v>1392</v>
      </c>
      <c r="J213" s="64">
        <v>4.2673611111111114E-2</v>
      </c>
      <c r="K213" s="49" t="s">
        <v>79</v>
      </c>
      <c r="L213" s="49" t="s">
        <v>1397</v>
      </c>
      <c r="M213" s="49" t="s">
        <v>1398</v>
      </c>
      <c r="N213" s="49" t="s">
        <v>1399</v>
      </c>
      <c r="O213" s="49" t="s">
        <v>63</v>
      </c>
      <c r="P213" s="49" t="s">
        <v>64</v>
      </c>
      <c r="Q213" s="49">
        <v>2</v>
      </c>
      <c r="R213" s="49" t="s">
        <v>160</v>
      </c>
      <c r="S213" s="49" t="s">
        <v>84</v>
      </c>
      <c r="T213" s="49" t="s">
        <v>85</v>
      </c>
      <c r="U213" s="49" t="s">
        <v>68</v>
      </c>
      <c r="V213" s="49" t="s">
        <v>86</v>
      </c>
      <c r="W213" s="49" t="s">
        <v>377</v>
      </c>
      <c r="X213" s="51" t="s">
        <v>1400</v>
      </c>
      <c r="Y213" s="51" t="s">
        <v>72</v>
      </c>
      <c r="Z213" s="51" t="s">
        <v>1401</v>
      </c>
      <c r="AA213" s="29">
        <v>1</v>
      </c>
      <c r="AB213" s="30"/>
      <c r="AC213" s="38"/>
      <c r="AD213" s="29"/>
      <c r="AE213" s="39"/>
      <c r="AF213" s="40"/>
      <c r="AG213" s="32"/>
      <c r="AH213" s="33"/>
      <c r="AI213" s="32"/>
      <c r="AJ213" s="33"/>
      <c r="AK213" s="32"/>
      <c r="AL213" s="33"/>
      <c r="AM213" s="32"/>
      <c r="AN213" s="33"/>
      <c r="AO213" s="34"/>
      <c r="AP213" s="35"/>
      <c r="AQ213" s="34"/>
      <c r="AR213" s="35"/>
      <c r="AS213" s="34"/>
      <c r="AT213" s="35"/>
      <c r="AU213" s="36"/>
      <c r="AV213" s="37"/>
      <c r="AW213" s="36"/>
      <c r="AX213" s="52">
        <f t="shared" si="5"/>
        <v>0</v>
      </c>
      <c r="AY213" s="52"/>
      <c r="AZ213" s="52"/>
    </row>
    <row r="214" spans="1:147" ht="110.25" customHeight="1" x14ac:dyDescent="0.25">
      <c r="A214" s="46" t="s">
        <v>1402</v>
      </c>
      <c r="B214" s="46" t="s">
        <v>1403</v>
      </c>
      <c r="C214" s="46" t="s">
        <v>1404</v>
      </c>
      <c r="D214" s="46">
        <v>2019</v>
      </c>
      <c r="E214" s="47" t="s">
        <v>1405</v>
      </c>
      <c r="F214" s="46">
        <v>840787</v>
      </c>
      <c r="G214" s="46">
        <v>846109</v>
      </c>
      <c r="H214" s="46" t="s">
        <v>1406</v>
      </c>
      <c r="I214" s="46" t="s">
        <v>1402</v>
      </c>
      <c r="J214" s="65">
        <v>1.4178240740740741E-2</v>
      </c>
      <c r="K214" s="46" t="s">
        <v>79</v>
      </c>
      <c r="L214" s="46" t="s">
        <v>1407</v>
      </c>
      <c r="M214" s="46" t="s">
        <v>1408</v>
      </c>
      <c r="N214" s="46" t="s">
        <v>119</v>
      </c>
      <c r="O214" s="46" t="s">
        <v>63</v>
      </c>
      <c r="P214" s="46" t="s">
        <v>120</v>
      </c>
      <c r="Q214" s="46">
        <v>2</v>
      </c>
      <c r="R214" s="46" t="s">
        <v>83</v>
      </c>
      <c r="S214" s="46" t="s">
        <v>84</v>
      </c>
      <c r="T214" s="46" t="s">
        <v>85</v>
      </c>
      <c r="U214" s="46" t="s">
        <v>121</v>
      </c>
      <c r="V214" s="46" t="s">
        <v>86</v>
      </c>
      <c r="W214" s="46" t="s">
        <v>377</v>
      </c>
      <c r="X214" s="48" t="s">
        <v>1409</v>
      </c>
      <c r="Y214" s="48" t="s">
        <v>72</v>
      </c>
      <c r="Z214" s="48" t="s">
        <v>1410</v>
      </c>
      <c r="AA214" s="29"/>
      <c r="AB214" s="30"/>
      <c r="AC214" s="38"/>
      <c r="AD214" s="29"/>
      <c r="AE214" s="39">
        <v>1</v>
      </c>
      <c r="AF214" s="40"/>
      <c r="AG214" s="32">
        <v>1</v>
      </c>
      <c r="AH214" s="33"/>
      <c r="AI214" s="32"/>
      <c r="AJ214" s="33"/>
      <c r="AK214" s="32"/>
      <c r="AL214" s="33"/>
      <c r="AM214" s="32"/>
      <c r="AN214" s="33"/>
      <c r="AO214" s="34"/>
      <c r="AP214" s="35"/>
      <c r="AQ214" s="34"/>
      <c r="AR214" s="35"/>
      <c r="AS214" s="34"/>
      <c r="AT214" s="35"/>
      <c r="AU214" s="36"/>
      <c r="AV214" s="37"/>
      <c r="AW214" s="36"/>
      <c r="AX214" s="52">
        <f t="shared" si="5"/>
        <v>0</v>
      </c>
      <c r="AY214" s="52"/>
      <c r="AZ214" s="52"/>
    </row>
    <row r="215" spans="1:147" ht="110.25" customHeight="1" x14ac:dyDescent="0.25">
      <c r="A215" s="49" t="s">
        <v>1411</v>
      </c>
      <c r="B215" s="49" t="s">
        <v>1412</v>
      </c>
      <c r="C215" s="49" t="s">
        <v>1413</v>
      </c>
      <c r="D215" s="49">
        <v>2023</v>
      </c>
      <c r="E215" s="50" t="s">
        <v>1414</v>
      </c>
      <c r="F215" s="49">
        <v>315149</v>
      </c>
      <c r="G215" s="49">
        <v>318304</v>
      </c>
      <c r="H215" s="49" t="s">
        <v>1415</v>
      </c>
      <c r="I215" s="49" t="s">
        <v>1411</v>
      </c>
      <c r="J215" s="64">
        <v>1.699074074074074E-2</v>
      </c>
      <c r="K215" s="49" t="s">
        <v>79</v>
      </c>
      <c r="L215" s="49" t="s">
        <v>1416</v>
      </c>
      <c r="M215" s="49" t="s">
        <v>1417</v>
      </c>
      <c r="N215" s="49" t="s">
        <v>1418</v>
      </c>
      <c r="O215" s="49" t="s">
        <v>63</v>
      </c>
      <c r="P215" s="49" t="s">
        <v>64</v>
      </c>
      <c r="Q215" s="49">
        <v>2</v>
      </c>
      <c r="R215" s="49" t="s">
        <v>99</v>
      </c>
      <c r="S215" s="49" t="s">
        <v>84</v>
      </c>
      <c r="T215" s="49" t="s">
        <v>85</v>
      </c>
      <c r="U215" s="49" t="s">
        <v>68</v>
      </c>
      <c r="V215" s="49" t="s">
        <v>86</v>
      </c>
      <c r="W215" s="49" t="s">
        <v>100</v>
      </c>
      <c r="X215" s="51" t="s">
        <v>1419</v>
      </c>
      <c r="Y215" s="51" t="s">
        <v>72</v>
      </c>
      <c r="Z215" s="51" t="s">
        <v>1420</v>
      </c>
      <c r="AA215" s="29">
        <v>1</v>
      </c>
      <c r="AB215" s="30"/>
      <c r="AC215" s="38"/>
      <c r="AD215" s="29"/>
      <c r="AE215" s="39"/>
      <c r="AF215" s="40"/>
      <c r="AG215" s="32"/>
      <c r="AH215" s="33"/>
      <c r="AI215" s="32"/>
      <c r="AJ215" s="33"/>
      <c r="AK215" s="32"/>
      <c r="AL215" s="33"/>
      <c r="AM215" s="32"/>
      <c r="AN215" s="33"/>
      <c r="AO215" s="34"/>
      <c r="AP215" s="35"/>
      <c r="AQ215" s="34"/>
      <c r="AR215" s="35"/>
      <c r="AS215" s="34"/>
      <c r="AT215" s="35"/>
      <c r="AU215" s="36"/>
      <c r="AV215" s="37"/>
      <c r="AW215" s="36"/>
      <c r="AX215" s="52">
        <f t="shared" si="5"/>
        <v>0</v>
      </c>
      <c r="AY215" s="52"/>
      <c r="AZ215" s="52"/>
    </row>
    <row r="216" spans="1:147" ht="110.25" customHeight="1" x14ac:dyDescent="0.25">
      <c r="A216" s="46" t="s">
        <v>1411</v>
      </c>
      <c r="B216" s="46" t="s">
        <v>1421</v>
      </c>
      <c r="C216" s="46" t="s">
        <v>1413</v>
      </c>
      <c r="D216" s="46">
        <v>2023</v>
      </c>
      <c r="E216" s="47" t="s">
        <v>1422</v>
      </c>
      <c r="F216" s="46">
        <v>1324518</v>
      </c>
      <c r="G216" s="46">
        <v>1327440</v>
      </c>
      <c r="H216" s="46" t="s">
        <v>1423</v>
      </c>
      <c r="I216" s="46" t="s">
        <v>1411</v>
      </c>
      <c r="J216" s="65">
        <v>1.699074074074074E-2</v>
      </c>
      <c r="K216" s="46" t="s">
        <v>79</v>
      </c>
      <c r="L216" s="46" t="s">
        <v>1416</v>
      </c>
      <c r="M216" s="46" t="s">
        <v>1417</v>
      </c>
      <c r="N216" s="46" t="s">
        <v>97</v>
      </c>
      <c r="O216" s="46" t="s">
        <v>63</v>
      </c>
      <c r="P216" s="46" t="s">
        <v>64</v>
      </c>
      <c r="Q216" s="46">
        <v>2</v>
      </c>
      <c r="R216" s="46" t="s">
        <v>99</v>
      </c>
      <c r="S216" s="46" t="s">
        <v>84</v>
      </c>
      <c r="T216" s="46" t="s">
        <v>85</v>
      </c>
      <c r="U216" s="46" t="s">
        <v>68</v>
      </c>
      <c r="V216" s="46" t="s">
        <v>86</v>
      </c>
      <c r="W216" s="46" t="s">
        <v>100</v>
      </c>
      <c r="X216" s="48" t="s">
        <v>1424</v>
      </c>
      <c r="Y216" s="48" t="s">
        <v>72</v>
      </c>
      <c r="Z216" s="48" t="s">
        <v>1425</v>
      </c>
      <c r="AA216" s="29"/>
      <c r="AB216" s="30"/>
      <c r="AC216" s="38"/>
      <c r="AD216" s="29"/>
      <c r="AE216" s="39">
        <v>1</v>
      </c>
      <c r="AF216" s="40"/>
      <c r="AG216" s="32"/>
      <c r="AH216" s="33"/>
      <c r="AI216" s="32"/>
      <c r="AJ216" s="33"/>
      <c r="AK216" s="32"/>
      <c r="AL216" s="33"/>
      <c r="AM216" s="32"/>
      <c r="AN216" s="33"/>
      <c r="AO216" s="34"/>
      <c r="AP216" s="35"/>
      <c r="AQ216" s="34"/>
      <c r="AR216" s="35"/>
      <c r="AS216" s="34"/>
      <c r="AT216" s="35"/>
      <c r="AU216" s="36"/>
      <c r="AV216" s="37">
        <v>1</v>
      </c>
      <c r="AW216" s="36"/>
      <c r="AX216" s="52">
        <f t="shared" si="5"/>
        <v>0</v>
      </c>
      <c r="AY216" s="52"/>
      <c r="AZ216" s="52"/>
    </row>
    <row r="217" spans="1:147" ht="110.25" customHeight="1" x14ac:dyDescent="0.25">
      <c r="A217" s="49" t="s">
        <v>1411</v>
      </c>
      <c r="B217" s="49" t="s">
        <v>1426</v>
      </c>
      <c r="C217" s="49" t="s">
        <v>1413</v>
      </c>
      <c r="D217" s="49">
        <v>2023</v>
      </c>
      <c r="E217" s="50" t="s">
        <v>1427</v>
      </c>
      <c r="F217" s="49">
        <v>1410768</v>
      </c>
      <c r="G217" s="49">
        <v>1411649</v>
      </c>
      <c r="H217" s="49" t="s">
        <v>1423</v>
      </c>
      <c r="I217" s="49" t="s">
        <v>1411</v>
      </c>
      <c r="J217" s="64">
        <v>1.699074074074074E-2</v>
      </c>
      <c r="K217" s="49" t="s">
        <v>79</v>
      </c>
      <c r="L217" s="49" t="s">
        <v>1416</v>
      </c>
      <c r="M217" s="49" t="s">
        <v>1417</v>
      </c>
      <c r="N217" s="49" t="s">
        <v>97</v>
      </c>
      <c r="O217" s="49" t="s">
        <v>63</v>
      </c>
      <c r="P217" s="49" t="s">
        <v>64</v>
      </c>
      <c r="Q217" s="49">
        <v>2</v>
      </c>
      <c r="R217" s="49" t="s">
        <v>99</v>
      </c>
      <c r="S217" s="49" t="s">
        <v>84</v>
      </c>
      <c r="T217" s="49" t="s">
        <v>85</v>
      </c>
      <c r="U217" s="49" t="s">
        <v>68</v>
      </c>
      <c r="V217" s="49" t="s">
        <v>86</v>
      </c>
      <c r="W217" s="49" t="s">
        <v>100</v>
      </c>
      <c r="X217" s="51" t="s">
        <v>1428</v>
      </c>
      <c r="Y217" s="51" t="s">
        <v>72</v>
      </c>
      <c r="Z217" s="51" t="s">
        <v>1429</v>
      </c>
      <c r="AA217" s="29"/>
      <c r="AB217" s="30"/>
      <c r="AC217" s="38"/>
      <c r="AD217" s="29"/>
      <c r="AE217" s="39">
        <v>1</v>
      </c>
      <c r="AF217" s="40"/>
      <c r="AG217" s="32"/>
      <c r="AH217" s="33"/>
      <c r="AI217" s="32"/>
      <c r="AJ217" s="33"/>
      <c r="AK217" s="32"/>
      <c r="AL217" s="33"/>
      <c r="AM217" s="32"/>
      <c r="AN217" s="33"/>
      <c r="AO217" s="34"/>
      <c r="AP217" s="35"/>
      <c r="AQ217" s="34"/>
      <c r="AR217" s="35"/>
      <c r="AS217" s="34"/>
      <c r="AT217" s="35"/>
      <c r="AU217" s="36"/>
      <c r="AV217" s="37">
        <v>1</v>
      </c>
      <c r="AW217" s="36">
        <v>1</v>
      </c>
      <c r="AX217" s="52">
        <f t="shared" si="5"/>
        <v>1</v>
      </c>
      <c r="AY217" s="52"/>
      <c r="AZ217" s="52"/>
    </row>
    <row r="218" spans="1:147" s="44" customFormat="1" ht="110.25" customHeight="1" x14ac:dyDescent="0.25">
      <c r="A218" s="46" t="s">
        <v>1430</v>
      </c>
      <c r="B218" s="46" t="s">
        <v>1431</v>
      </c>
      <c r="C218" s="46" t="s">
        <v>1432</v>
      </c>
      <c r="D218" s="46">
        <v>2019</v>
      </c>
      <c r="E218" s="47" t="s">
        <v>1433</v>
      </c>
      <c r="F218" s="46">
        <v>1773900</v>
      </c>
      <c r="G218" s="46">
        <v>1775205</v>
      </c>
      <c r="H218" s="46" t="s">
        <v>1434</v>
      </c>
      <c r="I218" s="46" t="s">
        <v>1430</v>
      </c>
      <c r="J218" s="65">
        <v>6.4236111111111105E-2</v>
      </c>
      <c r="K218" s="46" t="s">
        <v>79</v>
      </c>
      <c r="L218" s="46" t="s">
        <v>1435</v>
      </c>
      <c r="M218" s="46" t="s">
        <v>1436</v>
      </c>
      <c r="N218" s="46" t="s">
        <v>186</v>
      </c>
      <c r="O218" s="46" t="s">
        <v>98</v>
      </c>
      <c r="P218" s="46" t="s">
        <v>120</v>
      </c>
      <c r="Q218" s="46">
        <v>3</v>
      </c>
      <c r="R218" s="46" t="s">
        <v>83</v>
      </c>
      <c r="S218" s="46" t="s">
        <v>84</v>
      </c>
      <c r="T218" s="46" t="s">
        <v>85</v>
      </c>
      <c r="U218" s="46" t="s">
        <v>121</v>
      </c>
      <c r="V218" s="46" t="s">
        <v>86</v>
      </c>
      <c r="W218" s="46" t="s">
        <v>123</v>
      </c>
      <c r="X218" s="48" t="s">
        <v>1437</v>
      </c>
      <c r="Y218" s="48" t="s">
        <v>72</v>
      </c>
      <c r="Z218" s="48" t="s">
        <v>1438</v>
      </c>
      <c r="AA218" s="29"/>
      <c r="AB218" s="43"/>
      <c r="AC218" s="43"/>
      <c r="AD218" s="43"/>
      <c r="AE218" s="39"/>
      <c r="AF218" s="40"/>
      <c r="AG218" s="32"/>
      <c r="AH218" s="33"/>
      <c r="AI218" s="32"/>
      <c r="AJ218" s="33"/>
      <c r="AK218" s="32"/>
      <c r="AL218" s="33"/>
      <c r="AM218" s="32"/>
      <c r="AN218" s="33"/>
      <c r="AO218" s="34"/>
      <c r="AP218" s="35"/>
      <c r="AQ218" s="34"/>
      <c r="AR218" s="35"/>
      <c r="AS218" s="34"/>
      <c r="AT218" s="35"/>
      <c r="AU218" s="36"/>
      <c r="AV218" s="37"/>
      <c r="AW218" s="36"/>
      <c r="AX218" s="52">
        <f t="shared" si="5"/>
        <v>0</v>
      </c>
      <c r="AY218" s="52"/>
      <c r="AZ218" s="52" t="s">
        <v>2302</v>
      </c>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c r="EH218" s="53"/>
      <c r="EI218" s="53"/>
      <c r="EJ218" s="53"/>
      <c r="EK218" s="53"/>
      <c r="EL218" s="53"/>
      <c r="EM218" s="53"/>
      <c r="EN218" s="53"/>
      <c r="EO218" s="53"/>
      <c r="EP218" s="53"/>
      <c r="EQ218" s="53"/>
    </row>
    <row r="219" spans="1:147" ht="110.25" customHeight="1" x14ac:dyDescent="0.25">
      <c r="A219" s="49" t="s">
        <v>1439</v>
      </c>
      <c r="B219" s="49" t="s">
        <v>1440</v>
      </c>
      <c r="C219" s="49" t="s">
        <v>1441</v>
      </c>
      <c r="D219" s="49">
        <v>2020</v>
      </c>
      <c r="E219" s="50" t="s">
        <v>1442</v>
      </c>
      <c r="F219" s="49">
        <v>12961</v>
      </c>
      <c r="G219" s="49">
        <v>15955</v>
      </c>
      <c r="H219" s="49" t="s">
        <v>1443</v>
      </c>
      <c r="I219" s="49" t="s">
        <v>1439</v>
      </c>
      <c r="J219" s="64">
        <v>3.7048611111111109E-2</v>
      </c>
      <c r="K219" s="49" t="s">
        <v>59</v>
      </c>
      <c r="L219" s="49" t="s">
        <v>1444</v>
      </c>
      <c r="M219" s="49" t="s">
        <v>1445</v>
      </c>
      <c r="N219" s="49" t="s">
        <v>97</v>
      </c>
      <c r="O219" s="49" t="s">
        <v>63</v>
      </c>
      <c r="P219" s="49" t="s">
        <v>64</v>
      </c>
      <c r="Q219" s="49">
        <v>2</v>
      </c>
      <c r="R219" s="49" t="s">
        <v>83</v>
      </c>
      <c r="S219" s="49" t="s">
        <v>66</v>
      </c>
      <c r="T219" s="49" t="s">
        <v>67</v>
      </c>
      <c r="U219" s="49" t="s">
        <v>545</v>
      </c>
      <c r="V219" s="49" t="s">
        <v>69</v>
      </c>
      <c r="W219" s="49" t="s">
        <v>377</v>
      </c>
      <c r="X219" s="51" t="s">
        <v>1446</v>
      </c>
      <c r="Y219" s="51" t="s">
        <v>72</v>
      </c>
      <c r="Z219" s="51" t="s">
        <v>1447</v>
      </c>
      <c r="AA219" s="29"/>
      <c r="AB219" s="30"/>
      <c r="AC219" s="38"/>
      <c r="AD219" s="29"/>
      <c r="AE219" s="39">
        <v>1</v>
      </c>
      <c r="AF219" s="40"/>
      <c r="AG219" s="32">
        <v>1</v>
      </c>
      <c r="AH219" s="33"/>
      <c r="AI219" s="32"/>
      <c r="AJ219" s="33"/>
      <c r="AK219" s="32"/>
      <c r="AL219" s="33"/>
      <c r="AM219" s="32"/>
      <c r="AN219" s="33"/>
      <c r="AO219" s="34"/>
      <c r="AP219" s="35"/>
      <c r="AQ219" s="34"/>
      <c r="AR219" s="35"/>
      <c r="AS219" s="34"/>
      <c r="AT219" s="35"/>
      <c r="AU219" s="36"/>
      <c r="AV219" s="37">
        <v>1</v>
      </c>
      <c r="AW219" s="36"/>
      <c r="AX219" s="52">
        <f t="shared" si="5"/>
        <v>1</v>
      </c>
      <c r="AY219" s="52"/>
      <c r="AZ219" s="52"/>
    </row>
    <row r="220" spans="1:147" ht="110.25" customHeight="1" x14ac:dyDescent="0.25">
      <c r="A220" s="46" t="s">
        <v>1439</v>
      </c>
      <c r="B220" s="46" t="s">
        <v>1448</v>
      </c>
      <c r="C220" s="46" t="s">
        <v>1441</v>
      </c>
      <c r="D220" s="46">
        <v>2020</v>
      </c>
      <c r="E220" s="47" t="s">
        <v>1449</v>
      </c>
      <c r="F220" s="46">
        <v>1461772</v>
      </c>
      <c r="G220" s="46">
        <v>1463337</v>
      </c>
      <c r="H220" s="46" t="s">
        <v>1443</v>
      </c>
      <c r="I220" s="46" t="s">
        <v>1439</v>
      </c>
      <c r="J220" s="65">
        <v>3.7048611111111109E-2</v>
      </c>
      <c r="K220" s="46" t="s">
        <v>59</v>
      </c>
      <c r="L220" s="46" t="s">
        <v>1444</v>
      </c>
      <c r="M220" s="46" t="s">
        <v>1445</v>
      </c>
      <c r="N220" s="46" t="s">
        <v>97</v>
      </c>
      <c r="O220" s="46" t="s">
        <v>63</v>
      </c>
      <c r="P220" s="46" t="s">
        <v>64</v>
      </c>
      <c r="Q220" s="46">
        <v>2</v>
      </c>
      <c r="R220" s="46" t="s">
        <v>83</v>
      </c>
      <c r="S220" s="46" t="s">
        <v>66</v>
      </c>
      <c r="T220" s="46" t="s">
        <v>67</v>
      </c>
      <c r="U220" s="46" t="s">
        <v>545</v>
      </c>
      <c r="V220" s="46" t="s">
        <v>69</v>
      </c>
      <c r="W220" s="46" t="s">
        <v>377</v>
      </c>
      <c r="X220" s="48" t="s">
        <v>1450</v>
      </c>
      <c r="Y220" s="48" t="s">
        <v>72</v>
      </c>
      <c r="Z220" s="48" t="s">
        <v>1451</v>
      </c>
      <c r="AA220" s="29"/>
      <c r="AB220" s="30"/>
      <c r="AC220" s="38"/>
      <c r="AD220" s="29"/>
      <c r="AE220" s="39">
        <v>1</v>
      </c>
      <c r="AF220" s="40">
        <v>1</v>
      </c>
      <c r="AG220" s="32"/>
      <c r="AH220" s="33"/>
      <c r="AI220" s="32"/>
      <c r="AJ220" s="33"/>
      <c r="AK220" s="32"/>
      <c r="AL220" s="33"/>
      <c r="AM220" s="32"/>
      <c r="AN220" s="33"/>
      <c r="AO220" s="34"/>
      <c r="AP220" s="35"/>
      <c r="AQ220" s="34"/>
      <c r="AR220" s="35"/>
      <c r="AS220" s="34"/>
      <c r="AT220" s="35"/>
      <c r="AU220" s="36"/>
      <c r="AV220" s="37"/>
      <c r="AW220" s="36">
        <v>1</v>
      </c>
      <c r="AX220" s="52">
        <f t="shared" si="5"/>
        <v>0</v>
      </c>
      <c r="AY220" s="52"/>
      <c r="AZ220" s="52"/>
    </row>
    <row r="221" spans="1:147" ht="110.25" customHeight="1" x14ac:dyDescent="0.25">
      <c r="A221" s="49" t="s">
        <v>1452</v>
      </c>
      <c r="B221" s="49" t="s">
        <v>1453</v>
      </c>
      <c r="C221" s="49" t="s">
        <v>1454</v>
      </c>
      <c r="D221" s="49">
        <v>2019</v>
      </c>
      <c r="E221" s="50" t="s">
        <v>1455</v>
      </c>
      <c r="F221" s="49">
        <v>290011</v>
      </c>
      <c r="G221" s="49">
        <v>292225</v>
      </c>
      <c r="H221" s="49" t="s">
        <v>1456</v>
      </c>
      <c r="I221" s="49" t="s">
        <v>1452</v>
      </c>
      <c r="J221" s="64">
        <v>5.2245370370370373E-2</v>
      </c>
      <c r="K221" s="49" t="s">
        <v>79</v>
      </c>
      <c r="L221" s="49" t="s">
        <v>1457</v>
      </c>
      <c r="M221" s="49" t="s">
        <v>1458</v>
      </c>
      <c r="N221" s="49" t="s">
        <v>119</v>
      </c>
      <c r="O221" s="49" t="s">
        <v>63</v>
      </c>
      <c r="P221" s="49" t="s">
        <v>120</v>
      </c>
      <c r="Q221" s="49">
        <v>4</v>
      </c>
      <c r="R221" s="49" t="s">
        <v>83</v>
      </c>
      <c r="S221" s="49" t="s">
        <v>84</v>
      </c>
      <c r="T221" s="49" t="s">
        <v>85</v>
      </c>
      <c r="U221" s="49" t="s">
        <v>121</v>
      </c>
      <c r="V221" s="49" t="s">
        <v>86</v>
      </c>
      <c r="W221" s="49" t="s">
        <v>87</v>
      </c>
      <c r="X221" s="51" t="s">
        <v>1459</v>
      </c>
      <c r="Y221" s="51" t="s">
        <v>72</v>
      </c>
      <c r="Z221" s="51" t="s">
        <v>1460</v>
      </c>
      <c r="AA221" s="29"/>
      <c r="AB221" s="30"/>
      <c r="AC221" s="38"/>
      <c r="AD221" s="29"/>
      <c r="AE221" s="39">
        <v>1</v>
      </c>
      <c r="AF221" s="40"/>
      <c r="AG221" s="32"/>
      <c r="AH221" s="33"/>
      <c r="AI221" s="32"/>
      <c r="AJ221" s="33"/>
      <c r="AK221" s="32"/>
      <c r="AL221" s="33"/>
      <c r="AM221" s="32"/>
      <c r="AN221" s="33"/>
      <c r="AO221" s="34"/>
      <c r="AP221" s="35"/>
      <c r="AQ221" s="34">
        <v>1</v>
      </c>
      <c r="AR221" s="35"/>
      <c r="AS221" s="34"/>
      <c r="AT221" s="35"/>
      <c r="AU221" s="36"/>
      <c r="AV221" s="37"/>
      <c r="AW221" s="36"/>
      <c r="AX221" s="52">
        <f t="shared" si="5"/>
        <v>0</v>
      </c>
      <c r="AY221" s="52"/>
      <c r="AZ221" s="52"/>
    </row>
    <row r="222" spans="1:147" ht="110.25" customHeight="1" x14ac:dyDescent="0.25">
      <c r="A222" s="46" t="s">
        <v>1461</v>
      </c>
      <c r="B222" s="46" t="s">
        <v>1462</v>
      </c>
      <c r="C222" s="46" t="s">
        <v>1463</v>
      </c>
      <c r="D222" s="46">
        <v>2019</v>
      </c>
      <c r="E222" s="47" t="s">
        <v>1464</v>
      </c>
      <c r="F222" s="46">
        <v>16774</v>
      </c>
      <c r="G222" s="46">
        <v>19473</v>
      </c>
      <c r="H222" s="46" t="s">
        <v>1465</v>
      </c>
      <c r="I222" s="46" t="s">
        <v>1461</v>
      </c>
      <c r="J222" s="65">
        <v>3.9155092592592596E-2</v>
      </c>
      <c r="K222" s="46" t="s">
        <v>79</v>
      </c>
      <c r="L222" s="46" t="s">
        <v>1466</v>
      </c>
      <c r="M222" s="46" t="s">
        <v>1467</v>
      </c>
      <c r="N222" s="46" t="s">
        <v>1157</v>
      </c>
      <c r="O222" s="46" t="s">
        <v>98</v>
      </c>
      <c r="P222" s="46" t="s">
        <v>120</v>
      </c>
      <c r="Q222" s="46">
        <v>2</v>
      </c>
      <c r="R222" s="46" t="s">
        <v>83</v>
      </c>
      <c r="S222" s="46" t="s">
        <v>84</v>
      </c>
      <c r="T222" s="46" t="s">
        <v>85</v>
      </c>
      <c r="U222" s="46" t="s">
        <v>121</v>
      </c>
      <c r="V222" s="46" t="s">
        <v>86</v>
      </c>
      <c r="W222" s="46" t="s">
        <v>87</v>
      </c>
      <c r="X222" s="48" t="s">
        <v>1468</v>
      </c>
      <c r="Y222" s="48" t="s">
        <v>72</v>
      </c>
      <c r="Z222" s="48" t="s">
        <v>1469</v>
      </c>
      <c r="AA222" s="29"/>
      <c r="AB222" s="30"/>
      <c r="AC222" s="38"/>
      <c r="AD222" s="29"/>
      <c r="AE222" s="39">
        <v>1</v>
      </c>
      <c r="AF222" s="40"/>
      <c r="AG222" s="32"/>
      <c r="AH222" s="33"/>
      <c r="AI222" s="32"/>
      <c r="AJ222" s="33"/>
      <c r="AK222" s="32"/>
      <c r="AL222" s="33"/>
      <c r="AM222" s="32"/>
      <c r="AN222" s="33"/>
      <c r="AO222" s="34"/>
      <c r="AP222" s="35"/>
      <c r="AQ222" s="34"/>
      <c r="AR222" s="35"/>
      <c r="AS222" s="34"/>
      <c r="AT222" s="35"/>
      <c r="AU222" s="36"/>
      <c r="AV222" s="37">
        <v>1</v>
      </c>
      <c r="AW222" s="36"/>
      <c r="AX222" s="52">
        <f t="shared" si="5"/>
        <v>0</v>
      </c>
      <c r="AY222" s="52"/>
      <c r="AZ222" s="52"/>
    </row>
    <row r="223" spans="1:147" ht="110.25" customHeight="1" x14ac:dyDescent="0.25">
      <c r="A223" s="49" t="s">
        <v>1461</v>
      </c>
      <c r="B223" s="49" t="s">
        <v>1470</v>
      </c>
      <c r="C223" s="49" t="s">
        <v>1463</v>
      </c>
      <c r="D223" s="49">
        <v>2019</v>
      </c>
      <c r="E223" s="50" t="s">
        <v>1471</v>
      </c>
      <c r="F223" s="49">
        <v>2402928</v>
      </c>
      <c r="G223" s="49">
        <v>2407581</v>
      </c>
      <c r="H223" s="49" t="s">
        <v>1465</v>
      </c>
      <c r="I223" s="49" t="s">
        <v>1461</v>
      </c>
      <c r="J223" s="64">
        <v>3.9155092592592596E-2</v>
      </c>
      <c r="K223" s="49" t="s">
        <v>79</v>
      </c>
      <c r="L223" s="49" t="s">
        <v>1466</v>
      </c>
      <c r="M223" s="49" t="s">
        <v>1467</v>
      </c>
      <c r="N223" s="49" t="s">
        <v>1157</v>
      </c>
      <c r="O223" s="49" t="s">
        <v>98</v>
      </c>
      <c r="P223" s="49" t="s">
        <v>120</v>
      </c>
      <c r="Q223" s="49">
        <v>2</v>
      </c>
      <c r="R223" s="49" t="s">
        <v>83</v>
      </c>
      <c r="S223" s="49" t="s">
        <v>84</v>
      </c>
      <c r="T223" s="49" t="s">
        <v>85</v>
      </c>
      <c r="U223" s="49" t="s">
        <v>121</v>
      </c>
      <c r="V223" s="49" t="s">
        <v>86</v>
      </c>
      <c r="W223" s="49" t="s">
        <v>87</v>
      </c>
      <c r="X223" s="51" t="s">
        <v>1472</v>
      </c>
      <c r="Y223" s="51" t="s">
        <v>72</v>
      </c>
      <c r="Z223" s="51" t="s">
        <v>1473</v>
      </c>
      <c r="AA223" s="29">
        <v>1</v>
      </c>
      <c r="AB223" s="30"/>
      <c r="AC223" s="38"/>
      <c r="AD223" s="29"/>
      <c r="AE223" s="39"/>
      <c r="AF223" s="40"/>
      <c r="AG223" s="32"/>
      <c r="AH223" s="33"/>
      <c r="AI223" s="32"/>
      <c r="AJ223" s="33"/>
      <c r="AK223" s="32"/>
      <c r="AL223" s="33"/>
      <c r="AM223" s="32"/>
      <c r="AN223" s="33"/>
      <c r="AO223" s="34"/>
      <c r="AP223" s="35"/>
      <c r="AQ223" s="34"/>
      <c r="AR223" s="35"/>
      <c r="AS223" s="34"/>
      <c r="AT223" s="35"/>
      <c r="AU223" s="36"/>
      <c r="AV223" s="37"/>
      <c r="AW223" s="36"/>
      <c r="AX223" s="52">
        <f t="shared" si="5"/>
        <v>0</v>
      </c>
      <c r="AY223" s="52"/>
      <c r="AZ223" s="52"/>
    </row>
    <row r="224" spans="1:147" ht="110.25" customHeight="1" x14ac:dyDescent="0.25">
      <c r="A224" s="46" t="s">
        <v>1474</v>
      </c>
      <c r="B224" s="46" t="s">
        <v>1475</v>
      </c>
      <c r="C224" s="46" t="s">
        <v>1476</v>
      </c>
      <c r="D224" s="46">
        <v>2022</v>
      </c>
      <c r="E224" s="47" t="s">
        <v>1477</v>
      </c>
      <c r="F224" s="46">
        <v>912504</v>
      </c>
      <c r="G224" s="46">
        <v>919191</v>
      </c>
      <c r="H224" s="46" t="s">
        <v>1478</v>
      </c>
      <c r="I224" s="46" t="s">
        <v>1474</v>
      </c>
      <c r="J224" s="65">
        <v>5.2824074074074072E-2</v>
      </c>
      <c r="K224" s="46" t="s">
        <v>79</v>
      </c>
      <c r="L224" s="46" t="s">
        <v>1479</v>
      </c>
      <c r="M224" s="46" t="s">
        <v>1480</v>
      </c>
      <c r="N224" s="46" t="s">
        <v>1399</v>
      </c>
      <c r="O224" s="46" t="s">
        <v>63</v>
      </c>
      <c r="P224" s="46" t="s">
        <v>64</v>
      </c>
      <c r="Q224" s="46">
        <v>2</v>
      </c>
      <c r="R224" s="46" t="s">
        <v>160</v>
      </c>
      <c r="S224" s="46" t="s">
        <v>84</v>
      </c>
      <c r="T224" s="46" t="s">
        <v>85</v>
      </c>
      <c r="U224" s="46" t="s">
        <v>68</v>
      </c>
      <c r="V224" s="46" t="s">
        <v>86</v>
      </c>
      <c r="W224" s="46" t="s">
        <v>70</v>
      </c>
      <c r="X224" s="48" t="s">
        <v>1481</v>
      </c>
      <c r="Y224" s="48" t="s">
        <v>72</v>
      </c>
      <c r="Z224" s="48" t="s">
        <v>1482</v>
      </c>
      <c r="AA224" s="29"/>
      <c r="AB224" s="30"/>
      <c r="AC224" s="38"/>
      <c r="AD224" s="29"/>
      <c r="AE224" s="39">
        <v>1</v>
      </c>
      <c r="AF224" s="40"/>
      <c r="AG224" s="32"/>
      <c r="AH224" s="33"/>
      <c r="AI224" s="32"/>
      <c r="AJ224" s="33"/>
      <c r="AK224" s="32"/>
      <c r="AL224" s="33"/>
      <c r="AM224" s="32"/>
      <c r="AN224" s="33"/>
      <c r="AO224" s="34"/>
      <c r="AP224" s="35"/>
      <c r="AQ224" s="34">
        <v>1</v>
      </c>
      <c r="AR224" s="35">
        <v>1</v>
      </c>
      <c r="AS224" s="34"/>
      <c r="AT224" s="35"/>
      <c r="AU224" s="36"/>
      <c r="AV224" s="37"/>
      <c r="AW224" s="36"/>
      <c r="AX224" s="52">
        <f t="shared" si="5"/>
        <v>1</v>
      </c>
      <c r="AY224" s="52"/>
      <c r="AZ224" s="52"/>
    </row>
    <row r="225" spans="1:147" ht="110.25" customHeight="1" x14ac:dyDescent="0.25">
      <c r="A225" s="49" t="s">
        <v>1474</v>
      </c>
      <c r="B225" s="49" t="s">
        <v>1483</v>
      </c>
      <c r="C225" s="49" t="s">
        <v>1476</v>
      </c>
      <c r="D225" s="49">
        <v>2022</v>
      </c>
      <c r="E225" s="50" t="s">
        <v>1484</v>
      </c>
      <c r="F225" s="49">
        <v>2897703</v>
      </c>
      <c r="G225" s="49">
        <v>2898735</v>
      </c>
      <c r="H225" s="49" t="s">
        <v>1478</v>
      </c>
      <c r="I225" s="49" t="s">
        <v>1474</v>
      </c>
      <c r="J225" s="64">
        <v>5.2824074074074072E-2</v>
      </c>
      <c r="K225" s="49" t="s">
        <v>79</v>
      </c>
      <c r="L225" s="49" t="s">
        <v>1479</v>
      </c>
      <c r="M225" s="49" t="s">
        <v>1480</v>
      </c>
      <c r="N225" s="49" t="s">
        <v>1399</v>
      </c>
      <c r="O225" s="49" t="s">
        <v>63</v>
      </c>
      <c r="P225" s="49" t="s">
        <v>64</v>
      </c>
      <c r="Q225" s="49">
        <v>2</v>
      </c>
      <c r="R225" s="49" t="s">
        <v>160</v>
      </c>
      <c r="S225" s="49" t="s">
        <v>84</v>
      </c>
      <c r="T225" s="49" t="s">
        <v>85</v>
      </c>
      <c r="U225" s="49" t="s">
        <v>68</v>
      </c>
      <c r="V225" s="49" t="s">
        <v>86</v>
      </c>
      <c r="W225" s="49" t="s">
        <v>70</v>
      </c>
      <c r="X225" s="51" t="s">
        <v>1485</v>
      </c>
      <c r="Y225" s="51" t="s">
        <v>72</v>
      </c>
      <c r="Z225" s="51" t="s">
        <v>1486</v>
      </c>
      <c r="AA225" s="29"/>
      <c r="AB225" s="30"/>
      <c r="AC225" s="38"/>
      <c r="AD225" s="29"/>
      <c r="AE225" s="39">
        <v>1</v>
      </c>
      <c r="AF225" s="40"/>
      <c r="AG225" s="32"/>
      <c r="AH225" s="33"/>
      <c r="AI225" s="32"/>
      <c r="AJ225" s="33"/>
      <c r="AK225" s="32"/>
      <c r="AL225" s="33"/>
      <c r="AM225" s="32"/>
      <c r="AN225" s="33"/>
      <c r="AO225" s="34">
        <v>1</v>
      </c>
      <c r="AP225" s="35"/>
      <c r="AQ225" s="34">
        <v>1</v>
      </c>
      <c r="AR225" s="35"/>
      <c r="AS225" s="34"/>
      <c r="AT225" s="35"/>
      <c r="AU225" s="36"/>
      <c r="AV225" s="37"/>
      <c r="AW225" s="36"/>
      <c r="AX225" s="52">
        <f t="shared" si="5"/>
        <v>1</v>
      </c>
      <c r="AY225" s="52"/>
      <c r="AZ225" s="52"/>
    </row>
    <row r="226" spans="1:147" s="44" customFormat="1" ht="110.25" customHeight="1" x14ac:dyDescent="0.25">
      <c r="A226" s="46" t="s">
        <v>1487</v>
      </c>
      <c r="B226" s="46" t="s">
        <v>1488</v>
      </c>
      <c r="C226" s="46" t="s">
        <v>1489</v>
      </c>
      <c r="D226" s="46" t="s">
        <v>114</v>
      </c>
      <c r="E226" s="47" t="s">
        <v>1490</v>
      </c>
      <c r="F226" s="46">
        <v>797581</v>
      </c>
      <c r="G226" s="46">
        <v>799060</v>
      </c>
      <c r="H226" s="46" t="s">
        <v>1491</v>
      </c>
      <c r="I226" s="46" t="s">
        <v>1487</v>
      </c>
      <c r="J226" s="65">
        <v>9.2476851851851852E-3</v>
      </c>
      <c r="K226" s="46" t="s">
        <v>79</v>
      </c>
      <c r="L226" s="46" t="s">
        <v>1492</v>
      </c>
      <c r="M226" s="46" t="s">
        <v>1493</v>
      </c>
      <c r="N226" s="46" t="s">
        <v>186</v>
      </c>
      <c r="O226" s="46" t="s">
        <v>98</v>
      </c>
      <c r="P226" s="46" t="s">
        <v>120</v>
      </c>
      <c r="Q226" s="46">
        <v>2</v>
      </c>
      <c r="R226" s="46" t="s">
        <v>83</v>
      </c>
      <c r="S226" s="46" t="s">
        <v>84</v>
      </c>
      <c r="T226" s="46" t="s">
        <v>67</v>
      </c>
      <c r="U226" s="46" t="s">
        <v>121</v>
      </c>
      <c r="V226" s="46" t="s">
        <v>86</v>
      </c>
      <c r="W226" s="46" t="s">
        <v>123</v>
      </c>
      <c r="X226" s="48" t="s">
        <v>1494</v>
      </c>
      <c r="Y226" s="48" t="s">
        <v>72</v>
      </c>
      <c r="Z226" s="48" t="s">
        <v>1495</v>
      </c>
      <c r="AA226" s="29"/>
      <c r="AB226" s="43"/>
      <c r="AC226" s="43"/>
      <c r="AD226" s="43"/>
      <c r="AE226" s="39"/>
      <c r="AF226" s="40"/>
      <c r="AG226" s="32"/>
      <c r="AH226" s="33"/>
      <c r="AI226" s="32"/>
      <c r="AJ226" s="33"/>
      <c r="AK226" s="32"/>
      <c r="AL226" s="33"/>
      <c r="AM226" s="32"/>
      <c r="AN226" s="33"/>
      <c r="AO226" s="34"/>
      <c r="AP226" s="35"/>
      <c r="AQ226" s="34"/>
      <c r="AR226" s="35"/>
      <c r="AS226" s="34"/>
      <c r="AT226" s="35"/>
      <c r="AU226" s="36"/>
      <c r="AV226" s="37"/>
      <c r="AW226" s="36"/>
      <c r="AX226" s="52">
        <f t="shared" si="5"/>
        <v>0</v>
      </c>
      <c r="AY226" s="52"/>
      <c r="AZ226" s="52" t="s">
        <v>2302</v>
      </c>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c r="CD226" s="53"/>
      <c r="CE226" s="53"/>
      <c r="CF226" s="53"/>
      <c r="CG226" s="53"/>
      <c r="CH226" s="53"/>
      <c r="CI226" s="53"/>
      <c r="CJ226" s="53"/>
      <c r="CK226" s="53"/>
      <c r="CL226" s="53"/>
      <c r="CM226" s="53"/>
      <c r="CN226" s="53"/>
      <c r="CO226" s="53"/>
      <c r="CP226" s="53"/>
      <c r="CQ226" s="53"/>
      <c r="CR226" s="53"/>
      <c r="CS226" s="53"/>
      <c r="CT226" s="53"/>
      <c r="CU226" s="53"/>
      <c r="CV226" s="53"/>
      <c r="CW226" s="53"/>
      <c r="CX226" s="53"/>
      <c r="CY226" s="53"/>
      <c r="CZ226" s="53"/>
      <c r="DA226" s="53"/>
      <c r="DB226" s="53"/>
      <c r="DC226" s="53"/>
      <c r="DD226" s="53"/>
      <c r="DE226" s="53"/>
      <c r="DF226" s="53"/>
      <c r="DG226" s="53"/>
      <c r="DH226" s="53"/>
      <c r="DI226" s="53"/>
      <c r="DJ226" s="53"/>
      <c r="DK226" s="53"/>
      <c r="DL226" s="53"/>
      <c r="DM226" s="53"/>
      <c r="DN226" s="53"/>
      <c r="DO226" s="53"/>
      <c r="DP226" s="53"/>
      <c r="DQ226" s="53"/>
      <c r="DR226" s="53"/>
      <c r="DS226" s="53"/>
      <c r="DT226" s="53"/>
      <c r="DU226" s="53"/>
      <c r="DV226" s="53"/>
      <c r="DW226" s="53"/>
      <c r="DX226" s="53"/>
      <c r="DY226" s="53"/>
      <c r="DZ226" s="53"/>
      <c r="EA226" s="53"/>
      <c r="EB226" s="53"/>
      <c r="EC226" s="53"/>
      <c r="ED226" s="53"/>
      <c r="EE226" s="53"/>
      <c r="EF226" s="53"/>
      <c r="EG226" s="53"/>
      <c r="EH226" s="53"/>
      <c r="EI226" s="53"/>
      <c r="EJ226" s="53"/>
      <c r="EK226" s="53"/>
      <c r="EL226" s="53"/>
      <c r="EM226" s="53"/>
      <c r="EN226" s="53"/>
      <c r="EO226" s="53"/>
      <c r="EP226" s="53"/>
      <c r="EQ226" s="53"/>
    </row>
    <row r="227" spans="1:147" ht="110.25" customHeight="1" x14ac:dyDescent="0.25">
      <c r="A227" s="49" t="s">
        <v>1496</v>
      </c>
      <c r="B227" s="49" t="s">
        <v>1497</v>
      </c>
      <c r="C227" s="49" t="s">
        <v>1498</v>
      </c>
      <c r="D227" s="49">
        <v>2021</v>
      </c>
      <c r="E227" s="50" t="s">
        <v>1499</v>
      </c>
      <c r="F227" s="49">
        <v>2806195</v>
      </c>
      <c r="G227" s="49">
        <v>2807155</v>
      </c>
      <c r="H227" s="49" t="s">
        <v>426</v>
      </c>
      <c r="I227" s="49" t="s">
        <v>1496</v>
      </c>
      <c r="J227" s="64">
        <v>3.2500000000000001E-2</v>
      </c>
      <c r="K227" s="49" t="s">
        <v>79</v>
      </c>
      <c r="L227" s="49" t="s">
        <v>1500</v>
      </c>
      <c r="M227" s="49" t="s">
        <v>1501</v>
      </c>
      <c r="N227" s="49" t="s">
        <v>97</v>
      </c>
      <c r="O227" s="49" t="s">
        <v>63</v>
      </c>
      <c r="P227" s="49" t="s">
        <v>64</v>
      </c>
      <c r="Q227" s="49">
        <v>3</v>
      </c>
      <c r="R227" s="49" t="s">
        <v>99</v>
      </c>
      <c r="S227" s="49" t="s">
        <v>84</v>
      </c>
      <c r="T227" s="49" t="s">
        <v>85</v>
      </c>
      <c r="U227" s="49" t="s">
        <v>68</v>
      </c>
      <c r="V227" s="49" t="s">
        <v>86</v>
      </c>
      <c r="W227" s="49" t="s">
        <v>100</v>
      </c>
      <c r="X227" s="51" t="s">
        <v>1502</v>
      </c>
      <c r="Y227" s="51" t="s">
        <v>72</v>
      </c>
      <c r="Z227" s="51" t="s">
        <v>1503</v>
      </c>
      <c r="AA227" s="29"/>
      <c r="AB227" s="30"/>
      <c r="AC227" s="38"/>
      <c r="AD227" s="29"/>
      <c r="AE227" s="39">
        <v>1</v>
      </c>
      <c r="AF227" s="40"/>
      <c r="AG227" s="32"/>
      <c r="AH227" s="33"/>
      <c r="AI227" s="32"/>
      <c r="AJ227" s="33"/>
      <c r="AK227" s="32"/>
      <c r="AL227" s="33"/>
      <c r="AM227" s="32"/>
      <c r="AN227" s="33">
        <v>1</v>
      </c>
      <c r="AO227" s="34"/>
      <c r="AP227" s="35"/>
      <c r="AQ227" s="34"/>
      <c r="AR227" s="35"/>
      <c r="AS227" s="34"/>
      <c r="AT227" s="35"/>
      <c r="AU227" s="36"/>
      <c r="AV227" s="37">
        <v>1</v>
      </c>
      <c r="AW227" s="36"/>
      <c r="AX227" s="52">
        <f t="shared" si="5"/>
        <v>1</v>
      </c>
      <c r="AY227" s="52"/>
      <c r="AZ227" s="52"/>
    </row>
    <row r="228" spans="1:147" ht="110.25" customHeight="1" x14ac:dyDescent="0.25">
      <c r="A228" s="46" t="s">
        <v>1504</v>
      </c>
      <c r="B228" s="46" t="s">
        <v>1505</v>
      </c>
      <c r="C228" s="46" t="s">
        <v>1506</v>
      </c>
      <c r="D228" s="46">
        <v>2019</v>
      </c>
      <c r="E228" s="47" t="s">
        <v>1507</v>
      </c>
      <c r="F228" s="46">
        <v>1237194</v>
      </c>
      <c r="G228" s="46">
        <v>1240008</v>
      </c>
      <c r="H228" s="46" t="s">
        <v>1508</v>
      </c>
      <c r="I228" s="46" t="s">
        <v>1504</v>
      </c>
      <c r="J228" s="65">
        <v>2.1087962962962965E-2</v>
      </c>
      <c r="K228" s="46" t="s">
        <v>59</v>
      </c>
      <c r="L228" s="46" t="s">
        <v>1509</v>
      </c>
      <c r="M228" s="46" t="s">
        <v>1510</v>
      </c>
      <c r="N228" s="46" t="s">
        <v>97</v>
      </c>
      <c r="O228" s="46" t="s">
        <v>98</v>
      </c>
      <c r="P228" s="46" t="s">
        <v>64</v>
      </c>
      <c r="Q228" s="46">
        <v>4</v>
      </c>
      <c r="R228" s="46" t="s">
        <v>99</v>
      </c>
      <c r="S228" s="46" t="s">
        <v>66</v>
      </c>
      <c r="T228" s="46" t="s">
        <v>67</v>
      </c>
      <c r="U228" s="46" t="s">
        <v>331</v>
      </c>
      <c r="V228" s="46" t="s">
        <v>143</v>
      </c>
      <c r="W228" s="46" t="s">
        <v>100</v>
      </c>
      <c r="X228" s="48" t="s">
        <v>1511</v>
      </c>
      <c r="Y228" s="48" t="s">
        <v>72</v>
      </c>
      <c r="Z228" s="48" t="s">
        <v>1512</v>
      </c>
      <c r="AA228" s="29"/>
      <c r="AB228" s="30"/>
      <c r="AC228" s="38"/>
      <c r="AD228" s="29"/>
      <c r="AE228" s="39">
        <v>1</v>
      </c>
      <c r="AF228" s="40">
        <v>1</v>
      </c>
      <c r="AG228" s="32">
        <v>1</v>
      </c>
      <c r="AH228" s="33"/>
      <c r="AI228" s="32"/>
      <c r="AJ228" s="33"/>
      <c r="AK228" s="32"/>
      <c r="AL228" s="33"/>
      <c r="AM228" s="32"/>
      <c r="AN228" s="33"/>
      <c r="AO228" s="34"/>
      <c r="AP228" s="35"/>
      <c r="AQ228" s="34"/>
      <c r="AR228" s="35"/>
      <c r="AS228" s="34"/>
      <c r="AT228" s="35"/>
      <c r="AU228" s="36"/>
      <c r="AV228" s="37">
        <v>1</v>
      </c>
      <c r="AW228" s="36"/>
      <c r="AX228" s="52">
        <f t="shared" si="5"/>
        <v>1</v>
      </c>
      <c r="AY228" s="52"/>
      <c r="AZ228" s="52"/>
    </row>
    <row r="229" spans="1:147" s="44" customFormat="1" ht="110.25" customHeight="1" x14ac:dyDescent="0.25">
      <c r="A229" s="49" t="s">
        <v>1504</v>
      </c>
      <c r="B229" s="49" t="s">
        <v>1513</v>
      </c>
      <c r="C229" s="49" t="s">
        <v>1506</v>
      </c>
      <c r="D229" s="49">
        <v>2019</v>
      </c>
      <c r="E229" s="50" t="s">
        <v>1514</v>
      </c>
      <c r="F229" s="49">
        <v>1237198</v>
      </c>
      <c r="G229" s="49">
        <v>1238765</v>
      </c>
      <c r="H229" s="49" t="s">
        <v>1515</v>
      </c>
      <c r="I229" s="49" t="s">
        <v>1504</v>
      </c>
      <c r="J229" s="64">
        <v>2.1087962962962965E-2</v>
      </c>
      <c r="K229" s="49" t="s">
        <v>59</v>
      </c>
      <c r="L229" s="49" t="s">
        <v>1509</v>
      </c>
      <c r="M229" s="49" t="s">
        <v>1510</v>
      </c>
      <c r="N229" s="49" t="s">
        <v>97</v>
      </c>
      <c r="O229" s="49" t="s">
        <v>98</v>
      </c>
      <c r="P229" s="49" t="s">
        <v>64</v>
      </c>
      <c r="Q229" s="49">
        <v>4</v>
      </c>
      <c r="R229" s="49" t="s">
        <v>99</v>
      </c>
      <c r="S229" s="49" t="s">
        <v>66</v>
      </c>
      <c r="T229" s="49" t="s">
        <v>67</v>
      </c>
      <c r="U229" s="49" t="s">
        <v>331</v>
      </c>
      <c r="V229" s="49" t="s">
        <v>143</v>
      </c>
      <c r="W229" s="49" t="s">
        <v>100</v>
      </c>
      <c r="X229" s="51" t="s">
        <v>1516</v>
      </c>
      <c r="Y229" s="51" t="s">
        <v>72</v>
      </c>
      <c r="Z229" s="51" t="s">
        <v>1517</v>
      </c>
      <c r="AA229" s="29"/>
      <c r="AB229" s="43"/>
      <c r="AC229" s="43"/>
      <c r="AD229" s="43"/>
      <c r="AE229" s="39"/>
      <c r="AF229" s="40"/>
      <c r="AG229" s="32"/>
      <c r="AH229" s="33"/>
      <c r="AI229" s="32"/>
      <c r="AJ229" s="33"/>
      <c r="AK229" s="32"/>
      <c r="AL229" s="33"/>
      <c r="AM229" s="32"/>
      <c r="AN229" s="33"/>
      <c r="AO229" s="34"/>
      <c r="AP229" s="35"/>
      <c r="AQ229" s="34"/>
      <c r="AR229" s="35"/>
      <c r="AS229" s="34"/>
      <c r="AT229" s="35"/>
      <c r="AU229" s="36"/>
      <c r="AV229" s="37"/>
      <c r="AW229" s="36"/>
      <c r="AX229" s="52">
        <f t="shared" si="5"/>
        <v>0</v>
      </c>
      <c r="AY229" s="52"/>
      <c r="AZ229" s="52" t="s">
        <v>2302</v>
      </c>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c r="CD229" s="53"/>
      <c r="CE229" s="53"/>
      <c r="CF229" s="53"/>
      <c r="CG229" s="53"/>
      <c r="CH229" s="53"/>
      <c r="CI229" s="53"/>
      <c r="CJ229" s="53"/>
      <c r="CK229" s="53"/>
      <c r="CL229" s="53"/>
      <c r="CM229" s="53"/>
      <c r="CN229" s="53"/>
      <c r="CO229" s="53"/>
      <c r="CP229" s="53"/>
      <c r="CQ229" s="53"/>
      <c r="CR229" s="53"/>
      <c r="CS229" s="53"/>
      <c r="CT229" s="53"/>
      <c r="CU229" s="53"/>
      <c r="CV229" s="53"/>
      <c r="CW229" s="53"/>
      <c r="CX229" s="53"/>
      <c r="CY229" s="53"/>
      <c r="CZ229" s="53"/>
      <c r="DA229" s="53"/>
      <c r="DB229" s="53"/>
      <c r="DC229" s="53"/>
      <c r="DD229" s="53"/>
      <c r="DE229" s="53"/>
      <c r="DF229" s="53"/>
      <c r="DG229" s="53"/>
      <c r="DH229" s="53"/>
      <c r="DI229" s="53"/>
      <c r="DJ229" s="53"/>
      <c r="DK229" s="53"/>
      <c r="DL229" s="53"/>
      <c r="DM229" s="53"/>
      <c r="DN229" s="53"/>
      <c r="DO229" s="53"/>
      <c r="DP229" s="53"/>
      <c r="DQ229" s="53"/>
      <c r="DR229" s="53"/>
      <c r="DS229" s="53"/>
      <c r="DT229" s="53"/>
      <c r="DU229" s="53"/>
      <c r="DV229" s="53"/>
      <c r="DW229" s="53"/>
      <c r="DX229" s="53"/>
      <c r="DY229" s="53"/>
      <c r="DZ229" s="53"/>
      <c r="EA229" s="53"/>
      <c r="EB229" s="53"/>
      <c r="EC229" s="53"/>
      <c r="ED229" s="53"/>
      <c r="EE229" s="53"/>
      <c r="EF229" s="53"/>
      <c r="EG229" s="53"/>
      <c r="EH229" s="53"/>
      <c r="EI229" s="53"/>
      <c r="EJ229" s="53"/>
      <c r="EK229" s="53"/>
      <c r="EL229" s="53"/>
      <c r="EM229" s="53"/>
      <c r="EN229" s="53"/>
      <c r="EO229" s="53"/>
      <c r="EP229" s="53"/>
      <c r="EQ229" s="53"/>
    </row>
    <row r="230" spans="1:147" ht="110.25" customHeight="1" x14ac:dyDescent="0.25">
      <c r="A230" s="46" t="s">
        <v>1518</v>
      </c>
      <c r="B230" s="46" t="s">
        <v>1519</v>
      </c>
      <c r="C230" s="46" t="s">
        <v>1520</v>
      </c>
      <c r="D230" s="46" t="s">
        <v>114</v>
      </c>
      <c r="E230" s="47" t="s">
        <v>1521</v>
      </c>
      <c r="F230" s="46">
        <v>235329</v>
      </c>
      <c r="G230" s="46">
        <v>241680</v>
      </c>
      <c r="H230" s="46" t="s">
        <v>1522</v>
      </c>
      <c r="I230" s="46" t="s">
        <v>1518</v>
      </c>
      <c r="J230" s="65">
        <v>2.5925925925925925E-2</v>
      </c>
      <c r="K230" s="46" t="s">
        <v>59</v>
      </c>
      <c r="L230" s="46" t="s">
        <v>1523</v>
      </c>
      <c r="M230" s="46" t="s">
        <v>1524</v>
      </c>
      <c r="N230" s="46" t="s">
        <v>97</v>
      </c>
      <c r="O230" s="46" t="s">
        <v>63</v>
      </c>
      <c r="P230" s="46" t="s">
        <v>64</v>
      </c>
      <c r="Q230" s="46">
        <v>2</v>
      </c>
      <c r="R230" s="46" t="s">
        <v>99</v>
      </c>
      <c r="S230" s="46" t="s">
        <v>66</v>
      </c>
      <c r="T230" s="46" t="s">
        <v>85</v>
      </c>
      <c r="U230" s="46" t="s">
        <v>1023</v>
      </c>
      <c r="V230" s="46" t="s">
        <v>510</v>
      </c>
      <c r="W230" s="46" t="s">
        <v>100</v>
      </c>
      <c r="X230" s="48" t="s">
        <v>1525</v>
      </c>
      <c r="Y230" s="48" t="s">
        <v>72</v>
      </c>
      <c r="Z230" s="48" t="s">
        <v>1526</v>
      </c>
      <c r="AA230" s="29"/>
      <c r="AB230" s="30"/>
      <c r="AC230" s="38"/>
      <c r="AD230" s="29"/>
      <c r="AE230" s="39">
        <v>1</v>
      </c>
      <c r="AF230" s="40"/>
      <c r="AG230" s="32"/>
      <c r="AH230" s="33"/>
      <c r="AI230" s="32"/>
      <c r="AJ230" s="33"/>
      <c r="AK230" s="32"/>
      <c r="AL230" s="33"/>
      <c r="AM230" s="32"/>
      <c r="AN230" s="33"/>
      <c r="AO230" s="34"/>
      <c r="AP230" s="35"/>
      <c r="AQ230" s="34">
        <v>1</v>
      </c>
      <c r="AR230" s="35"/>
      <c r="AS230" s="34"/>
      <c r="AT230" s="35"/>
      <c r="AU230" s="36"/>
      <c r="AV230" s="37">
        <v>1</v>
      </c>
      <c r="AW230" s="36"/>
      <c r="AX230" s="52">
        <f t="shared" si="5"/>
        <v>1</v>
      </c>
      <c r="AY230" s="52"/>
      <c r="AZ230" s="52"/>
    </row>
    <row r="231" spans="1:147" ht="110.25" customHeight="1" x14ac:dyDescent="0.25">
      <c r="A231" s="49" t="s">
        <v>1518</v>
      </c>
      <c r="B231" s="49" t="s">
        <v>1527</v>
      </c>
      <c r="C231" s="49" t="s">
        <v>1520</v>
      </c>
      <c r="D231" s="49" t="s">
        <v>114</v>
      </c>
      <c r="E231" s="50" t="s">
        <v>1528</v>
      </c>
      <c r="F231" s="49">
        <v>295713</v>
      </c>
      <c r="G231" s="49">
        <v>297446</v>
      </c>
      <c r="H231" s="49" t="s">
        <v>1522</v>
      </c>
      <c r="I231" s="49" t="s">
        <v>1518</v>
      </c>
      <c r="J231" s="64">
        <v>2.5925925925925925E-2</v>
      </c>
      <c r="K231" s="49" t="s">
        <v>59</v>
      </c>
      <c r="L231" s="49" t="s">
        <v>1523</v>
      </c>
      <c r="M231" s="49" t="s">
        <v>1524</v>
      </c>
      <c r="N231" s="49" t="s">
        <v>97</v>
      </c>
      <c r="O231" s="49" t="s">
        <v>63</v>
      </c>
      <c r="P231" s="49" t="s">
        <v>64</v>
      </c>
      <c r="Q231" s="49">
        <v>2</v>
      </c>
      <c r="R231" s="49" t="s">
        <v>99</v>
      </c>
      <c r="S231" s="49" t="s">
        <v>66</v>
      </c>
      <c r="T231" s="49" t="s">
        <v>85</v>
      </c>
      <c r="U231" s="49" t="s">
        <v>1023</v>
      </c>
      <c r="V231" s="49" t="s">
        <v>510</v>
      </c>
      <c r="W231" s="49" t="s">
        <v>100</v>
      </c>
      <c r="X231" s="51" t="s">
        <v>1529</v>
      </c>
      <c r="Y231" s="51" t="s">
        <v>72</v>
      </c>
      <c r="Z231" s="51" t="s">
        <v>1530</v>
      </c>
      <c r="AA231" s="29"/>
      <c r="AB231" s="30"/>
      <c r="AC231" s="38"/>
      <c r="AD231" s="29"/>
      <c r="AE231" s="39">
        <v>1</v>
      </c>
      <c r="AF231" s="40"/>
      <c r="AG231" s="32"/>
      <c r="AH231" s="33"/>
      <c r="AI231" s="32"/>
      <c r="AJ231" s="33"/>
      <c r="AK231" s="32"/>
      <c r="AL231" s="33"/>
      <c r="AM231" s="32"/>
      <c r="AN231" s="33"/>
      <c r="AO231" s="34"/>
      <c r="AP231" s="35"/>
      <c r="AQ231" s="34"/>
      <c r="AR231" s="35"/>
      <c r="AS231" s="34"/>
      <c r="AT231" s="35"/>
      <c r="AU231" s="36"/>
      <c r="AV231" s="37">
        <v>1</v>
      </c>
      <c r="AW231" s="36"/>
      <c r="AX231" s="52">
        <f t="shared" si="5"/>
        <v>0</v>
      </c>
      <c r="AY231" s="52"/>
      <c r="AZ231" s="52"/>
    </row>
    <row r="232" spans="1:147" ht="110.25" customHeight="1" x14ac:dyDescent="0.25">
      <c r="A232" s="46" t="s">
        <v>1518</v>
      </c>
      <c r="B232" s="46" t="s">
        <v>1531</v>
      </c>
      <c r="C232" s="46" t="s">
        <v>1520</v>
      </c>
      <c r="D232" s="46" t="s">
        <v>114</v>
      </c>
      <c r="E232" s="47" t="s">
        <v>1532</v>
      </c>
      <c r="F232" s="46">
        <v>502575</v>
      </c>
      <c r="G232" s="46">
        <v>505788</v>
      </c>
      <c r="H232" s="46" t="s">
        <v>1522</v>
      </c>
      <c r="I232" s="46" t="s">
        <v>1518</v>
      </c>
      <c r="J232" s="65">
        <v>2.5925925925925925E-2</v>
      </c>
      <c r="K232" s="46" t="s">
        <v>59</v>
      </c>
      <c r="L232" s="46" t="s">
        <v>1523</v>
      </c>
      <c r="M232" s="46" t="s">
        <v>1524</v>
      </c>
      <c r="N232" s="46" t="s">
        <v>97</v>
      </c>
      <c r="O232" s="46" t="s">
        <v>63</v>
      </c>
      <c r="P232" s="46" t="s">
        <v>64</v>
      </c>
      <c r="Q232" s="46">
        <v>2</v>
      </c>
      <c r="R232" s="46" t="s">
        <v>99</v>
      </c>
      <c r="S232" s="46" t="s">
        <v>66</v>
      </c>
      <c r="T232" s="46" t="s">
        <v>85</v>
      </c>
      <c r="U232" s="46" t="s">
        <v>1023</v>
      </c>
      <c r="V232" s="46" t="s">
        <v>510</v>
      </c>
      <c r="W232" s="46" t="s">
        <v>100</v>
      </c>
      <c r="X232" s="48" t="s">
        <v>1533</v>
      </c>
      <c r="Y232" s="48" t="s">
        <v>72</v>
      </c>
      <c r="Z232" s="48" t="s">
        <v>1534</v>
      </c>
      <c r="AA232" s="29">
        <v>1</v>
      </c>
      <c r="AB232" s="30"/>
      <c r="AC232" s="38"/>
      <c r="AD232" s="29"/>
      <c r="AE232" s="39"/>
      <c r="AF232" s="40"/>
      <c r="AG232" s="32"/>
      <c r="AH232" s="33"/>
      <c r="AI232" s="32"/>
      <c r="AJ232" s="33"/>
      <c r="AK232" s="32"/>
      <c r="AL232" s="33"/>
      <c r="AM232" s="32"/>
      <c r="AN232" s="33"/>
      <c r="AO232" s="34"/>
      <c r="AP232" s="35"/>
      <c r="AQ232" s="34"/>
      <c r="AR232" s="35"/>
      <c r="AS232" s="34"/>
      <c r="AT232" s="35"/>
      <c r="AU232" s="36"/>
      <c r="AV232" s="37"/>
      <c r="AW232" s="36"/>
      <c r="AX232" s="52">
        <f t="shared" si="5"/>
        <v>0</v>
      </c>
      <c r="AY232" s="52"/>
      <c r="AZ232" s="52"/>
    </row>
    <row r="233" spans="1:147" ht="110.25" customHeight="1" x14ac:dyDescent="0.25">
      <c r="A233" s="49" t="s">
        <v>1518</v>
      </c>
      <c r="B233" s="49" t="s">
        <v>1535</v>
      </c>
      <c r="C233" s="49" t="s">
        <v>1520</v>
      </c>
      <c r="D233" s="49" t="s">
        <v>114</v>
      </c>
      <c r="E233" s="50" t="s">
        <v>1536</v>
      </c>
      <c r="F233" s="49">
        <v>573991</v>
      </c>
      <c r="G233" s="49">
        <v>579200</v>
      </c>
      <c r="H233" s="49" t="s">
        <v>1522</v>
      </c>
      <c r="I233" s="49" t="s">
        <v>1518</v>
      </c>
      <c r="J233" s="64">
        <v>2.5925925925925925E-2</v>
      </c>
      <c r="K233" s="49" t="s">
        <v>59</v>
      </c>
      <c r="L233" s="49" t="s">
        <v>1523</v>
      </c>
      <c r="M233" s="49" t="s">
        <v>1524</v>
      </c>
      <c r="N233" s="49" t="s">
        <v>97</v>
      </c>
      <c r="O233" s="49" t="s">
        <v>63</v>
      </c>
      <c r="P233" s="49" t="s">
        <v>64</v>
      </c>
      <c r="Q233" s="49">
        <v>2</v>
      </c>
      <c r="R233" s="49" t="s">
        <v>99</v>
      </c>
      <c r="S233" s="49" t="s">
        <v>66</v>
      </c>
      <c r="T233" s="49" t="s">
        <v>85</v>
      </c>
      <c r="U233" s="49" t="s">
        <v>1023</v>
      </c>
      <c r="V233" s="49" t="s">
        <v>510</v>
      </c>
      <c r="W233" s="49" t="s">
        <v>100</v>
      </c>
      <c r="X233" s="51" t="s">
        <v>1537</v>
      </c>
      <c r="Y233" s="51" t="s">
        <v>72</v>
      </c>
      <c r="Z233" s="51" t="s">
        <v>1538</v>
      </c>
      <c r="AA233" s="29">
        <v>1</v>
      </c>
      <c r="AB233" s="30"/>
      <c r="AC233" s="38"/>
      <c r="AD233" s="29"/>
      <c r="AE233" s="39"/>
      <c r="AF233" s="40"/>
      <c r="AG233" s="32"/>
      <c r="AH233" s="33"/>
      <c r="AI233" s="32"/>
      <c r="AJ233" s="33"/>
      <c r="AK233" s="32"/>
      <c r="AL233" s="33"/>
      <c r="AM233" s="32"/>
      <c r="AN233" s="33"/>
      <c r="AO233" s="34"/>
      <c r="AP233" s="35"/>
      <c r="AQ233" s="34"/>
      <c r="AR233" s="35"/>
      <c r="AS233" s="34"/>
      <c r="AT233" s="35"/>
      <c r="AU233" s="36"/>
      <c r="AV233" s="37"/>
      <c r="AW233" s="36"/>
      <c r="AX233" s="52">
        <f t="shared" si="5"/>
        <v>0</v>
      </c>
      <c r="AY233" s="52"/>
      <c r="AZ233" s="52"/>
    </row>
    <row r="234" spans="1:147" ht="110.25" customHeight="1" x14ac:dyDescent="0.25">
      <c r="A234" s="46" t="s">
        <v>1539</v>
      </c>
      <c r="B234" s="46" t="s">
        <v>1540</v>
      </c>
      <c r="C234" s="46" t="s">
        <v>1541</v>
      </c>
      <c r="D234" s="46">
        <v>2019</v>
      </c>
      <c r="E234" s="47" t="s">
        <v>1542</v>
      </c>
      <c r="F234" s="46">
        <v>2636614</v>
      </c>
      <c r="G234" s="46">
        <v>2641574</v>
      </c>
      <c r="H234" s="46" t="s">
        <v>1543</v>
      </c>
      <c r="I234" s="46" t="s">
        <v>1539</v>
      </c>
      <c r="J234" s="65">
        <v>3.1875000000000001E-2</v>
      </c>
      <c r="K234" s="46" t="s">
        <v>59</v>
      </c>
      <c r="L234" s="46" t="s">
        <v>1544</v>
      </c>
      <c r="M234" s="46" t="s">
        <v>1545</v>
      </c>
      <c r="N234" s="46" t="s">
        <v>97</v>
      </c>
      <c r="O234" s="46" t="s">
        <v>98</v>
      </c>
      <c r="P234" s="46" t="s">
        <v>120</v>
      </c>
      <c r="Q234" s="46">
        <v>3</v>
      </c>
      <c r="R234" s="46" t="s">
        <v>99</v>
      </c>
      <c r="S234" s="46" t="s">
        <v>66</v>
      </c>
      <c r="T234" s="46" t="s">
        <v>85</v>
      </c>
      <c r="U234" s="46" t="s">
        <v>121</v>
      </c>
      <c r="V234" s="46" t="s">
        <v>510</v>
      </c>
      <c r="W234" s="46" t="s">
        <v>100</v>
      </c>
      <c r="X234" s="48" t="s">
        <v>1546</v>
      </c>
      <c r="Y234" s="48" t="s">
        <v>72</v>
      </c>
      <c r="Z234" s="48" t="s">
        <v>1547</v>
      </c>
      <c r="AA234" s="29"/>
      <c r="AB234" s="30"/>
      <c r="AC234" s="38"/>
      <c r="AD234" s="29"/>
      <c r="AE234" s="39">
        <v>1</v>
      </c>
      <c r="AF234" s="40">
        <v>1</v>
      </c>
      <c r="AG234" s="32"/>
      <c r="AH234" s="33"/>
      <c r="AI234" s="32"/>
      <c r="AJ234" s="33"/>
      <c r="AK234" s="32"/>
      <c r="AL234" s="33"/>
      <c r="AM234" s="32"/>
      <c r="AN234" s="33"/>
      <c r="AO234" s="34"/>
      <c r="AP234" s="35"/>
      <c r="AQ234" s="34">
        <v>1</v>
      </c>
      <c r="AR234" s="35">
        <v>1</v>
      </c>
      <c r="AS234" s="34"/>
      <c r="AT234" s="35"/>
      <c r="AU234" s="36"/>
      <c r="AV234" s="37"/>
      <c r="AW234" s="36"/>
      <c r="AX234" s="52">
        <f t="shared" si="5"/>
        <v>1</v>
      </c>
      <c r="AY234" s="52"/>
      <c r="AZ234" s="52"/>
    </row>
    <row r="235" spans="1:147" ht="110.25" customHeight="1" x14ac:dyDescent="0.25">
      <c r="A235" s="49" t="s">
        <v>1548</v>
      </c>
      <c r="B235" s="49" t="s">
        <v>1549</v>
      </c>
      <c r="C235" s="49" t="s">
        <v>1550</v>
      </c>
      <c r="D235" s="49">
        <v>2019</v>
      </c>
      <c r="E235" s="50" t="s">
        <v>1551</v>
      </c>
      <c r="F235" s="49">
        <v>457333</v>
      </c>
      <c r="G235" s="49">
        <v>458920</v>
      </c>
      <c r="H235" s="49" t="s">
        <v>1552</v>
      </c>
      <c r="I235" s="49" t="s">
        <v>1548</v>
      </c>
      <c r="J235" s="64">
        <v>9.2939814814814812E-3</v>
      </c>
      <c r="K235" s="49" t="s">
        <v>79</v>
      </c>
      <c r="L235" s="49" t="s">
        <v>1553</v>
      </c>
      <c r="M235" s="49" t="s">
        <v>1554</v>
      </c>
      <c r="N235" s="49" t="s">
        <v>97</v>
      </c>
      <c r="O235" s="49" t="s">
        <v>98</v>
      </c>
      <c r="P235" s="49" t="s">
        <v>120</v>
      </c>
      <c r="Q235" s="49">
        <v>2</v>
      </c>
      <c r="R235" s="49" t="s">
        <v>358</v>
      </c>
      <c r="S235" s="49" t="s">
        <v>84</v>
      </c>
      <c r="T235" s="49" t="s">
        <v>85</v>
      </c>
      <c r="U235" s="49" t="s">
        <v>121</v>
      </c>
      <c r="V235" s="49" t="s">
        <v>86</v>
      </c>
      <c r="W235" s="49" t="s">
        <v>70</v>
      </c>
      <c r="X235" s="51" t="s">
        <v>1555</v>
      </c>
      <c r="Y235" s="51" t="s">
        <v>72</v>
      </c>
      <c r="Z235" s="51" t="s">
        <v>1556</v>
      </c>
      <c r="AA235" s="29"/>
      <c r="AB235" s="30"/>
      <c r="AC235" s="38"/>
      <c r="AD235" s="29"/>
      <c r="AE235" s="39">
        <v>1</v>
      </c>
      <c r="AF235" s="40">
        <v>1</v>
      </c>
      <c r="AG235" s="32"/>
      <c r="AH235" s="33"/>
      <c r="AI235" s="32"/>
      <c r="AJ235" s="33"/>
      <c r="AK235" s="32"/>
      <c r="AL235" s="33"/>
      <c r="AM235" s="32"/>
      <c r="AN235" s="33">
        <v>1</v>
      </c>
      <c r="AO235" s="34"/>
      <c r="AP235" s="35"/>
      <c r="AQ235" s="34"/>
      <c r="AR235" s="35"/>
      <c r="AS235" s="34"/>
      <c r="AT235" s="35"/>
      <c r="AU235" s="36"/>
      <c r="AV235" s="37">
        <v>1</v>
      </c>
      <c r="AW235" s="36"/>
      <c r="AX235" s="52">
        <f t="shared" si="5"/>
        <v>1</v>
      </c>
      <c r="AY235" s="52"/>
      <c r="AZ235" s="52"/>
    </row>
    <row r="236" spans="1:147" ht="110.25" customHeight="1" x14ac:dyDescent="0.25">
      <c r="A236" s="46" t="s">
        <v>1557</v>
      </c>
      <c r="B236" s="46" t="s">
        <v>1558</v>
      </c>
      <c r="C236" s="46" t="s">
        <v>1559</v>
      </c>
      <c r="D236" s="46">
        <v>2022</v>
      </c>
      <c r="E236" s="47" t="s">
        <v>1560</v>
      </c>
      <c r="F236" s="46">
        <v>2391568</v>
      </c>
      <c r="G236" s="46">
        <v>2393442</v>
      </c>
      <c r="H236" s="46" t="s">
        <v>328</v>
      </c>
      <c r="I236" s="46" t="s">
        <v>1557</v>
      </c>
      <c r="J236" s="65">
        <v>4.0960648148148149E-2</v>
      </c>
      <c r="K236" s="46" t="s">
        <v>79</v>
      </c>
      <c r="L236" s="46" t="s">
        <v>1561</v>
      </c>
      <c r="M236" s="46" t="s">
        <v>1562</v>
      </c>
      <c r="N236" s="46" t="s">
        <v>97</v>
      </c>
      <c r="O236" s="46" t="s">
        <v>98</v>
      </c>
      <c r="P236" s="46" t="s">
        <v>64</v>
      </c>
      <c r="Q236" s="46">
        <v>3</v>
      </c>
      <c r="R236" s="46" t="s">
        <v>99</v>
      </c>
      <c r="S236" s="46" t="s">
        <v>84</v>
      </c>
      <c r="T236" s="46" t="s">
        <v>85</v>
      </c>
      <c r="U236" s="46" t="s">
        <v>331</v>
      </c>
      <c r="V236" s="46" t="s">
        <v>86</v>
      </c>
      <c r="W236" s="46" t="s">
        <v>100</v>
      </c>
      <c r="X236" s="48" t="s">
        <v>1563</v>
      </c>
      <c r="Y236" s="48" t="s">
        <v>72</v>
      </c>
      <c r="Z236" s="48" t="s">
        <v>1564</v>
      </c>
      <c r="AA236" s="29"/>
      <c r="AB236" s="30"/>
      <c r="AC236" s="38"/>
      <c r="AD236" s="29"/>
      <c r="AE236" s="39">
        <v>1</v>
      </c>
      <c r="AF236" s="40"/>
      <c r="AG236" s="32"/>
      <c r="AH236" s="33"/>
      <c r="AI236" s="32"/>
      <c r="AJ236" s="33"/>
      <c r="AK236" s="32"/>
      <c r="AL236" s="33"/>
      <c r="AM236" s="32"/>
      <c r="AN236" s="33"/>
      <c r="AO236" s="34"/>
      <c r="AP236" s="35"/>
      <c r="AQ236" s="34"/>
      <c r="AR236" s="35"/>
      <c r="AS236" s="34"/>
      <c r="AT236" s="35">
        <v>1</v>
      </c>
      <c r="AU236" s="36"/>
      <c r="AV236" s="37">
        <v>1</v>
      </c>
      <c r="AW236" s="36"/>
      <c r="AX236" s="52">
        <f t="shared" si="5"/>
        <v>1</v>
      </c>
      <c r="AY236" s="52"/>
      <c r="AZ236" s="52"/>
    </row>
    <row r="237" spans="1:147" ht="110.25" customHeight="1" x14ac:dyDescent="0.25">
      <c r="A237" s="49" t="s">
        <v>1557</v>
      </c>
      <c r="B237" s="49" t="s">
        <v>1565</v>
      </c>
      <c r="C237" s="49" t="s">
        <v>1559</v>
      </c>
      <c r="D237" s="49">
        <v>2022</v>
      </c>
      <c r="E237" s="50" t="s">
        <v>1566</v>
      </c>
      <c r="F237" s="49">
        <v>2950390</v>
      </c>
      <c r="G237" s="49">
        <v>2952552</v>
      </c>
      <c r="H237" s="49" t="s">
        <v>1567</v>
      </c>
      <c r="I237" s="49" t="s">
        <v>1557</v>
      </c>
      <c r="J237" s="64">
        <v>4.0960648148148149E-2</v>
      </c>
      <c r="K237" s="49" t="s">
        <v>79</v>
      </c>
      <c r="L237" s="49" t="s">
        <v>1561</v>
      </c>
      <c r="M237" s="49" t="s">
        <v>1562</v>
      </c>
      <c r="N237" s="49" t="s">
        <v>1320</v>
      </c>
      <c r="O237" s="49" t="s">
        <v>63</v>
      </c>
      <c r="P237" s="49" t="s">
        <v>64</v>
      </c>
      <c r="Q237" s="49">
        <v>3</v>
      </c>
      <c r="R237" s="49" t="s">
        <v>160</v>
      </c>
      <c r="S237" s="49" t="s">
        <v>84</v>
      </c>
      <c r="T237" s="49" t="s">
        <v>85</v>
      </c>
      <c r="U237" s="49" t="s">
        <v>68</v>
      </c>
      <c r="V237" s="49" t="s">
        <v>86</v>
      </c>
      <c r="W237" s="49" t="s">
        <v>377</v>
      </c>
      <c r="X237" s="51" t="s">
        <v>1568</v>
      </c>
      <c r="Y237" s="51" t="s">
        <v>72</v>
      </c>
      <c r="Z237" s="51" t="s">
        <v>1569</v>
      </c>
      <c r="AA237" s="29">
        <v>1</v>
      </c>
      <c r="AB237" s="30"/>
      <c r="AC237" s="38"/>
      <c r="AD237" s="29"/>
      <c r="AE237" s="39"/>
      <c r="AF237" s="40"/>
      <c r="AG237" s="32"/>
      <c r="AH237" s="33"/>
      <c r="AI237" s="32"/>
      <c r="AJ237" s="33"/>
      <c r="AK237" s="32"/>
      <c r="AL237" s="33"/>
      <c r="AM237" s="32"/>
      <c r="AN237" s="33"/>
      <c r="AO237" s="34"/>
      <c r="AP237" s="35"/>
      <c r="AQ237" s="34"/>
      <c r="AR237" s="35"/>
      <c r="AS237" s="34"/>
      <c r="AT237" s="35"/>
      <c r="AU237" s="36"/>
      <c r="AV237" s="37"/>
      <c r="AW237" s="36"/>
      <c r="AX237" s="52">
        <f t="shared" si="5"/>
        <v>0</v>
      </c>
      <c r="AY237" s="52"/>
      <c r="AZ237" s="52"/>
    </row>
    <row r="238" spans="1:147" ht="110.25" customHeight="1" x14ac:dyDescent="0.25">
      <c r="A238" s="46" t="s">
        <v>1557</v>
      </c>
      <c r="B238" s="46" t="s">
        <v>1570</v>
      </c>
      <c r="C238" s="46" t="s">
        <v>1559</v>
      </c>
      <c r="D238" s="46">
        <v>2022</v>
      </c>
      <c r="E238" s="47" t="s">
        <v>1571</v>
      </c>
      <c r="F238" s="46">
        <v>3536937</v>
      </c>
      <c r="G238" s="46">
        <v>3539562</v>
      </c>
      <c r="H238" s="46" t="s">
        <v>328</v>
      </c>
      <c r="I238" s="46" t="s">
        <v>1557</v>
      </c>
      <c r="J238" s="65">
        <v>4.0960648148148149E-2</v>
      </c>
      <c r="K238" s="46" t="s">
        <v>79</v>
      </c>
      <c r="L238" s="46" t="s">
        <v>1561</v>
      </c>
      <c r="M238" s="46" t="s">
        <v>1562</v>
      </c>
      <c r="N238" s="46" t="s">
        <v>97</v>
      </c>
      <c r="O238" s="46" t="s">
        <v>98</v>
      </c>
      <c r="P238" s="46" t="s">
        <v>64</v>
      </c>
      <c r="Q238" s="46">
        <v>3</v>
      </c>
      <c r="R238" s="46" t="s">
        <v>99</v>
      </c>
      <c r="S238" s="46" t="s">
        <v>84</v>
      </c>
      <c r="T238" s="46" t="s">
        <v>85</v>
      </c>
      <c r="U238" s="46" t="s">
        <v>331</v>
      </c>
      <c r="V238" s="46" t="s">
        <v>86</v>
      </c>
      <c r="W238" s="46" t="s">
        <v>100</v>
      </c>
      <c r="X238" s="48" t="s">
        <v>1572</v>
      </c>
      <c r="Y238" s="48" t="s">
        <v>72</v>
      </c>
      <c r="Z238" s="48" t="s">
        <v>1573</v>
      </c>
      <c r="AA238" s="29"/>
      <c r="AB238" s="30"/>
      <c r="AC238" s="38"/>
      <c r="AD238" s="29"/>
      <c r="AE238" s="39">
        <v>1</v>
      </c>
      <c r="AF238" s="40"/>
      <c r="AG238" s="32"/>
      <c r="AH238" s="33"/>
      <c r="AI238" s="32"/>
      <c r="AJ238" s="33"/>
      <c r="AK238" s="32"/>
      <c r="AL238" s="33"/>
      <c r="AM238" s="32"/>
      <c r="AN238" s="33"/>
      <c r="AO238" s="34"/>
      <c r="AP238" s="35"/>
      <c r="AQ238" s="34"/>
      <c r="AR238" s="35"/>
      <c r="AS238" s="34"/>
      <c r="AT238" s="35"/>
      <c r="AU238" s="36"/>
      <c r="AV238" s="37">
        <v>1</v>
      </c>
      <c r="AW238" s="36"/>
      <c r="AX238" s="52">
        <f t="shared" si="5"/>
        <v>0</v>
      </c>
      <c r="AY238" s="52"/>
      <c r="AZ238" s="52"/>
    </row>
    <row r="239" spans="1:147" ht="110.25" customHeight="1" x14ac:dyDescent="0.25">
      <c r="A239" s="49" t="s">
        <v>1574</v>
      </c>
      <c r="B239" s="49" t="s">
        <v>1575</v>
      </c>
      <c r="C239" s="49" t="s">
        <v>1576</v>
      </c>
      <c r="D239" s="49">
        <v>2019</v>
      </c>
      <c r="E239" s="50" t="s">
        <v>1577</v>
      </c>
      <c r="F239" s="49">
        <v>5782060</v>
      </c>
      <c r="G239" s="49">
        <v>5784649</v>
      </c>
      <c r="H239" s="49" t="s">
        <v>1578</v>
      </c>
      <c r="I239" s="49" t="s">
        <v>1574</v>
      </c>
      <c r="J239" s="64">
        <v>6.7951388888888895E-2</v>
      </c>
      <c r="K239" s="49" t="s">
        <v>79</v>
      </c>
      <c r="L239" s="49" t="s">
        <v>1579</v>
      </c>
      <c r="M239" s="49" t="s">
        <v>1580</v>
      </c>
      <c r="N239" s="49" t="s">
        <v>643</v>
      </c>
      <c r="O239" s="49" t="s">
        <v>63</v>
      </c>
      <c r="P239" s="49" t="s">
        <v>120</v>
      </c>
      <c r="Q239" s="49">
        <v>1</v>
      </c>
      <c r="R239" s="49" t="s">
        <v>83</v>
      </c>
      <c r="S239" s="49" t="s">
        <v>66</v>
      </c>
      <c r="T239" s="49" t="s">
        <v>85</v>
      </c>
      <c r="U239" s="49" t="s">
        <v>121</v>
      </c>
      <c r="V239" s="49" t="s">
        <v>274</v>
      </c>
      <c r="W239" s="49" t="s">
        <v>123</v>
      </c>
      <c r="X239" s="51" t="s">
        <v>1581</v>
      </c>
      <c r="Y239" s="51" t="s">
        <v>72</v>
      </c>
      <c r="Z239" s="51" t="s">
        <v>1582</v>
      </c>
      <c r="AA239" s="29"/>
      <c r="AB239" s="30"/>
      <c r="AC239" s="38"/>
      <c r="AD239" s="29"/>
      <c r="AE239" s="39">
        <v>1</v>
      </c>
      <c r="AF239" s="40">
        <v>1</v>
      </c>
      <c r="AG239" s="32"/>
      <c r="AH239" s="33"/>
      <c r="AI239" s="32"/>
      <c r="AJ239" s="33"/>
      <c r="AK239" s="32"/>
      <c r="AL239" s="33"/>
      <c r="AM239" s="32"/>
      <c r="AN239" s="33">
        <v>1</v>
      </c>
      <c r="AO239" s="34"/>
      <c r="AP239" s="35"/>
      <c r="AQ239" s="34"/>
      <c r="AR239" s="35"/>
      <c r="AS239" s="34"/>
      <c r="AT239" s="35"/>
      <c r="AU239" s="36"/>
      <c r="AV239" s="37">
        <v>1</v>
      </c>
      <c r="AW239" s="36"/>
      <c r="AX239" s="52">
        <f t="shared" si="5"/>
        <v>1</v>
      </c>
      <c r="AY239" s="52"/>
      <c r="AZ239" s="52"/>
    </row>
    <row r="240" spans="1:147" ht="110.25" customHeight="1" x14ac:dyDescent="0.25">
      <c r="A240" s="46" t="s">
        <v>1583</v>
      </c>
      <c r="B240" s="46" t="s">
        <v>1584</v>
      </c>
      <c r="C240" s="46" t="s">
        <v>1585</v>
      </c>
      <c r="D240" s="46">
        <v>2024</v>
      </c>
      <c r="E240" s="47" t="s">
        <v>1586</v>
      </c>
      <c r="F240" s="46">
        <v>2826710</v>
      </c>
      <c r="G240" s="46">
        <v>2829282</v>
      </c>
      <c r="H240" s="46" t="s">
        <v>94</v>
      </c>
      <c r="I240" s="46" t="s">
        <v>1583</v>
      </c>
      <c r="J240" s="65">
        <v>3.2777777777777781E-2</v>
      </c>
      <c r="K240" s="46" t="s">
        <v>79</v>
      </c>
      <c r="L240" s="46" t="s">
        <v>1587</v>
      </c>
      <c r="M240" s="46" t="s">
        <v>1588</v>
      </c>
      <c r="N240" s="46" t="s">
        <v>97</v>
      </c>
      <c r="O240" s="46" t="s">
        <v>98</v>
      </c>
      <c r="P240" s="46" t="s">
        <v>64</v>
      </c>
      <c r="Q240" s="46">
        <v>3</v>
      </c>
      <c r="R240" s="46" t="s">
        <v>99</v>
      </c>
      <c r="S240" s="46" t="s">
        <v>84</v>
      </c>
      <c r="T240" s="46" t="s">
        <v>85</v>
      </c>
      <c r="U240" s="46" t="s">
        <v>68</v>
      </c>
      <c r="V240" s="46" t="s">
        <v>86</v>
      </c>
      <c r="W240" s="46" t="s">
        <v>100</v>
      </c>
      <c r="X240" s="48" t="s">
        <v>1589</v>
      </c>
      <c r="Y240" s="48" t="s">
        <v>72</v>
      </c>
      <c r="Z240" s="48" t="s">
        <v>1590</v>
      </c>
      <c r="AA240" s="29"/>
      <c r="AB240" s="30"/>
      <c r="AC240" s="38"/>
      <c r="AD240" s="29"/>
      <c r="AE240" s="39">
        <v>1</v>
      </c>
      <c r="AF240" s="40">
        <v>1</v>
      </c>
      <c r="AG240" s="32"/>
      <c r="AH240" s="33"/>
      <c r="AI240" s="32"/>
      <c r="AJ240" s="33"/>
      <c r="AK240" s="32"/>
      <c r="AL240" s="33"/>
      <c r="AM240" s="32"/>
      <c r="AN240" s="33">
        <v>1</v>
      </c>
      <c r="AO240" s="34"/>
      <c r="AP240" s="35"/>
      <c r="AQ240" s="34"/>
      <c r="AR240" s="35"/>
      <c r="AS240" s="34"/>
      <c r="AT240" s="35"/>
      <c r="AU240" s="36"/>
      <c r="AV240" s="37">
        <v>1</v>
      </c>
      <c r="AW240" s="36"/>
      <c r="AX240" s="52">
        <f t="shared" si="5"/>
        <v>1</v>
      </c>
      <c r="AY240" s="52"/>
      <c r="AZ240" s="52"/>
    </row>
    <row r="241" spans="1:52" ht="110.25" customHeight="1" x14ac:dyDescent="0.25">
      <c r="A241" s="49" t="s">
        <v>1591</v>
      </c>
      <c r="B241" s="49" t="s">
        <v>1592</v>
      </c>
      <c r="C241" s="49" t="s">
        <v>1593</v>
      </c>
      <c r="D241" s="49" t="s">
        <v>114</v>
      </c>
      <c r="E241" s="50" t="s">
        <v>1594</v>
      </c>
      <c r="F241" s="49">
        <v>1743220</v>
      </c>
      <c r="G241" s="49">
        <v>1748023</v>
      </c>
      <c r="H241" s="49" t="s">
        <v>1595</v>
      </c>
      <c r="I241" s="49" t="s">
        <v>1591</v>
      </c>
      <c r="J241" s="64">
        <v>2.0763888888888887E-2</v>
      </c>
      <c r="K241" s="49" t="s">
        <v>79</v>
      </c>
      <c r="L241" s="49" t="s">
        <v>1596</v>
      </c>
      <c r="M241" s="49" t="s">
        <v>1597</v>
      </c>
      <c r="N241" s="49" t="s">
        <v>97</v>
      </c>
      <c r="O241" s="49" t="s">
        <v>63</v>
      </c>
      <c r="P241" s="49" t="s">
        <v>120</v>
      </c>
      <c r="Q241" s="49">
        <v>2</v>
      </c>
      <c r="R241" s="49" t="s">
        <v>99</v>
      </c>
      <c r="S241" s="49" t="s">
        <v>84</v>
      </c>
      <c r="T241" s="49" t="s">
        <v>67</v>
      </c>
      <c r="U241" s="49" t="s">
        <v>121</v>
      </c>
      <c r="V241" s="49" t="s">
        <v>86</v>
      </c>
      <c r="W241" s="49" t="s">
        <v>100</v>
      </c>
      <c r="X241" s="51" t="s">
        <v>1598</v>
      </c>
      <c r="Y241" s="51" t="s">
        <v>72</v>
      </c>
      <c r="Z241" s="51" t="s">
        <v>1599</v>
      </c>
      <c r="AA241" s="29">
        <v>1</v>
      </c>
      <c r="AB241" s="30"/>
      <c r="AC241" s="38"/>
      <c r="AD241" s="29"/>
      <c r="AE241" s="39"/>
      <c r="AF241" s="40"/>
      <c r="AG241" s="32"/>
      <c r="AH241" s="33"/>
      <c r="AI241" s="32"/>
      <c r="AJ241" s="33"/>
      <c r="AK241" s="32"/>
      <c r="AL241" s="33"/>
      <c r="AM241" s="32"/>
      <c r="AN241" s="33"/>
      <c r="AO241" s="34"/>
      <c r="AP241" s="35"/>
      <c r="AQ241" s="34"/>
      <c r="AR241" s="35"/>
      <c r="AS241" s="34"/>
      <c r="AT241" s="35"/>
      <c r="AU241" s="36"/>
      <c r="AV241" s="37"/>
      <c r="AW241" s="36"/>
      <c r="AX241" s="52">
        <f t="shared" si="5"/>
        <v>0</v>
      </c>
      <c r="AY241" s="52"/>
      <c r="AZ241" s="52"/>
    </row>
    <row r="242" spans="1:52" ht="110.25" customHeight="1" x14ac:dyDescent="0.25">
      <c r="A242" s="46" t="s">
        <v>1600</v>
      </c>
      <c r="B242" s="46" t="s">
        <v>1601</v>
      </c>
      <c r="C242" s="46" t="s">
        <v>1602</v>
      </c>
      <c r="D242" s="46">
        <v>2020</v>
      </c>
      <c r="E242" s="47" t="s">
        <v>1603</v>
      </c>
      <c r="F242" s="46">
        <v>1647827</v>
      </c>
      <c r="G242" s="46">
        <v>1649133</v>
      </c>
      <c r="H242" s="46" t="s">
        <v>1604</v>
      </c>
      <c r="I242" s="46" t="s">
        <v>1600</v>
      </c>
      <c r="J242" s="65">
        <v>2.6412037037037036E-2</v>
      </c>
      <c r="K242" s="46" t="s">
        <v>59</v>
      </c>
      <c r="L242" s="46" t="s">
        <v>1605</v>
      </c>
      <c r="M242" s="46" t="s">
        <v>1606</v>
      </c>
      <c r="N242" s="46" t="s">
        <v>119</v>
      </c>
      <c r="O242" s="46" t="s">
        <v>98</v>
      </c>
      <c r="P242" s="46" t="s">
        <v>284</v>
      </c>
      <c r="Q242" s="46">
        <v>3</v>
      </c>
      <c r="R242" s="46" t="s">
        <v>65</v>
      </c>
      <c r="S242" s="46" t="s">
        <v>66</v>
      </c>
      <c r="T242" s="46" t="s">
        <v>67</v>
      </c>
      <c r="U242" s="46" t="s">
        <v>68</v>
      </c>
      <c r="V242" s="46" t="s">
        <v>69</v>
      </c>
      <c r="W242" s="46" t="s">
        <v>87</v>
      </c>
      <c r="X242" s="48" t="s">
        <v>1607</v>
      </c>
      <c r="Y242" s="48" t="s">
        <v>72</v>
      </c>
      <c r="Z242" s="48" t="s">
        <v>1608</v>
      </c>
      <c r="AA242" s="29">
        <v>1</v>
      </c>
      <c r="AB242" s="30"/>
      <c r="AC242" s="38"/>
      <c r="AD242" s="29"/>
      <c r="AE242" s="39"/>
      <c r="AF242" s="40"/>
      <c r="AG242" s="32"/>
      <c r="AH242" s="33"/>
      <c r="AI242" s="32"/>
      <c r="AJ242" s="33"/>
      <c r="AK242" s="32"/>
      <c r="AL242" s="33"/>
      <c r="AM242" s="32"/>
      <c r="AN242" s="33"/>
      <c r="AO242" s="34"/>
      <c r="AP242" s="35"/>
      <c r="AQ242" s="34"/>
      <c r="AR242" s="35"/>
      <c r="AS242" s="34"/>
      <c r="AT242" s="35"/>
      <c r="AU242" s="36"/>
      <c r="AV242" s="37"/>
      <c r="AW242" s="36"/>
      <c r="AX242" s="52">
        <f t="shared" si="5"/>
        <v>0</v>
      </c>
      <c r="AY242" s="52"/>
      <c r="AZ242" s="52"/>
    </row>
    <row r="243" spans="1:52" ht="110.25" customHeight="1" x14ac:dyDescent="0.25">
      <c r="A243" s="49" t="s">
        <v>1609</v>
      </c>
      <c r="B243" s="49" t="s">
        <v>1610</v>
      </c>
      <c r="C243" s="49" t="s">
        <v>1611</v>
      </c>
      <c r="D243" s="49">
        <v>2024</v>
      </c>
      <c r="E243" s="50" t="s">
        <v>1612</v>
      </c>
      <c r="F243" s="49">
        <v>2898747</v>
      </c>
      <c r="G243" s="49">
        <v>2901995</v>
      </c>
      <c r="H243" s="49" t="s">
        <v>1613</v>
      </c>
      <c r="I243" s="49" t="s">
        <v>1609</v>
      </c>
      <c r="J243" s="64">
        <v>3.8854166666666669E-2</v>
      </c>
      <c r="K243" s="49" t="s">
        <v>79</v>
      </c>
      <c r="L243" s="49" t="s">
        <v>1614</v>
      </c>
      <c r="M243" s="49" t="s">
        <v>1615</v>
      </c>
      <c r="N243" s="49" t="s">
        <v>1418</v>
      </c>
      <c r="O243" s="49" t="s">
        <v>98</v>
      </c>
      <c r="P243" s="49" t="s">
        <v>64</v>
      </c>
      <c r="Q243" s="49">
        <v>2</v>
      </c>
      <c r="R243" s="49" t="s">
        <v>65</v>
      </c>
      <c r="S243" s="49" t="s">
        <v>84</v>
      </c>
      <c r="T243" s="49" t="s">
        <v>85</v>
      </c>
      <c r="U243" s="49" t="s">
        <v>68</v>
      </c>
      <c r="V243" s="49" t="s">
        <v>86</v>
      </c>
      <c r="W243" s="49" t="s">
        <v>70</v>
      </c>
      <c r="X243" s="51" t="s">
        <v>1616</v>
      </c>
      <c r="Y243" s="51" t="s">
        <v>72</v>
      </c>
      <c r="Z243" s="51" t="s">
        <v>1617</v>
      </c>
      <c r="AA243" s="29"/>
      <c r="AB243" s="30"/>
      <c r="AC243" s="38"/>
      <c r="AD243" s="29"/>
      <c r="AE243" s="39">
        <v>1</v>
      </c>
      <c r="AF243" s="40"/>
      <c r="AG243" s="32"/>
      <c r="AH243" s="33"/>
      <c r="AI243" s="32"/>
      <c r="AJ243" s="33"/>
      <c r="AK243" s="32">
        <v>1</v>
      </c>
      <c r="AL243" s="33"/>
      <c r="AM243" s="32"/>
      <c r="AN243" s="33"/>
      <c r="AO243" s="34"/>
      <c r="AP243" s="35"/>
      <c r="AQ243" s="34"/>
      <c r="AR243" s="35"/>
      <c r="AS243" s="34"/>
      <c r="AT243" s="35"/>
      <c r="AU243" s="36"/>
      <c r="AV243" s="37">
        <v>1</v>
      </c>
      <c r="AW243" s="36"/>
      <c r="AX243" s="52">
        <f t="shared" si="5"/>
        <v>1</v>
      </c>
      <c r="AY243" s="52"/>
      <c r="AZ243" s="52"/>
    </row>
    <row r="244" spans="1:52" ht="110.25" customHeight="1" x14ac:dyDescent="0.25">
      <c r="A244" s="46" t="s">
        <v>1618</v>
      </c>
      <c r="B244" s="46" t="s">
        <v>1619</v>
      </c>
      <c r="C244" s="46" t="s">
        <v>1620</v>
      </c>
      <c r="D244" s="46" t="s">
        <v>114</v>
      </c>
      <c r="E244" s="47" t="s">
        <v>1621</v>
      </c>
      <c r="F244" s="46">
        <v>1968938</v>
      </c>
      <c r="G244" s="46">
        <v>1971973</v>
      </c>
      <c r="H244" s="46" t="s">
        <v>1622</v>
      </c>
      <c r="I244" s="46" t="s">
        <v>1618</v>
      </c>
      <c r="J244" s="65">
        <v>4.7349537037037037E-2</v>
      </c>
      <c r="K244" s="46" t="s">
        <v>79</v>
      </c>
      <c r="L244" s="46" t="s">
        <v>1623</v>
      </c>
      <c r="M244" s="46" t="s">
        <v>1624</v>
      </c>
      <c r="N244" s="46" t="s">
        <v>82</v>
      </c>
      <c r="O244" s="46" t="s">
        <v>98</v>
      </c>
      <c r="P244" s="46" t="s">
        <v>120</v>
      </c>
      <c r="Q244" s="46">
        <v>3</v>
      </c>
      <c r="R244" s="46" t="s">
        <v>83</v>
      </c>
      <c r="S244" s="46" t="s">
        <v>84</v>
      </c>
      <c r="T244" s="46" t="s">
        <v>85</v>
      </c>
      <c r="U244" s="46" t="s">
        <v>121</v>
      </c>
      <c r="V244" s="46" t="s">
        <v>122</v>
      </c>
      <c r="W244" s="46" t="s">
        <v>123</v>
      </c>
      <c r="X244" s="48" t="s">
        <v>1625</v>
      </c>
      <c r="Y244" s="48" t="s">
        <v>72</v>
      </c>
      <c r="Z244" s="48" t="s">
        <v>1626</v>
      </c>
      <c r="AA244" s="29">
        <v>1</v>
      </c>
      <c r="AB244" s="30"/>
      <c r="AC244" s="38"/>
      <c r="AD244" s="29"/>
      <c r="AE244" s="39"/>
      <c r="AF244" s="40"/>
      <c r="AG244" s="32"/>
      <c r="AH244" s="33"/>
      <c r="AI244" s="32"/>
      <c r="AJ244" s="33"/>
      <c r="AK244" s="32"/>
      <c r="AL244" s="33"/>
      <c r="AM244" s="32"/>
      <c r="AN244" s="33"/>
      <c r="AO244" s="34"/>
      <c r="AP244" s="35"/>
      <c r="AQ244" s="34"/>
      <c r="AR244" s="35"/>
      <c r="AS244" s="34"/>
      <c r="AT244" s="35"/>
      <c r="AU244" s="36"/>
      <c r="AV244" s="37"/>
      <c r="AW244" s="36"/>
      <c r="AX244" s="52">
        <f t="shared" si="5"/>
        <v>0</v>
      </c>
      <c r="AY244" s="52"/>
      <c r="AZ244" s="52"/>
    </row>
    <row r="245" spans="1:52" ht="110.25" customHeight="1" x14ac:dyDescent="0.25">
      <c r="A245" s="49" t="s">
        <v>1618</v>
      </c>
      <c r="B245" s="49" t="s">
        <v>1627</v>
      </c>
      <c r="C245" s="49" t="s">
        <v>1620</v>
      </c>
      <c r="D245" s="49" t="s">
        <v>114</v>
      </c>
      <c r="E245" s="50" t="s">
        <v>1628</v>
      </c>
      <c r="F245" s="49">
        <v>2742625</v>
      </c>
      <c r="G245" s="49">
        <v>2753906</v>
      </c>
      <c r="H245" s="49" t="s">
        <v>1622</v>
      </c>
      <c r="I245" s="49" t="s">
        <v>1618</v>
      </c>
      <c r="J245" s="64">
        <v>4.7349537037037037E-2</v>
      </c>
      <c r="K245" s="49" t="s">
        <v>79</v>
      </c>
      <c r="L245" s="49" t="s">
        <v>1623</v>
      </c>
      <c r="M245" s="49" t="s">
        <v>1624</v>
      </c>
      <c r="N245" s="49" t="s">
        <v>82</v>
      </c>
      <c r="O245" s="49" t="s">
        <v>98</v>
      </c>
      <c r="P245" s="49" t="s">
        <v>120</v>
      </c>
      <c r="Q245" s="49">
        <v>3</v>
      </c>
      <c r="R245" s="49" t="s">
        <v>83</v>
      </c>
      <c r="S245" s="49" t="s">
        <v>84</v>
      </c>
      <c r="T245" s="49" t="s">
        <v>85</v>
      </c>
      <c r="U245" s="49" t="s">
        <v>121</v>
      </c>
      <c r="V245" s="49" t="s">
        <v>122</v>
      </c>
      <c r="W245" s="49" t="s">
        <v>123</v>
      </c>
      <c r="X245" s="51" t="s">
        <v>1629</v>
      </c>
      <c r="Y245" s="51" t="s">
        <v>72</v>
      </c>
      <c r="Z245" s="51" t="s">
        <v>1630</v>
      </c>
      <c r="AA245" s="29"/>
      <c r="AB245" s="30"/>
      <c r="AC245" s="38"/>
      <c r="AD245" s="29"/>
      <c r="AE245" s="39">
        <v>1</v>
      </c>
      <c r="AF245" s="40"/>
      <c r="AG245" s="32"/>
      <c r="AH245" s="33"/>
      <c r="AI245" s="32"/>
      <c r="AJ245" s="33"/>
      <c r="AK245" s="32"/>
      <c r="AL245" s="33"/>
      <c r="AM245" s="32"/>
      <c r="AN245" s="33"/>
      <c r="AO245" s="34"/>
      <c r="AP245" s="35"/>
      <c r="AQ245" s="34"/>
      <c r="AR245" s="35">
        <v>1</v>
      </c>
      <c r="AS245" s="34"/>
      <c r="AT245" s="35"/>
      <c r="AU245" s="36"/>
      <c r="AV245" s="37"/>
      <c r="AW245" s="36"/>
      <c r="AX245" s="52">
        <f t="shared" ref="AX245:AX308" si="6">IF(SUM(COUNTIF(AG245:AN245,1), COUNTIF(AO245:AT245,1), COUNTIF(AU245:AW245,1))&gt;1, 1, 0)</f>
        <v>0</v>
      </c>
      <c r="AY245" s="52"/>
      <c r="AZ245" s="52"/>
    </row>
    <row r="246" spans="1:52" ht="110.25" customHeight="1" x14ac:dyDescent="0.25">
      <c r="A246" s="46" t="s">
        <v>1618</v>
      </c>
      <c r="B246" s="46" t="s">
        <v>1631</v>
      </c>
      <c r="C246" s="46" t="s">
        <v>1620</v>
      </c>
      <c r="D246" s="46" t="s">
        <v>114</v>
      </c>
      <c r="E246" s="47" t="s">
        <v>1632</v>
      </c>
      <c r="F246" s="46">
        <v>3575640</v>
      </c>
      <c r="G246" s="46">
        <v>3576421</v>
      </c>
      <c r="H246" s="46" t="s">
        <v>1622</v>
      </c>
      <c r="I246" s="46" t="s">
        <v>1618</v>
      </c>
      <c r="J246" s="65">
        <v>4.7349537037037037E-2</v>
      </c>
      <c r="K246" s="46" t="s">
        <v>79</v>
      </c>
      <c r="L246" s="46" t="s">
        <v>1623</v>
      </c>
      <c r="M246" s="46" t="s">
        <v>1624</v>
      </c>
      <c r="N246" s="46" t="s">
        <v>82</v>
      </c>
      <c r="O246" s="46" t="s">
        <v>98</v>
      </c>
      <c r="P246" s="46" t="s">
        <v>120</v>
      </c>
      <c r="Q246" s="46">
        <v>3</v>
      </c>
      <c r="R246" s="46" t="s">
        <v>83</v>
      </c>
      <c r="S246" s="46" t="s">
        <v>84</v>
      </c>
      <c r="T246" s="46" t="s">
        <v>85</v>
      </c>
      <c r="U246" s="46" t="s">
        <v>121</v>
      </c>
      <c r="V246" s="46" t="s">
        <v>122</v>
      </c>
      <c r="W246" s="46" t="s">
        <v>123</v>
      </c>
      <c r="X246" s="48" t="s">
        <v>1633</v>
      </c>
      <c r="Y246" s="48" t="s">
        <v>72</v>
      </c>
      <c r="Z246" s="48" t="s">
        <v>1634</v>
      </c>
      <c r="AA246" s="29">
        <v>1</v>
      </c>
      <c r="AB246" s="30"/>
      <c r="AC246" s="38"/>
      <c r="AD246" s="29"/>
      <c r="AE246" s="39"/>
      <c r="AF246" s="40"/>
      <c r="AG246" s="32"/>
      <c r="AH246" s="33"/>
      <c r="AI246" s="32"/>
      <c r="AJ246" s="33"/>
      <c r="AK246" s="32"/>
      <c r="AL246" s="33"/>
      <c r="AM246" s="32"/>
      <c r="AN246" s="33"/>
      <c r="AO246" s="34"/>
      <c r="AP246" s="35"/>
      <c r="AQ246" s="34"/>
      <c r="AR246" s="35"/>
      <c r="AS246" s="34"/>
      <c r="AT246" s="35"/>
      <c r="AU246" s="36"/>
      <c r="AV246" s="37"/>
      <c r="AW246" s="36"/>
      <c r="AX246" s="52">
        <f t="shared" si="6"/>
        <v>0</v>
      </c>
      <c r="AY246" s="52"/>
      <c r="AZ246" s="52"/>
    </row>
    <row r="247" spans="1:52" ht="110.25" customHeight="1" x14ac:dyDescent="0.25">
      <c r="A247" s="49" t="s">
        <v>1635</v>
      </c>
      <c r="B247" s="49" t="s">
        <v>1636</v>
      </c>
      <c r="C247" s="49" t="s">
        <v>1637</v>
      </c>
      <c r="D247" s="49">
        <v>2024</v>
      </c>
      <c r="E247" s="50" t="s">
        <v>1638</v>
      </c>
      <c r="F247" s="49">
        <v>2282426</v>
      </c>
      <c r="G247" s="49">
        <v>2284013</v>
      </c>
      <c r="H247" s="49" t="s">
        <v>1639</v>
      </c>
      <c r="I247" s="49" t="s">
        <v>1635</v>
      </c>
      <c r="J247" s="64">
        <v>2.6574074074074073E-2</v>
      </c>
      <c r="K247" s="49" t="s">
        <v>79</v>
      </c>
      <c r="L247" s="49" t="s">
        <v>1640</v>
      </c>
      <c r="M247" s="49" t="s">
        <v>1641</v>
      </c>
      <c r="N247" s="49" t="s">
        <v>273</v>
      </c>
      <c r="O247" s="49" t="s">
        <v>98</v>
      </c>
      <c r="P247" s="49" t="s">
        <v>64</v>
      </c>
      <c r="Q247" s="49">
        <v>2</v>
      </c>
      <c r="R247" s="49" t="s">
        <v>65</v>
      </c>
      <c r="S247" s="49" t="s">
        <v>84</v>
      </c>
      <c r="T247" s="49" t="s">
        <v>85</v>
      </c>
      <c r="U247" s="49" t="s">
        <v>68</v>
      </c>
      <c r="V247" s="49" t="s">
        <v>86</v>
      </c>
      <c r="W247" s="49" t="s">
        <v>377</v>
      </c>
      <c r="X247" s="51" t="s">
        <v>1642</v>
      </c>
      <c r="Y247" s="51" t="s">
        <v>72</v>
      </c>
      <c r="Z247" s="51" t="s">
        <v>1643</v>
      </c>
      <c r="AA247" s="29"/>
      <c r="AB247" s="30"/>
      <c r="AC247" s="38"/>
      <c r="AD247" s="29"/>
      <c r="AE247" s="39">
        <v>1</v>
      </c>
      <c r="AF247" s="40"/>
      <c r="AG247" s="32"/>
      <c r="AH247" s="33"/>
      <c r="AI247" s="32"/>
      <c r="AJ247" s="33"/>
      <c r="AK247" s="32"/>
      <c r="AL247" s="33"/>
      <c r="AM247" s="32"/>
      <c r="AN247" s="33"/>
      <c r="AO247" s="34"/>
      <c r="AP247" s="35"/>
      <c r="AQ247" s="34"/>
      <c r="AR247" s="35"/>
      <c r="AS247" s="34"/>
      <c r="AT247" s="35">
        <v>1</v>
      </c>
      <c r="AU247" s="36"/>
      <c r="AV247" s="37"/>
      <c r="AW247" s="36"/>
      <c r="AX247" s="52">
        <f t="shared" si="6"/>
        <v>0</v>
      </c>
      <c r="AY247" s="52"/>
      <c r="AZ247" s="52"/>
    </row>
    <row r="248" spans="1:52" ht="110.25" customHeight="1" x14ac:dyDescent="0.25">
      <c r="A248" s="46" t="s">
        <v>1644</v>
      </c>
      <c r="B248" s="46" t="s">
        <v>1645</v>
      </c>
      <c r="C248" s="46" t="s">
        <v>1646</v>
      </c>
      <c r="D248" s="46" t="s">
        <v>114</v>
      </c>
      <c r="E248" s="47" t="s">
        <v>1647</v>
      </c>
      <c r="F248" s="46">
        <v>1790040</v>
      </c>
      <c r="G248" s="46">
        <v>1791220</v>
      </c>
      <c r="H248" s="46" t="s">
        <v>270</v>
      </c>
      <c r="I248" s="46" t="s">
        <v>1644</v>
      </c>
      <c r="J248" s="65">
        <v>4.3124999999999997E-2</v>
      </c>
      <c r="K248" s="46" t="s">
        <v>79</v>
      </c>
      <c r="L248" s="46" t="s">
        <v>1648</v>
      </c>
      <c r="M248" s="46" t="s">
        <v>1649</v>
      </c>
      <c r="N248" s="46" t="s">
        <v>273</v>
      </c>
      <c r="O248" s="46" t="s">
        <v>98</v>
      </c>
      <c r="P248" s="46" t="s">
        <v>120</v>
      </c>
      <c r="Q248" s="46">
        <v>1</v>
      </c>
      <c r="R248" s="46" t="s">
        <v>83</v>
      </c>
      <c r="S248" s="46" t="s">
        <v>66</v>
      </c>
      <c r="T248" s="46" t="s">
        <v>85</v>
      </c>
      <c r="U248" s="46" t="s">
        <v>121</v>
      </c>
      <c r="V248" s="46" t="s">
        <v>274</v>
      </c>
      <c r="W248" s="46" t="s">
        <v>123</v>
      </c>
      <c r="X248" s="48" t="s">
        <v>1650</v>
      </c>
      <c r="Y248" s="48" t="s">
        <v>72</v>
      </c>
      <c r="Z248" s="48" t="s">
        <v>1651</v>
      </c>
      <c r="AA248" s="29"/>
      <c r="AB248" s="30"/>
      <c r="AC248" s="38"/>
      <c r="AD248" s="29"/>
      <c r="AE248" s="39">
        <v>1</v>
      </c>
      <c r="AF248" s="40"/>
      <c r="AG248" s="32"/>
      <c r="AH248" s="33"/>
      <c r="AI248" s="32"/>
      <c r="AJ248" s="33"/>
      <c r="AK248" s="32"/>
      <c r="AL248" s="33"/>
      <c r="AM248" s="32"/>
      <c r="AN248" s="33"/>
      <c r="AO248" s="34"/>
      <c r="AP248" s="35"/>
      <c r="AQ248" s="34"/>
      <c r="AR248" s="35"/>
      <c r="AS248" s="34"/>
      <c r="AT248" s="35"/>
      <c r="AU248" s="36"/>
      <c r="AV248" s="37">
        <v>1</v>
      </c>
      <c r="AW248" s="36">
        <v>1</v>
      </c>
      <c r="AX248" s="52">
        <f t="shared" si="6"/>
        <v>1</v>
      </c>
      <c r="AY248" s="52"/>
      <c r="AZ248" s="52"/>
    </row>
    <row r="249" spans="1:52" ht="110.25" customHeight="1" x14ac:dyDescent="0.25">
      <c r="A249" s="49" t="s">
        <v>1652</v>
      </c>
      <c r="B249" s="49" t="s">
        <v>1653</v>
      </c>
      <c r="C249" s="49" t="s">
        <v>1654</v>
      </c>
      <c r="D249" s="49">
        <v>2021</v>
      </c>
      <c r="E249" s="50" t="s">
        <v>1655</v>
      </c>
      <c r="F249" s="49">
        <v>235436</v>
      </c>
      <c r="G249" s="49">
        <v>237577</v>
      </c>
      <c r="H249" s="49" t="s">
        <v>281</v>
      </c>
      <c r="I249" s="49" t="s">
        <v>1652</v>
      </c>
      <c r="J249" s="64">
        <v>2.3518518518518518E-2</v>
      </c>
      <c r="K249" s="49" t="s">
        <v>59</v>
      </c>
      <c r="L249" s="49" t="s">
        <v>1656</v>
      </c>
      <c r="M249" s="49" t="s">
        <v>1657</v>
      </c>
      <c r="N249" s="49" t="s">
        <v>97</v>
      </c>
      <c r="O249" s="49" t="s">
        <v>63</v>
      </c>
      <c r="P249" s="49" t="s">
        <v>284</v>
      </c>
      <c r="Q249" s="49">
        <v>2</v>
      </c>
      <c r="R249" s="49" t="s">
        <v>99</v>
      </c>
      <c r="S249" s="49" t="s">
        <v>66</v>
      </c>
      <c r="T249" s="49" t="s">
        <v>67</v>
      </c>
      <c r="U249" s="49" t="s">
        <v>68</v>
      </c>
      <c r="V249" s="49" t="s">
        <v>69</v>
      </c>
      <c r="W249" s="49" t="s">
        <v>100</v>
      </c>
      <c r="X249" s="51" t="s">
        <v>1658</v>
      </c>
      <c r="Y249" s="51" t="s">
        <v>72</v>
      </c>
      <c r="Z249" s="51" t="s">
        <v>1659</v>
      </c>
      <c r="AA249" s="29"/>
      <c r="AB249" s="30"/>
      <c r="AC249" s="38"/>
      <c r="AD249" s="29"/>
      <c r="AE249" s="39">
        <v>1</v>
      </c>
      <c r="AF249" s="40">
        <v>1</v>
      </c>
      <c r="AG249" s="32"/>
      <c r="AH249" s="33"/>
      <c r="AI249" s="32"/>
      <c r="AJ249" s="33"/>
      <c r="AK249" s="32"/>
      <c r="AL249" s="33"/>
      <c r="AM249" s="32"/>
      <c r="AN249" s="33"/>
      <c r="AO249" s="34"/>
      <c r="AP249" s="35"/>
      <c r="AQ249" s="34"/>
      <c r="AR249" s="35"/>
      <c r="AS249" s="34"/>
      <c r="AT249" s="35"/>
      <c r="AU249" s="36"/>
      <c r="AV249" s="37"/>
      <c r="AW249" s="36">
        <v>1</v>
      </c>
      <c r="AX249" s="52">
        <f t="shared" si="6"/>
        <v>0</v>
      </c>
      <c r="AY249" s="52"/>
      <c r="AZ249" s="52"/>
    </row>
    <row r="250" spans="1:52" ht="110.25" customHeight="1" x14ac:dyDescent="0.25">
      <c r="A250" s="46" t="s">
        <v>1652</v>
      </c>
      <c r="B250" s="46" t="s">
        <v>1660</v>
      </c>
      <c r="C250" s="46" t="s">
        <v>1654</v>
      </c>
      <c r="D250" s="46">
        <v>2021</v>
      </c>
      <c r="E250" s="47" t="s">
        <v>1661</v>
      </c>
      <c r="F250" s="46">
        <v>1487008</v>
      </c>
      <c r="G250" s="46">
        <v>1490542</v>
      </c>
      <c r="H250" s="46" t="s">
        <v>1662</v>
      </c>
      <c r="I250" s="46" t="s">
        <v>1652</v>
      </c>
      <c r="J250" s="65">
        <v>2.3518518518518518E-2</v>
      </c>
      <c r="K250" s="46" t="s">
        <v>59</v>
      </c>
      <c r="L250" s="46" t="s">
        <v>1656</v>
      </c>
      <c r="M250" s="46" t="s">
        <v>1657</v>
      </c>
      <c r="N250" s="46" t="s">
        <v>119</v>
      </c>
      <c r="O250" s="46" t="s">
        <v>63</v>
      </c>
      <c r="P250" s="46" t="s">
        <v>284</v>
      </c>
      <c r="Q250" s="46">
        <v>2</v>
      </c>
      <c r="R250" s="46" t="s">
        <v>1663</v>
      </c>
      <c r="S250" s="46" t="s">
        <v>66</v>
      </c>
      <c r="T250" s="46" t="s">
        <v>67</v>
      </c>
      <c r="U250" s="46" t="s">
        <v>68</v>
      </c>
      <c r="V250" s="46" t="s">
        <v>69</v>
      </c>
      <c r="W250" s="46" t="s">
        <v>70</v>
      </c>
      <c r="X250" s="48" t="s">
        <v>1664</v>
      </c>
      <c r="Y250" s="48" t="s">
        <v>72</v>
      </c>
      <c r="Z250" s="48" t="s">
        <v>1665</v>
      </c>
      <c r="AA250" s="29">
        <v>1</v>
      </c>
      <c r="AB250" s="30"/>
      <c r="AC250" s="38"/>
      <c r="AD250" s="29"/>
      <c r="AE250" s="39"/>
      <c r="AF250" s="40"/>
      <c r="AG250" s="32"/>
      <c r="AH250" s="33"/>
      <c r="AI250" s="32"/>
      <c r="AJ250" s="33"/>
      <c r="AK250" s="32"/>
      <c r="AL250" s="33"/>
      <c r="AM250" s="32"/>
      <c r="AN250" s="33"/>
      <c r="AO250" s="34"/>
      <c r="AP250" s="35"/>
      <c r="AQ250" s="34"/>
      <c r="AR250" s="35"/>
      <c r="AS250" s="34"/>
      <c r="AT250" s="35"/>
      <c r="AU250" s="36"/>
      <c r="AV250" s="37"/>
      <c r="AW250" s="36"/>
      <c r="AX250" s="52">
        <f t="shared" si="6"/>
        <v>0</v>
      </c>
      <c r="AY250" s="52"/>
      <c r="AZ250" s="52"/>
    </row>
    <row r="251" spans="1:52" ht="110.25" customHeight="1" x14ac:dyDescent="0.25">
      <c r="A251" s="49" t="s">
        <v>1652</v>
      </c>
      <c r="B251" s="49" t="s">
        <v>1666</v>
      </c>
      <c r="C251" s="49" t="s">
        <v>1654</v>
      </c>
      <c r="D251" s="49">
        <v>2021</v>
      </c>
      <c r="E251" s="49" t="s">
        <v>1667</v>
      </c>
      <c r="F251" s="49">
        <v>1488497</v>
      </c>
      <c r="G251" s="49">
        <v>1490257</v>
      </c>
      <c r="H251" s="49" t="s">
        <v>281</v>
      </c>
      <c r="I251" s="49" t="s">
        <v>1652</v>
      </c>
      <c r="J251" s="64">
        <v>2.3518518518518518E-2</v>
      </c>
      <c r="K251" s="49" t="s">
        <v>59</v>
      </c>
      <c r="L251" s="49" t="s">
        <v>1656</v>
      </c>
      <c r="M251" s="49" t="s">
        <v>1657</v>
      </c>
      <c r="N251" s="49" t="s">
        <v>97</v>
      </c>
      <c r="O251" s="49" t="s">
        <v>63</v>
      </c>
      <c r="P251" s="49" t="s">
        <v>284</v>
      </c>
      <c r="Q251" s="49">
        <v>2</v>
      </c>
      <c r="R251" s="49" t="s">
        <v>99</v>
      </c>
      <c r="S251" s="49" t="s">
        <v>66</v>
      </c>
      <c r="T251" s="49" t="s">
        <v>67</v>
      </c>
      <c r="U251" s="49" t="s">
        <v>68</v>
      </c>
      <c r="V251" s="49" t="s">
        <v>69</v>
      </c>
      <c r="W251" s="49" t="s">
        <v>100</v>
      </c>
      <c r="X251" s="51" t="s">
        <v>1668</v>
      </c>
      <c r="Y251" s="51" t="s">
        <v>72</v>
      </c>
      <c r="Z251" s="51" t="s">
        <v>1669</v>
      </c>
      <c r="AA251" s="29"/>
      <c r="AB251" s="30"/>
      <c r="AC251" s="38"/>
      <c r="AD251" s="29"/>
      <c r="AE251" s="39">
        <v>1</v>
      </c>
      <c r="AF251" s="40"/>
      <c r="AG251" s="32"/>
      <c r="AH251" s="33"/>
      <c r="AI251" s="32">
        <v>1</v>
      </c>
      <c r="AJ251" s="33"/>
      <c r="AK251" s="32"/>
      <c r="AL251" s="33"/>
      <c r="AM251" s="32"/>
      <c r="AN251" s="33"/>
      <c r="AO251" s="34"/>
      <c r="AP251" s="35"/>
      <c r="AQ251" s="34"/>
      <c r="AR251" s="35"/>
      <c r="AS251" s="34"/>
      <c r="AT251" s="35"/>
      <c r="AU251" s="36"/>
      <c r="AV251" s="37"/>
      <c r="AW251" s="36"/>
      <c r="AX251" s="52">
        <f t="shared" si="6"/>
        <v>0</v>
      </c>
      <c r="AY251" s="52"/>
      <c r="AZ251" s="52"/>
    </row>
    <row r="252" spans="1:52" ht="110.25" customHeight="1" x14ac:dyDescent="0.25">
      <c r="A252" s="46" t="s">
        <v>1670</v>
      </c>
      <c r="B252" s="46" t="s">
        <v>1671</v>
      </c>
      <c r="C252" s="46" t="s">
        <v>1672</v>
      </c>
      <c r="D252" s="46">
        <v>2019</v>
      </c>
      <c r="E252" s="47" t="s">
        <v>1673</v>
      </c>
      <c r="F252" s="46">
        <v>605974</v>
      </c>
      <c r="G252" s="46">
        <v>608806</v>
      </c>
      <c r="H252" s="46" t="s">
        <v>1674</v>
      </c>
      <c r="I252" s="46" t="s">
        <v>1670</v>
      </c>
      <c r="J252" s="65">
        <v>7.2719907407407414E-2</v>
      </c>
      <c r="K252" s="46" t="s">
        <v>79</v>
      </c>
      <c r="L252" s="46" t="s">
        <v>1675</v>
      </c>
      <c r="M252" s="46" t="s">
        <v>1676</v>
      </c>
      <c r="N252" s="46" t="s">
        <v>186</v>
      </c>
      <c r="O252" s="46" t="s">
        <v>98</v>
      </c>
      <c r="P252" s="46" t="s">
        <v>120</v>
      </c>
      <c r="Q252" s="46">
        <v>4</v>
      </c>
      <c r="R252" s="46" t="s">
        <v>179</v>
      </c>
      <c r="S252" s="46" t="s">
        <v>84</v>
      </c>
      <c r="T252" s="46" t="s">
        <v>85</v>
      </c>
      <c r="U252" s="46" t="s">
        <v>121</v>
      </c>
      <c r="V252" s="46" t="s">
        <v>86</v>
      </c>
      <c r="W252" s="46" t="s">
        <v>398</v>
      </c>
      <c r="X252" s="48" t="s">
        <v>1677</v>
      </c>
      <c r="Y252" s="48" t="s">
        <v>72</v>
      </c>
      <c r="Z252" s="48" t="s">
        <v>1678</v>
      </c>
      <c r="AA252" s="29">
        <v>1</v>
      </c>
      <c r="AB252" s="30"/>
      <c r="AC252" s="38"/>
      <c r="AD252" s="29"/>
      <c r="AE252" s="39"/>
      <c r="AF252" s="40"/>
      <c r="AG252" s="32"/>
      <c r="AH252" s="33"/>
      <c r="AI252" s="32"/>
      <c r="AJ252" s="33"/>
      <c r="AK252" s="32"/>
      <c r="AL252" s="33"/>
      <c r="AM252" s="32"/>
      <c r="AN252" s="33"/>
      <c r="AO252" s="34"/>
      <c r="AP252" s="35"/>
      <c r="AQ252" s="34"/>
      <c r="AR252" s="35"/>
      <c r="AS252" s="34"/>
      <c r="AT252" s="35"/>
      <c r="AU252" s="36"/>
      <c r="AV252" s="37"/>
      <c r="AW252" s="36"/>
      <c r="AX252" s="52">
        <f t="shared" si="6"/>
        <v>0</v>
      </c>
      <c r="AY252" s="52"/>
      <c r="AZ252" s="52"/>
    </row>
    <row r="253" spans="1:52" ht="110.25" customHeight="1" x14ac:dyDescent="0.25">
      <c r="A253" s="49" t="s">
        <v>1679</v>
      </c>
      <c r="B253" s="49" t="s">
        <v>1680</v>
      </c>
      <c r="C253" s="49" t="s">
        <v>1681</v>
      </c>
      <c r="D253" s="49">
        <v>2020</v>
      </c>
      <c r="E253" s="50" t="s">
        <v>1682</v>
      </c>
      <c r="F253" s="49">
        <v>2043940</v>
      </c>
      <c r="G253" s="49">
        <v>2046780</v>
      </c>
      <c r="H253" s="49" t="s">
        <v>1683</v>
      </c>
      <c r="I253" s="49" t="s">
        <v>1679</v>
      </c>
      <c r="J253" s="64">
        <v>2.4097222222222221E-2</v>
      </c>
      <c r="K253" s="49" t="s">
        <v>59</v>
      </c>
      <c r="L253" s="49" t="s">
        <v>1684</v>
      </c>
      <c r="M253" s="49" t="s">
        <v>1685</v>
      </c>
      <c r="N253" s="49" t="s">
        <v>97</v>
      </c>
      <c r="O253" s="49" t="s">
        <v>63</v>
      </c>
      <c r="P253" s="49" t="s">
        <v>1686</v>
      </c>
      <c r="Q253" s="49">
        <v>4</v>
      </c>
      <c r="R253" s="49" t="s">
        <v>99</v>
      </c>
      <c r="S253" s="49" t="s">
        <v>66</v>
      </c>
      <c r="T253" s="49" t="s">
        <v>67</v>
      </c>
      <c r="U253" s="49" t="s">
        <v>509</v>
      </c>
      <c r="V253" s="49" t="s">
        <v>69</v>
      </c>
      <c r="W253" s="49" t="s">
        <v>100</v>
      </c>
      <c r="X253" s="51" t="s">
        <v>1687</v>
      </c>
      <c r="Y253" s="51" t="s">
        <v>72</v>
      </c>
      <c r="Z253" s="51" t="s">
        <v>1688</v>
      </c>
      <c r="AA253" s="29">
        <v>1</v>
      </c>
      <c r="AB253" s="30"/>
      <c r="AC253" s="38"/>
      <c r="AD253" s="29"/>
      <c r="AE253" s="39"/>
      <c r="AF253" s="40"/>
      <c r="AG253" s="32"/>
      <c r="AH253" s="33"/>
      <c r="AI253" s="32"/>
      <c r="AJ253" s="33"/>
      <c r="AK253" s="32"/>
      <c r="AL253" s="33"/>
      <c r="AM253" s="32"/>
      <c r="AN253" s="33"/>
      <c r="AO253" s="34"/>
      <c r="AP253" s="35"/>
      <c r="AQ253" s="34"/>
      <c r="AR253" s="35"/>
      <c r="AS253" s="34"/>
      <c r="AT253" s="35"/>
      <c r="AU253" s="36"/>
      <c r="AV253" s="37"/>
      <c r="AW253" s="36"/>
      <c r="AX253" s="52">
        <f t="shared" si="6"/>
        <v>0</v>
      </c>
      <c r="AY253" s="52"/>
      <c r="AZ253" s="52"/>
    </row>
    <row r="254" spans="1:52" ht="110.25" customHeight="1" x14ac:dyDescent="0.25">
      <c r="A254" s="46" t="s">
        <v>1689</v>
      </c>
      <c r="B254" s="46" t="s">
        <v>1690</v>
      </c>
      <c r="C254" s="46" t="s">
        <v>1691</v>
      </c>
      <c r="D254" s="46">
        <v>2022</v>
      </c>
      <c r="E254" s="47" t="s">
        <v>1692</v>
      </c>
      <c r="F254" s="46">
        <v>890990</v>
      </c>
      <c r="G254" s="46">
        <v>896280</v>
      </c>
      <c r="H254" s="46" t="s">
        <v>463</v>
      </c>
      <c r="I254" s="46" t="s">
        <v>1689</v>
      </c>
      <c r="J254" s="65">
        <v>3.934027777777778E-2</v>
      </c>
      <c r="K254" s="46" t="s">
        <v>79</v>
      </c>
      <c r="L254" s="46" t="s">
        <v>1693</v>
      </c>
      <c r="M254" s="46" t="s">
        <v>1694</v>
      </c>
      <c r="N254" s="46" t="s">
        <v>97</v>
      </c>
      <c r="O254" s="46" t="s">
        <v>98</v>
      </c>
      <c r="P254" s="46" t="s">
        <v>64</v>
      </c>
      <c r="Q254" s="46">
        <v>3</v>
      </c>
      <c r="R254" s="46" t="s">
        <v>99</v>
      </c>
      <c r="S254" s="46" t="s">
        <v>84</v>
      </c>
      <c r="T254" s="46" t="s">
        <v>85</v>
      </c>
      <c r="U254" s="46" t="s">
        <v>68</v>
      </c>
      <c r="V254" s="46" t="s">
        <v>86</v>
      </c>
      <c r="W254" s="46" t="s">
        <v>100</v>
      </c>
      <c r="X254" s="48" t="s">
        <v>1695</v>
      </c>
      <c r="Y254" s="48" t="s">
        <v>72</v>
      </c>
      <c r="Z254" s="48" t="s">
        <v>1696</v>
      </c>
      <c r="AA254" s="29">
        <v>1</v>
      </c>
      <c r="AB254" s="30"/>
      <c r="AC254" s="38"/>
      <c r="AD254" s="29"/>
      <c r="AE254" s="39"/>
      <c r="AF254" s="40"/>
      <c r="AG254" s="32"/>
      <c r="AH254" s="33"/>
      <c r="AI254" s="32"/>
      <c r="AJ254" s="33"/>
      <c r="AK254" s="32"/>
      <c r="AL254" s="33"/>
      <c r="AM254" s="32"/>
      <c r="AN254" s="33"/>
      <c r="AO254" s="34"/>
      <c r="AP254" s="35"/>
      <c r="AQ254" s="34"/>
      <c r="AR254" s="35"/>
      <c r="AS254" s="34"/>
      <c r="AT254" s="35"/>
      <c r="AU254" s="36"/>
      <c r="AV254" s="37"/>
      <c r="AW254" s="36"/>
      <c r="AX254" s="52">
        <f t="shared" si="6"/>
        <v>0</v>
      </c>
      <c r="AY254" s="52"/>
      <c r="AZ254" s="52"/>
    </row>
    <row r="255" spans="1:52" ht="110.25" customHeight="1" x14ac:dyDescent="0.25">
      <c r="A255" s="49" t="s">
        <v>1697</v>
      </c>
      <c r="B255" s="49" t="s">
        <v>1698</v>
      </c>
      <c r="C255" s="49" t="s">
        <v>1699</v>
      </c>
      <c r="D255" s="49">
        <v>2019</v>
      </c>
      <c r="E255" s="50" t="s">
        <v>1700</v>
      </c>
      <c r="F255" s="49">
        <v>731116</v>
      </c>
      <c r="G255" s="49">
        <v>735407</v>
      </c>
      <c r="H255" s="49" t="s">
        <v>1701</v>
      </c>
      <c r="I255" s="49" t="s">
        <v>1697</v>
      </c>
      <c r="J255" s="64">
        <v>2.2870370370370371E-2</v>
      </c>
      <c r="K255" s="49" t="s">
        <v>59</v>
      </c>
      <c r="L255" s="49" t="s">
        <v>1702</v>
      </c>
      <c r="M255" s="49" t="s">
        <v>1703</v>
      </c>
      <c r="N255" s="49" t="s">
        <v>1157</v>
      </c>
      <c r="O255" s="49" t="s">
        <v>98</v>
      </c>
      <c r="P255" s="49" t="s">
        <v>120</v>
      </c>
      <c r="Q255" s="49">
        <v>2</v>
      </c>
      <c r="R255" s="49" t="s">
        <v>83</v>
      </c>
      <c r="S255" s="49" t="s">
        <v>66</v>
      </c>
      <c r="T255" s="49" t="s">
        <v>85</v>
      </c>
      <c r="U255" s="49" t="s">
        <v>394</v>
      </c>
      <c r="V255" s="49" t="s">
        <v>510</v>
      </c>
      <c r="W255" s="49" t="s">
        <v>123</v>
      </c>
      <c r="X255" s="51" t="s">
        <v>1704</v>
      </c>
      <c r="Y255" s="51" t="s">
        <v>72</v>
      </c>
      <c r="Z255" s="51" t="s">
        <v>1705</v>
      </c>
      <c r="AA255" s="29"/>
      <c r="AB255" s="30"/>
      <c r="AC255" s="38"/>
      <c r="AD255" s="29"/>
      <c r="AE255" s="39">
        <v>1</v>
      </c>
      <c r="AF255" s="40">
        <v>1</v>
      </c>
      <c r="AG255" s="32">
        <v>1</v>
      </c>
      <c r="AH255" s="33"/>
      <c r="AI255" s="32"/>
      <c r="AJ255" s="33"/>
      <c r="AK255" s="32"/>
      <c r="AL255" s="33"/>
      <c r="AM255" s="32"/>
      <c r="AN255" s="33">
        <v>1</v>
      </c>
      <c r="AO255" s="34"/>
      <c r="AP255" s="35"/>
      <c r="AQ255" s="34"/>
      <c r="AR255" s="35"/>
      <c r="AS255" s="34"/>
      <c r="AT255" s="35"/>
      <c r="AU255" s="36"/>
      <c r="AV255" s="37"/>
      <c r="AW255" s="36"/>
      <c r="AX255" s="52">
        <f t="shared" si="6"/>
        <v>1</v>
      </c>
      <c r="AY255" s="52"/>
      <c r="AZ255" s="52"/>
    </row>
    <row r="256" spans="1:52" ht="110.25" customHeight="1" x14ac:dyDescent="0.25">
      <c r="A256" s="46" t="s">
        <v>1697</v>
      </c>
      <c r="B256" s="46" t="s">
        <v>1706</v>
      </c>
      <c r="C256" s="46" t="s">
        <v>1699</v>
      </c>
      <c r="D256" s="46">
        <v>2019</v>
      </c>
      <c r="E256" s="47" t="s">
        <v>1707</v>
      </c>
      <c r="F256" s="46">
        <v>953878</v>
      </c>
      <c r="G256" s="46">
        <v>955472</v>
      </c>
      <c r="H256" s="46" t="s">
        <v>1701</v>
      </c>
      <c r="I256" s="46" t="s">
        <v>1697</v>
      </c>
      <c r="J256" s="65">
        <v>2.2870370370370371E-2</v>
      </c>
      <c r="K256" s="46" t="s">
        <v>59</v>
      </c>
      <c r="L256" s="46" t="s">
        <v>1702</v>
      </c>
      <c r="M256" s="46" t="s">
        <v>1703</v>
      </c>
      <c r="N256" s="46" t="s">
        <v>1157</v>
      </c>
      <c r="O256" s="46" t="s">
        <v>98</v>
      </c>
      <c r="P256" s="46" t="s">
        <v>120</v>
      </c>
      <c r="Q256" s="46">
        <v>2</v>
      </c>
      <c r="R256" s="46" t="s">
        <v>83</v>
      </c>
      <c r="S256" s="46" t="s">
        <v>66</v>
      </c>
      <c r="T256" s="46" t="s">
        <v>85</v>
      </c>
      <c r="U256" s="46" t="s">
        <v>394</v>
      </c>
      <c r="V256" s="46" t="s">
        <v>510</v>
      </c>
      <c r="W256" s="46" t="s">
        <v>123</v>
      </c>
      <c r="X256" s="48" t="s">
        <v>1708</v>
      </c>
      <c r="Y256" s="48" t="s">
        <v>72</v>
      </c>
      <c r="Z256" s="48" t="s">
        <v>1709</v>
      </c>
      <c r="AA256" s="29"/>
      <c r="AB256" s="30"/>
      <c r="AC256" s="38"/>
      <c r="AD256" s="29"/>
      <c r="AE256" s="39">
        <v>1</v>
      </c>
      <c r="AF256" s="40"/>
      <c r="AG256" s="32"/>
      <c r="AH256" s="33"/>
      <c r="AI256" s="32"/>
      <c r="AJ256" s="33"/>
      <c r="AK256" s="32"/>
      <c r="AL256" s="33"/>
      <c r="AM256" s="32"/>
      <c r="AN256" s="33"/>
      <c r="AO256" s="34"/>
      <c r="AP256" s="35"/>
      <c r="AQ256" s="34"/>
      <c r="AR256" s="35"/>
      <c r="AS256" s="34"/>
      <c r="AT256" s="35"/>
      <c r="AU256" s="36"/>
      <c r="AV256" s="37"/>
      <c r="AW256" s="36"/>
      <c r="AX256" s="52">
        <f t="shared" si="6"/>
        <v>0</v>
      </c>
      <c r="AY256" s="52"/>
      <c r="AZ256" s="52"/>
    </row>
    <row r="257" spans="1:52" ht="110.25" customHeight="1" x14ac:dyDescent="0.25">
      <c r="A257" s="49" t="s">
        <v>1697</v>
      </c>
      <c r="B257" s="49" t="s">
        <v>1710</v>
      </c>
      <c r="C257" s="49" t="s">
        <v>1699</v>
      </c>
      <c r="D257" s="49">
        <v>2019</v>
      </c>
      <c r="E257" s="50" t="s">
        <v>1711</v>
      </c>
      <c r="F257" s="49">
        <v>1074024</v>
      </c>
      <c r="G257" s="49">
        <v>1077471</v>
      </c>
      <c r="H257" s="49" t="s">
        <v>1701</v>
      </c>
      <c r="I257" s="49" t="s">
        <v>1697</v>
      </c>
      <c r="J257" s="64">
        <v>2.2870370370370371E-2</v>
      </c>
      <c r="K257" s="49" t="s">
        <v>59</v>
      </c>
      <c r="L257" s="49" t="s">
        <v>1702</v>
      </c>
      <c r="M257" s="49" t="s">
        <v>1703</v>
      </c>
      <c r="N257" s="49" t="s">
        <v>1157</v>
      </c>
      <c r="O257" s="49" t="s">
        <v>98</v>
      </c>
      <c r="P257" s="49" t="s">
        <v>120</v>
      </c>
      <c r="Q257" s="49">
        <v>2</v>
      </c>
      <c r="R257" s="49" t="s">
        <v>83</v>
      </c>
      <c r="S257" s="49" t="s">
        <v>66</v>
      </c>
      <c r="T257" s="49" t="s">
        <v>85</v>
      </c>
      <c r="U257" s="49" t="s">
        <v>394</v>
      </c>
      <c r="V257" s="49" t="s">
        <v>510</v>
      </c>
      <c r="W257" s="49" t="s">
        <v>123</v>
      </c>
      <c r="X257" s="51" t="s">
        <v>1712</v>
      </c>
      <c r="Y257" s="51" t="s">
        <v>72</v>
      </c>
      <c r="Z257" s="51" t="s">
        <v>1713</v>
      </c>
      <c r="AA257" s="29">
        <v>1</v>
      </c>
      <c r="AB257" s="30"/>
      <c r="AC257" s="38"/>
      <c r="AD257" s="29"/>
      <c r="AE257" s="39"/>
      <c r="AF257" s="40"/>
      <c r="AG257" s="32"/>
      <c r="AH257" s="33"/>
      <c r="AI257" s="32"/>
      <c r="AJ257" s="33"/>
      <c r="AK257" s="32"/>
      <c r="AL257" s="33"/>
      <c r="AM257" s="32"/>
      <c r="AN257" s="33"/>
      <c r="AO257" s="34"/>
      <c r="AP257" s="35"/>
      <c r="AQ257" s="34"/>
      <c r="AR257" s="35"/>
      <c r="AS257" s="34"/>
      <c r="AT257" s="35"/>
      <c r="AU257" s="36"/>
      <c r="AV257" s="37"/>
      <c r="AW257" s="36"/>
      <c r="AX257" s="52">
        <f t="shared" si="6"/>
        <v>0</v>
      </c>
      <c r="AY257" s="52"/>
      <c r="AZ257" s="52"/>
    </row>
    <row r="258" spans="1:52" ht="110.25" customHeight="1" x14ac:dyDescent="0.25">
      <c r="A258" s="46" t="s">
        <v>1697</v>
      </c>
      <c r="B258" s="46" t="s">
        <v>1714</v>
      </c>
      <c r="C258" s="46" t="s">
        <v>1699</v>
      </c>
      <c r="D258" s="46">
        <v>2019</v>
      </c>
      <c r="E258" s="47" t="s">
        <v>1715</v>
      </c>
      <c r="F258" s="46">
        <v>1081545</v>
      </c>
      <c r="G258" s="46">
        <v>1083138</v>
      </c>
      <c r="H258" s="46" t="s">
        <v>1701</v>
      </c>
      <c r="I258" s="46" t="s">
        <v>1697</v>
      </c>
      <c r="J258" s="65">
        <v>2.2870370370370371E-2</v>
      </c>
      <c r="K258" s="46" t="s">
        <v>59</v>
      </c>
      <c r="L258" s="46" t="s">
        <v>1702</v>
      </c>
      <c r="M258" s="46" t="s">
        <v>1703</v>
      </c>
      <c r="N258" s="46" t="s">
        <v>1157</v>
      </c>
      <c r="O258" s="46" t="s">
        <v>98</v>
      </c>
      <c r="P258" s="46" t="s">
        <v>120</v>
      </c>
      <c r="Q258" s="46">
        <v>2</v>
      </c>
      <c r="R258" s="46" t="s">
        <v>83</v>
      </c>
      <c r="S258" s="46" t="s">
        <v>66</v>
      </c>
      <c r="T258" s="46" t="s">
        <v>85</v>
      </c>
      <c r="U258" s="46" t="s">
        <v>394</v>
      </c>
      <c r="V258" s="46" t="s">
        <v>510</v>
      </c>
      <c r="W258" s="46" t="s">
        <v>123</v>
      </c>
      <c r="X258" s="48" t="s">
        <v>1716</v>
      </c>
      <c r="Y258" s="48" t="s">
        <v>72</v>
      </c>
      <c r="Z258" s="48" t="s">
        <v>1717</v>
      </c>
      <c r="AA258" s="29"/>
      <c r="AB258" s="30"/>
      <c r="AC258" s="38"/>
      <c r="AD258" s="29"/>
      <c r="AE258" s="39">
        <v>1</v>
      </c>
      <c r="AF258" s="40"/>
      <c r="AG258" s="32"/>
      <c r="AH258" s="33"/>
      <c r="AI258" s="32"/>
      <c r="AJ258" s="33"/>
      <c r="AK258" s="32"/>
      <c r="AL258" s="33"/>
      <c r="AM258" s="32"/>
      <c r="AN258" s="33"/>
      <c r="AO258" s="34"/>
      <c r="AP258" s="35"/>
      <c r="AQ258" s="34"/>
      <c r="AR258" s="35"/>
      <c r="AS258" s="34"/>
      <c r="AT258" s="35"/>
      <c r="AU258" s="36"/>
      <c r="AV258" s="37">
        <v>1</v>
      </c>
      <c r="AW258" s="36"/>
      <c r="AX258" s="52">
        <f t="shared" si="6"/>
        <v>0</v>
      </c>
      <c r="AY258" s="52"/>
      <c r="AZ258" s="52"/>
    </row>
    <row r="259" spans="1:52" ht="110.25" customHeight="1" x14ac:dyDescent="0.25">
      <c r="A259" s="49" t="s">
        <v>1697</v>
      </c>
      <c r="B259" s="49" t="s">
        <v>1718</v>
      </c>
      <c r="C259" s="49" t="s">
        <v>1699</v>
      </c>
      <c r="D259" s="49">
        <v>2019</v>
      </c>
      <c r="E259" s="50" t="s">
        <v>1719</v>
      </c>
      <c r="F259" s="49">
        <v>1087928</v>
      </c>
      <c r="G259" s="49">
        <v>1089251</v>
      </c>
      <c r="H259" s="49" t="s">
        <v>1701</v>
      </c>
      <c r="I259" s="49" t="s">
        <v>1697</v>
      </c>
      <c r="J259" s="64">
        <v>2.2870370370370371E-2</v>
      </c>
      <c r="K259" s="49" t="s">
        <v>59</v>
      </c>
      <c r="L259" s="49" t="s">
        <v>1702</v>
      </c>
      <c r="M259" s="49" t="s">
        <v>1703</v>
      </c>
      <c r="N259" s="49" t="s">
        <v>1157</v>
      </c>
      <c r="O259" s="49" t="s">
        <v>98</v>
      </c>
      <c r="P259" s="49" t="s">
        <v>120</v>
      </c>
      <c r="Q259" s="49">
        <v>2</v>
      </c>
      <c r="R259" s="49" t="s">
        <v>83</v>
      </c>
      <c r="S259" s="49" t="s">
        <v>66</v>
      </c>
      <c r="T259" s="49" t="s">
        <v>85</v>
      </c>
      <c r="U259" s="49" t="s">
        <v>394</v>
      </c>
      <c r="V259" s="49" t="s">
        <v>510</v>
      </c>
      <c r="W259" s="49" t="s">
        <v>123</v>
      </c>
      <c r="X259" s="51" t="s">
        <v>1720</v>
      </c>
      <c r="Y259" s="51" t="s">
        <v>72</v>
      </c>
      <c r="Z259" s="51" t="s">
        <v>1721</v>
      </c>
      <c r="AA259" s="29"/>
      <c r="AB259" s="30"/>
      <c r="AC259" s="38"/>
      <c r="AD259" s="29"/>
      <c r="AE259" s="39">
        <v>1</v>
      </c>
      <c r="AF259" s="40"/>
      <c r="AG259" s="32"/>
      <c r="AH259" s="33"/>
      <c r="AI259" s="32"/>
      <c r="AJ259" s="33"/>
      <c r="AK259" s="32"/>
      <c r="AL259" s="33"/>
      <c r="AM259" s="32"/>
      <c r="AN259" s="33"/>
      <c r="AO259" s="34"/>
      <c r="AP259" s="35"/>
      <c r="AQ259" s="34"/>
      <c r="AR259" s="35"/>
      <c r="AS259" s="34"/>
      <c r="AT259" s="35"/>
      <c r="AU259" s="36"/>
      <c r="AV259" s="37">
        <v>1</v>
      </c>
      <c r="AW259" s="36"/>
      <c r="AX259" s="52">
        <f t="shared" si="6"/>
        <v>0</v>
      </c>
      <c r="AY259" s="52"/>
      <c r="AZ259" s="52"/>
    </row>
    <row r="260" spans="1:52" ht="110.25" customHeight="1" x14ac:dyDescent="0.25">
      <c r="A260" s="46" t="s">
        <v>1697</v>
      </c>
      <c r="B260" s="46" t="s">
        <v>1722</v>
      </c>
      <c r="C260" s="46" t="s">
        <v>1699</v>
      </c>
      <c r="D260" s="46">
        <v>2019</v>
      </c>
      <c r="E260" s="47" t="s">
        <v>1723</v>
      </c>
      <c r="F260" s="46">
        <v>1143185</v>
      </c>
      <c r="G260" s="46">
        <v>1145944</v>
      </c>
      <c r="H260" s="46" t="s">
        <v>1701</v>
      </c>
      <c r="I260" s="46" t="s">
        <v>1697</v>
      </c>
      <c r="J260" s="65">
        <v>2.2870370370370371E-2</v>
      </c>
      <c r="K260" s="46" t="s">
        <v>59</v>
      </c>
      <c r="L260" s="46" t="s">
        <v>1702</v>
      </c>
      <c r="M260" s="46" t="s">
        <v>1703</v>
      </c>
      <c r="N260" s="46" t="s">
        <v>1157</v>
      </c>
      <c r="O260" s="46" t="s">
        <v>98</v>
      </c>
      <c r="P260" s="46" t="s">
        <v>120</v>
      </c>
      <c r="Q260" s="46">
        <v>2</v>
      </c>
      <c r="R260" s="46" t="s">
        <v>83</v>
      </c>
      <c r="S260" s="46" t="s">
        <v>66</v>
      </c>
      <c r="T260" s="46" t="s">
        <v>85</v>
      </c>
      <c r="U260" s="46" t="s">
        <v>394</v>
      </c>
      <c r="V260" s="46" t="s">
        <v>510</v>
      </c>
      <c r="W260" s="46" t="s">
        <v>123</v>
      </c>
      <c r="X260" s="48" t="s">
        <v>1724</v>
      </c>
      <c r="Y260" s="48" t="s">
        <v>72</v>
      </c>
      <c r="Z260" s="48" t="s">
        <v>1725</v>
      </c>
      <c r="AA260" s="29"/>
      <c r="AB260" s="30"/>
      <c r="AC260" s="38"/>
      <c r="AD260" s="29"/>
      <c r="AE260" s="39">
        <v>1</v>
      </c>
      <c r="AF260" s="40"/>
      <c r="AG260" s="32"/>
      <c r="AH260" s="33"/>
      <c r="AI260" s="32"/>
      <c r="AJ260" s="33"/>
      <c r="AK260" s="32"/>
      <c r="AL260" s="33"/>
      <c r="AM260" s="32"/>
      <c r="AN260" s="33"/>
      <c r="AO260" s="34"/>
      <c r="AP260" s="35"/>
      <c r="AQ260" s="34"/>
      <c r="AR260" s="35"/>
      <c r="AS260" s="34"/>
      <c r="AT260" s="35"/>
      <c r="AU260" s="36"/>
      <c r="AV260" s="37">
        <v>1</v>
      </c>
      <c r="AW260" s="36"/>
      <c r="AX260" s="52">
        <f t="shared" si="6"/>
        <v>0</v>
      </c>
      <c r="AY260" s="52"/>
      <c r="AZ260" s="52"/>
    </row>
    <row r="261" spans="1:52" ht="110.25" customHeight="1" x14ac:dyDescent="0.25">
      <c r="A261" s="49" t="s">
        <v>1697</v>
      </c>
      <c r="B261" s="49" t="s">
        <v>1726</v>
      </c>
      <c r="C261" s="49" t="s">
        <v>1699</v>
      </c>
      <c r="D261" s="49">
        <v>2019</v>
      </c>
      <c r="E261" s="49" t="s">
        <v>1727</v>
      </c>
      <c r="F261" s="49">
        <v>1193054</v>
      </c>
      <c r="G261" s="49">
        <v>1194541</v>
      </c>
      <c r="H261" s="49" t="s">
        <v>1701</v>
      </c>
      <c r="I261" s="49" t="s">
        <v>1697</v>
      </c>
      <c r="J261" s="64">
        <v>2.2870370370370371E-2</v>
      </c>
      <c r="K261" s="49" t="s">
        <v>59</v>
      </c>
      <c r="L261" s="49" t="s">
        <v>1702</v>
      </c>
      <c r="M261" s="49" t="s">
        <v>1703</v>
      </c>
      <c r="N261" s="49" t="s">
        <v>1157</v>
      </c>
      <c r="O261" s="49" t="s">
        <v>98</v>
      </c>
      <c r="P261" s="49" t="s">
        <v>120</v>
      </c>
      <c r="Q261" s="49">
        <v>2</v>
      </c>
      <c r="R261" s="49" t="s">
        <v>83</v>
      </c>
      <c r="S261" s="49" t="s">
        <v>66</v>
      </c>
      <c r="T261" s="49" t="s">
        <v>85</v>
      </c>
      <c r="U261" s="49" t="s">
        <v>394</v>
      </c>
      <c r="V261" s="49" t="s">
        <v>510</v>
      </c>
      <c r="W261" s="49" t="s">
        <v>123</v>
      </c>
      <c r="X261" s="51" t="s">
        <v>1728</v>
      </c>
      <c r="Y261" s="51" t="s">
        <v>72</v>
      </c>
      <c r="Z261" s="51" t="s">
        <v>1729</v>
      </c>
      <c r="AA261" s="29">
        <v>1</v>
      </c>
      <c r="AB261" s="30"/>
      <c r="AC261" s="38"/>
      <c r="AD261" s="29"/>
      <c r="AE261" s="39"/>
      <c r="AF261" s="40"/>
      <c r="AG261" s="32"/>
      <c r="AH261" s="33"/>
      <c r="AI261" s="32"/>
      <c r="AJ261" s="33"/>
      <c r="AK261" s="32"/>
      <c r="AL261" s="33"/>
      <c r="AM261" s="32"/>
      <c r="AN261" s="33"/>
      <c r="AO261" s="34"/>
      <c r="AP261" s="35"/>
      <c r="AQ261" s="34"/>
      <c r="AR261" s="35"/>
      <c r="AS261" s="34"/>
      <c r="AT261" s="35"/>
      <c r="AU261" s="36"/>
      <c r="AV261" s="37"/>
      <c r="AW261" s="36"/>
      <c r="AX261" s="52">
        <f t="shared" si="6"/>
        <v>0</v>
      </c>
      <c r="AY261" s="52"/>
      <c r="AZ261" s="52"/>
    </row>
    <row r="262" spans="1:52" ht="110.25" customHeight="1" x14ac:dyDescent="0.25">
      <c r="A262" s="46" t="s">
        <v>1697</v>
      </c>
      <c r="B262" s="46" t="s">
        <v>1730</v>
      </c>
      <c r="C262" s="46" t="s">
        <v>1699</v>
      </c>
      <c r="D262" s="46">
        <v>2019</v>
      </c>
      <c r="E262" s="46" t="s">
        <v>1731</v>
      </c>
      <c r="F262" s="46">
        <v>1430245</v>
      </c>
      <c r="G262" s="46">
        <v>1434206</v>
      </c>
      <c r="H262" s="46" t="s">
        <v>1701</v>
      </c>
      <c r="I262" s="46" t="s">
        <v>1697</v>
      </c>
      <c r="J262" s="65">
        <v>2.2870370370370371E-2</v>
      </c>
      <c r="K262" s="46" t="s">
        <v>59</v>
      </c>
      <c r="L262" s="46" t="s">
        <v>1702</v>
      </c>
      <c r="M262" s="46" t="s">
        <v>1703</v>
      </c>
      <c r="N262" s="46" t="s">
        <v>1157</v>
      </c>
      <c r="O262" s="46" t="s">
        <v>98</v>
      </c>
      <c r="P262" s="46" t="s">
        <v>120</v>
      </c>
      <c r="Q262" s="46">
        <v>2</v>
      </c>
      <c r="R262" s="46" t="s">
        <v>83</v>
      </c>
      <c r="S262" s="46" t="s">
        <v>66</v>
      </c>
      <c r="T262" s="46" t="s">
        <v>85</v>
      </c>
      <c r="U262" s="46" t="s">
        <v>394</v>
      </c>
      <c r="V262" s="46" t="s">
        <v>510</v>
      </c>
      <c r="W262" s="46" t="s">
        <v>123</v>
      </c>
      <c r="X262" s="48" t="s">
        <v>1732</v>
      </c>
      <c r="Y262" s="48" t="s">
        <v>72</v>
      </c>
      <c r="Z262" s="48" t="s">
        <v>1733</v>
      </c>
      <c r="AA262" s="29">
        <v>1</v>
      </c>
      <c r="AB262" s="30"/>
      <c r="AC262" s="38"/>
      <c r="AD262" s="29"/>
      <c r="AE262" s="39"/>
      <c r="AF262" s="40"/>
      <c r="AG262" s="32"/>
      <c r="AH262" s="33"/>
      <c r="AI262" s="32"/>
      <c r="AJ262" s="33"/>
      <c r="AK262" s="32"/>
      <c r="AL262" s="33"/>
      <c r="AM262" s="32"/>
      <c r="AN262" s="33"/>
      <c r="AO262" s="34"/>
      <c r="AP262" s="35"/>
      <c r="AQ262" s="34"/>
      <c r="AR262" s="35"/>
      <c r="AS262" s="34"/>
      <c r="AT262" s="35"/>
      <c r="AU262" s="36"/>
      <c r="AV262" s="37"/>
      <c r="AW262" s="36"/>
      <c r="AX262" s="52">
        <f t="shared" si="6"/>
        <v>0</v>
      </c>
      <c r="AY262" s="52"/>
      <c r="AZ262" s="52"/>
    </row>
    <row r="263" spans="1:52" ht="110.25" customHeight="1" x14ac:dyDescent="0.25">
      <c r="A263" s="49" t="s">
        <v>1697</v>
      </c>
      <c r="B263" s="49" t="s">
        <v>1734</v>
      </c>
      <c r="C263" s="49" t="s">
        <v>1699</v>
      </c>
      <c r="D263" s="49">
        <v>2019</v>
      </c>
      <c r="E263" s="50" t="s">
        <v>1735</v>
      </c>
      <c r="F263" s="49">
        <v>1744780</v>
      </c>
      <c r="G263" s="49">
        <v>1746645</v>
      </c>
      <c r="H263" s="49" t="s">
        <v>1701</v>
      </c>
      <c r="I263" s="49" t="s">
        <v>1697</v>
      </c>
      <c r="J263" s="64">
        <v>2.2870370370370371E-2</v>
      </c>
      <c r="K263" s="49" t="s">
        <v>59</v>
      </c>
      <c r="L263" s="49" t="s">
        <v>1702</v>
      </c>
      <c r="M263" s="49" t="s">
        <v>1703</v>
      </c>
      <c r="N263" s="49" t="s">
        <v>1157</v>
      </c>
      <c r="O263" s="49" t="s">
        <v>98</v>
      </c>
      <c r="P263" s="49" t="s">
        <v>120</v>
      </c>
      <c r="Q263" s="49">
        <v>2</v>
      </c>
      <c r="R263" s="49" t="s">
        <v>83</v>
      </c>
      <c r="S263" s="49" t="s">
        <v>66</v>
      </c>
      <c r="T263" s="49" t="s">
        <v>85</v>
      </c>
      <c r="U263" s="49" t="s">
        <v>394</v>
      </c>
      <c r="V263" s="49" t="s">
        <v>510</v>
      </c>
      <c r="W263" s="49" t="s">
        <v>123</v>
      </c>
      <c r="X263" s="51" t="s">
        <v>1736</v>
      </c>
      <c r="Y263" s="51" t="s">
        <v>72</v>
      </c>
      <c r="Z263" s="51" t="s">
        <v>1737</v>
      </c>
      <c r="AA263" s="29"/>
      <c r="AB263" s="30"/>
      <c r="AC263" s="38"/>
      <c r="AD263" s="29"/>
      <c r="AE263" s="39">
        <v>1</v>
      </c>
      <c r="AF263" s="40"/>
      <c r="AG263" s="32">
        <v>1</v>
      </c>
      <c r="AH263" s="33"/>
      <c r="AI263" s="32"/>
      <c r="AJ263" s="33"/>
      <c r="AK263" s="32"/>
      <c r="AL263" s="33"/>
      <c r="AM263" s="32"/>
      <c r="AN263" s="33"/>
      <c r="AO263" s="34"/>
      <c r="AP263" s="35"/>
      <c r="AQ263" s="34"/>
      <c r="AR263" s="35"/>
      <c r="AS263" s="34"/>
      <c r="AT263" s="35"/>
      <c r="AU263" s="36"/>
      <c r="AV263" s="37"/>
      <c r="AW263" s="36"/>
      <c r="AX263" s="52">
        <f t="shared" si="6"/>
        <v>0</v>
      </c>
      <c r="AY263" s="52"/>
      <c r="AZ263" s="52"/>
    </row>
    <row r="264" spans="1:52" ht="110.25" customHeight="1" x14ac:dyDescent="0.25">
      <c r="A264" s="46" t="s">
        <v>1697</v>
      </c>
      <c r="B264" s="46" t="s">
        <v>1738</v>
      </c>
      <c r="C264" s="46" t="s">
        <v>1699</v>
      </c>
      <c r="D264" s="46">
        <v>2019</v>
      </c>
      <c r="E264" s="47" t="s">
        <v>1739</v>
      </c>
      <c r="F264" s="46">
        <v>1755256</v>
      </c>
      <c r="G264" s="46">
        <v>1757535</v>
      </c>
      <c r="H264" s="46" t="s">
        <v>1701</v>
      </c>
      <c r="I264" s="46" t="s">
        <v>1697</v>
      </c>
      <c r="J264" s="65">
        <v>2.2870370370370371E-2</v>
      </c>
      <c r="K264" s="46" t="s">
        <v>59</v>
      </c>
      <c r="L264" s="46" t="s">
        <v>1702</v>
      </c>
      <c r="M264" s="46" t="s">
        <v>1703</v>
      </c>
      <c r="N264" s="46" t="s">
        <v>1157</v>
      </c>
      <c r="O264" s="46" t="s">
        <v>98</v>
      </c>
      <c r="P264" s="46" t="s">
        <v>120</v>
      </c>
      <c r="Q264" s="46">
        <v>2</v>
      </c>
      <c r="R264" s="46" t="s">
        <v>83</v>
      </c>
      <c r="S264" s="46" t="s">
        <v>66</v>
      </c>
      <c r="T264" s="46" t="s">
        <v>85</v>
      </c>
      <c r="U264" s="46" t="s">
        <v>394</v>
      </c>
      <c r="V264" s="46" t="s">
        <v>510</v>
      </c>
      <c r="W264" s="46" t="s">
        <v>123</v>
      </c>
      <c r="X264" s="48" t="s">
        <v>1740</v>
      </c>
      <c r="Y264" s="48" t="s">
        <v>72</v>
      </c>
      <c r="Z264" s="48" t="s">
        <v>1741</v>
      </c>
      <c r="AA264" s="29"/>
      <c r="AB264" s="30"/>
      <c r="AC264" s="38"/>
      <c r="AD264" s="29"/>
      <c r="AE264" s="39">
        <v>1</v>
      </c>
      <c r="AF264" s="40">
        <v>1</v>
      </c>
      <c r="AG264" s="32"/>
      <c r="AH264" s="33"/>
      <c r="AI264" s="32"/>
      <c r="AJ264" s="33"/>
      <c r="AK264" s="32"/>
      <c r="AL264" s="33"/>
      <c r="AM264" s="32"/>
      <c r="AN264" s="33"/>
      <c r="AO264" s="34"/>
      <c r="AP264" s="35"/>
      <c r="AQ264" s="34">
        <v>1</v>
      </c>
      <c r="AR264" s="35"/>
      <c r="AS264" s="34"/>
      <c r="AT264" s="35"/>
      <c r="AU264" s="36"/>
      <c r="AV264" s="37"/>
      <c r="AW264" s="36"/>
      <c r="AX264" s="52">
        <f t="shared" si="6"/>
        <v>0</v>
      </c>
      <c r="AY264" s="52"/>
      <c r="AZ264" s="52"/>
    </row>
    <row r="265" spans="1:52" ht="110.25" customHeight="1" x14ac:dyDescent="0.25">
      <c r="A265" s="49" t="s">
        <v>1697</v>
      </c>
      <c r="B265" s="49" t="s">
        <v>1742</v>
      </c>
      <c r="C265" s="49" t="s">
        <v>1699</v>
      </c>
      <c r="D265" s="49">
        <v>2019</v>
      </c>
      <c r="E265" s="50" t="s">
        <v>1743</v>
      </c>
      <c r="F265" s="49">
        <v>1778957</v>
      </c>
      <c r="G265" s="49">
        <v>1782829</v>
      </c>
      <c r="H265" s="49" t="s">
        <v>1701</v>
      </c>
      <c r="I265" s="49" t="s">
        <v>1697</v>
      </c>
      <c r="J265" s="64">
        <v>2.2870370370370371E-2</v>
      </c>
      <c r="K265" s="49" t="s">
        <v>59</v>
      </c>
      <c r="L265" s="49" t="s">
        <v>1702</v>
      </c>
      <c r="M265" s="49" t="s">
        <v>1703</v>
      </c>
      <c r="N265" s="49" t="s">
        <v>1157</v>
      </c>
      <c r="O265" s="49" t="s">
        <v>98</v>
      </c>
      <c r="P265" s="49" t="s">
        <v>120</v>
      </c>
      <c r="Q265" s="49">
        <v>2</v>
      </c>
      <c r="R265" s="49" t="s">
        <v>83</v>
      </c>
      <c r="S265" s="49" t="s">
        <v>66</v>
      </c>
      <c r="T265" s="49" t="s">
        <v>85</v>
      </c>
      <c r="U265" s="49" t="s">
        <v>394</v>
      </c>
      <c r="V265" s="49" t="s">
        <v>510</v>
      </c>
      <c r="W265" s="49" t="s">
        <v>123</v>
      </c>
      <c r="X265" s="51" t="s">
        <v>1744</v>
      </c>
      <c r="Y265" s="51" t="s">
        <v>72</v>
      </c>
      <c r="Z265" s="51" t="s">
        <v>1745</v>
      </c>
      <c r="AA265" s="29"/>
      <c r="AB265" s="30"/>
      <c r="AC265" s="38"/>
      <c r="AD265" s="29"/>
      <c r="AE265" s="39">
        <v>1</v>
      </c>
      <c r="AF265" s="40"/>
      <c r="AG265" s="32">
        <v>1</v>
      </c>
      <c r="AH265" s="33"/>
      <c r="AI265" s="32"/>
      <c r="AJ265" s="33"/>
      <c r="AK265" s="32"/>
      <c r="AL265" s="33"/>
      <c r="AM265" s="32"/>
      <c r="AN265" s="33"/>
      <c r="AO265" s="34"/>
      <c r="AP265" s="35"/>
      <c r="AQ265" s="34"/>
      <c r="AR265" s="35"/>
      <c r="AS265" s="34"/>
      <c r="AT265" s="35"/>
      <c r="AU265" s="36"/>
      <c r="AV265" s="37">
        <v>1</v>
      </c>
      <c r="AW265" s="36"/>
      <c r="AX265" s="52">
        <f t="shared" si="6"/>
        <v>1</v>
      </c>
      <c r="AY265" s="52"/>
      <c r="AZ265" s="52"/>
    </row>
    <row r="266" spans="1:52" ht="110.25" customHeight="1" x14ac:dyDescent="0.25">
      <c r="A266" s="46" t="s">
        <v>1697</v>
      </c>
      <c r="B266" s="46" t="s">
        <v>1746</v>
      </c>
      <c r="C266" s="46" t="s">
        <v>1699</v>
      </c>
      <c r="D266" s="46">
        <v>2019</v>
      </c>
      <c r="E266" s="47" t="s">
        <v>1747</v>
      </c>
      <c r="F266" s="46">
        <v>1797587</v>
      </c>
      <c r="G266" s="46">
        <v>1799823</v>
      </c>
      <c r="H266" s="46" t="s">
        <v>1701</v>
      </c>
      <c r="I266" s="46" t="s">
        <v>1697</v>
      </c>
      <c r="J266" s="65">
        <v>2.2870370370370371E-2</v>
      </c>
      <c r="K266" s="46" t="s">
        <v>59</v>
      </c>
      <c r="L266" s="46" t="s">
        <v>1702</v>
      </c>
      <c r="M266" s="46" t="s">
        <v>1703</v>
      </c>
      <c r="N266" s="46" t="s">
        <v>1157</v>
      </c>
      <c r="O266" s="46" t="s">
        <v>98</v>
      </c>
      <c r="P266" s="46" t="s">
        <v>120</v>
      </c>
      <c r="Q266" s="46">
        <v>2</v>
      </c>
      <c r="R266" s="46" t="s">
        <v>83</v>
      </c>
      <c r="S266" s="46" t="s">
        <v>66</v>
      </c>
      <c r="T266" s="46" t="s">
        <v>85</v>
      </c>
      <c r="U266" s="46" t="s">
        <v>394</v>
      </c>
      <c r="V266" s="46" t="s">
        <v>510</v>
      </c>
      <c r="W266" s="46" t="s">
        <v>123</v>
      </c>
      <c r="X266" s="48" t="s">
        <v>1748</v>
      </c>
      <c r="Y266" s="48" t="s">
        <v>72</v>
      </c>
      <c r="Z266" s="48" t="s">
        <v>1749</v>
      </c>
      <c r="AA266" s="29"/>
      <c r="AB266" s="30"/>
      <c r="AC266" s="38"/>
      <c r="AD266" s="29"/>
      <c r="AE266" s="39">
        <v>1</v>
      </c>
      <c r="AF266" s="40">
        <v>1</v>
      </c>
      <c r="AG266" s="32"/>
      <c r="AH266" s="33"/>
      <c r="AI266" s="32"/>
      <c r="AJ266" s="33"/>
      <c r="AK266" s="32"/>
      <c r="AL266" s="33"/>
      <c r="AM266" s="32"/>
      <c r="AN266" s="33"/>
      <c r="AO266" s="34"/>
      <c r="AP266" s="35"/>
      <c r="AQ266" s="34"/>
      <c r="AR266" s="35">
        <v>1</v>
      </c>
      <c r="AS266" s="34"/>
      <c r="AT266" s="35"/>
      <c r="AU266" s="36"/>
      <c r="AV266" s="37"/>
      <c r="AW266" s="36"/>
      <c r="AX266" s="52">
        <f t="shared" si="6"/>
        <v>0</v>
      </c>
      <c r="AY266" s="52"/>
      <c r="AZ266" s="52"/>
    </row>
    <row r="267" spans="1:52" ht="110.25" customHeight="1" x14ac:dyDescent="0.25">
      <c r="A267" s="49" t="s">
        <v>1750</v>
      </c>
      <c r="B267" s="49" t="s">
        <v>1751</v>
      </c>
      <c r="C267" s="49" t="s">
        <v>1752</v>
      </c>
      <c r="D267" s="49">
        <v>2019</v>
      </c>
      <c r="E267" s="50" t="s">
        <v>1753</v>
      </c>
      <c r="F267" s="49">
        <v>1623600</v>
      </c>
      <c r="G267" s="49">
        <v>1627440</v>
      </c>
      <c r="H267" s="49" t="s">
        <v>1754</v>
      </c>
      <c r="I267" s="49" t="s">
        <v>1750</v>
      </c>
      <c r="J267" s="64">
        <v>1.8912037037037036E-2</v>
      </c>
      <c r="K267" s="49" t="s">
        <v>59</v>
      </c>
      <c r="L267" s="49" t="s">
        <v>1755</v>
      </c>
      <c r="M267" s="49" t="s">
        <v>1756</v>
      </c>
      <c r="N267" s="49" t="s">
        <v>97</v>
      </c>
      <c r="O267" s="49" t="s">
        <v>98</v>
      </c>
      <c r="P267" s="49" t="s">
        <v>64</v>
      </c>
      <c r="Q267" s="49">
        <v>2</v>
      </c>
      <c r="R267" s="49" t="s">
        <v>99</v>
      </c>
      <c r="S267" s="49" t="s">
        <v>66</v>
      </c>
      <c r="T267" s="49" t="s">
        <v>67</v>
      </c>
      <c r="U267" s="49" t="s">
        <v>68</v>
      </c>
      <c r="V267" s="49" t="s">
        <v>143</v>
      </c>
      <c r="W267" s="49" t="s">
        <v>100</v>
      </c>
      <c r="X267" s="51" t="s">
        <v>1757</v>
      </c>
      <c r="Y267" s="51" t="s">
        <v>72</v>
      </c>
      <c r="Z267" s="51" t="s">
        <v>1758</v>
      </c>
      <c r="AA267" s="29">
        <v>1</v>
      </c>
      <c r="AB267" s="30"/>
      <c r="AC267" s="38"/>
      <c r="AD267" s="29"/>
      <c r="AE267" s="39"/>
      <c r="AF267" s="40"/>
      <c r="AG267" s="32"/>
      <c r="AH267" s="33"/>
      <c r="AI267" s="32"/>
      <c r="AJ267" s="33"/>
      <c r="AK267" s="32"/>
      <c r="AL267" s="33"/>
      <c r="AM267" s="32"/>
      <c r="AN267" s="33"/>
      <c r="AO267" s="34"/>
      <c r="AP267" s="35"/>
      <c r="AQ267" s="34"/>
      <c r="AR267" s="35"/>
      <c r="AS267" s="34"/>
      <c r="AT267" s="35"/>
      <c r="AU267" s="36"/>
      <c r="AV267" s="37"/>
      <c r="AW267" s="36"/>
      <c r="AX267" s="52">
        <f t="shared" si="6"/>
        <v>0</v>
      </c>
      <c r="AY267" s="52"/>
      <c r="AZ267" s="52"/>
    </row>
    <row r="268" spans="1:52" ht="110.25" customHeight="1" x14ac:dyDescent="0.25">
      <c r="A268" s="46" t="s">
        <v>1759</v>
      </c>
      <c r="B268" s="46" t="s">
        <v>1760</v>
      </c>
      <c r="C268" s="46" t="s">
        <v>1761</v>
      </c>
      <c r="D268" s="46" t="s">
        <v>114</v>
      </c>
      <c r="E268" s="47" t="s">
        <v>1762</v>
      </c>
      <c r="F268" s="46">
        <v>382814</v>
      </c>
      <c r="G268" s="46">
        <v>383747</v>
      </c>
      <c r="H268" s="46" t="s">
        <v>1763</v>
      </c>
      <c r="I268" s="46" t="s">
        <v>1759</v>
      </c>
      <c r="J268" s="65">
        <v>4.7476851851851853E-2</v>
      </c>
      <c r="K268" s="46" t="s">
        <v>59</v>
      </c>
      <c r="L268" s="46" t="s">
        <v>1764</v>
      </c>
      <c r="M268" s="46" t="s">
        <v>1765</v>
      </c>
      <c r="N268" s="46" t="s">
        <v>97</v>
      </c>
      <c r="O268" s="46" t="s">
        <v>63</v>
      </c>
      <c r="P268" s="46" t="s">
        <v>64</v>
      </c>
      <c r="Q268" s="46">
        <v>2</v>
      </c>
      <c r="R268" s="46" t="s">
        <v>99</v>
      </c>
      <c r="S268" s="46" t="s">
        <v>66</v>
      </c>
      <c r="T268" s="46" t="s">
        <v>67</v>
      </c>
      <c r="U268" s="46" t="s">
        <v>991</v>
      </c>
      <c r="V268" s="46" t="s">
        <v>143</v>
      </c>
      <c r="W268" s="46" t="s">
        <v>100</v>
      </c>
      <c r="X268" s="48" t="s">
        <v>1766</v>
      </c>
      <c r="Y268" s="48" t="s">
        <v>72</v>
      </c>
      <c r="Z268" s="48" t="s">
        <v>1767</v>
      </c>
      <c r="AA268" s="29"/>
      <c r="AB268" s="30"/>
      <c r="AC268" s="38"/>
      <c r="AD268" s="29"/>
      <c r="AE268" s="39">
        <v>1</v>
      </c>
      <c r="AF268" s="40"/>
      <c r="AG268" s="32"/>
      <c r="AH268" s="33"/>
      <c r="AI268" s="32"/>
      <c r="AJ268" s="33"/>
      <c r="AK268" s="32"/>
      <c r="AL268" s="33"/>
      <c r="AM268" s="32"/>
      <c r="AN268" s="33"/>
      <c r="AO268" s="34"/>
      <c r="AP268" s="35"/>
      <c r="AQ268" s="34"/>
      <c r="AR268" s="35"/>
      <c r="AS268" s="34"/>
      <c r="AT268" s="35"/>
      <c r="AU268" s="36"/>
      <c r="AV268" s="37">
        <v>1</v>
      </c>
      <c r="AW268" s="36"/>
      <c r="AX268" s="52">
        <f t="shared" si="6"/>
        <v>0</v>
      </c>
      <c r="AY268" s="52"/>
      <c r="AZ268" s="52"/>
    </row>
    <row r="269" spans="1:52" ht="110.25" customHeight="1" x14ac:dyDescent="0.25">
      <c r="A269" s="49" t="s">
        <v>1759</v>
      </c>
      <c r="B269" s="49" t="s">
        <v>1768</v>
      </c>
      <c r="C269" s="49" t="s">
        <v>1761</v>
      </c>
      <c r="D269" s="49" t="s">
        <v>114</v>
      </c>
      <c r="E269" s="50" t="s">
        <v>1769</v>
      </c>
      <c r="F269" s="49">
        <v>2467810</v>
      </c>
      <c r="G269" s="49">
        <v>2469776</v>
      </c>
      <c r="H269" s="49" t="s">
        <v>1770</v>
      </c>
      <c r="I269" s="49" t="s">
        <v>1759</v>
      </c>
      <c r="J269" s="64">
        <v>4.7476851851851853E-2</v>
      </c>
      <c r="K269" s="49" t="s">
        <v>59</v>
      </c>
      <c r="L269" s="49" t="s">
        <v>1764</v>
      </c>
      <c r="M269" s="49" t="s">
        <v>1765</v>
      </c>
      <c r="N269" s="49" t="s">
        <v>97</v>
      </c>
      <c r="O269" s="49" t="s">
        <v>63</v>
      </c>
      <c r="P269" s="49" t="s">
        <v>64</v>
      </c>
      <c r="Q269" s="49">
        <v>2</v>
      </c>
      <c r="R269" s="49" t="s">
        <v>99</v>
      </c>
      <c r="S269" s="49" t="s">
        <v>66</v>
      </c>
      <c r="T269" s="49" t="s">
        <v>67</v>
      </c>
      <c r="U269" s="49" t="s">
        <v>68</v>
      </c>
      <c r="V269" s="49" t="s">
        <v>143</v>
      </c>
      <c r="W269" s="49" t="s">
        <v>100</v>
      </c>
      <c r="X269" s="51" t="s">
        <v>1771</v>
      </c>
      <c r="Y269" s="51" t="s">
        <v>72</v>
      </c>
      <c r="Z269" s="51" t="s">
        <v>1772</v>
      </c>
      <c r="AA269" s="29"/>
      <c r="AB269" s="30"/>
      <c r="AC269" s="38"/>
      <c r="AD269" s="29"/>
      <c r="AE269" s="39">
        <v>1</v>
      </c>
      <c r="AF269" s="40"/>
      <c r="AG269" s="32"/>
      <c r="AH269" s="33"/>
      <c r="AI269" s="32"/>
      <c r="AJ269" s="33"/>
      <c r="AK269" s="32"/>
      <c r="AL269" s="33"/>
      <c r="AM269" s="32"/>
      <c r="AN269" s="33"/>
      <c r="AO269" s="34"/>
      <c r="AP269" s="35"/>
      <c r="AQ269" s="34"/>
      <c r="AR269" s="35"/>
      <c r="AS269" s="34"/>
      <c r="AT269" s="35"/>
      <c r="AU269" s="36"/>
      <c r="AV269" s="37">
        <v>1</v>
      </c>
      <c r="AW269" s="36"/>
      <c r="AX269" s="52">
        <f t="shared" si="6"/>
        <v>0</v>
      </c>
      <c r="AY269" s="52"/>
      <c r="AZ269" s="52"/>
    </row>
    <row r="270" spans="1:52" ht="110.25" customHeight="1" x14ac:dyDescent="0.25">
      <c r="A270" s="46" t="s">
        <v>1759</v>
      </c>
      <c r="B270" s="46" t="s">
        <v>1773</v>
      </c>
      <c r="C270" s="46" t="s">
        <v>1761</v>
      </c>
      <c r="D270" s="46" t="s">
        <v>114</v>
      </c>
      <c r="E270" s="47" t="s">
        <v>1774</v>
      </c>
      <c r="F270" s="46">
        <v>2605514</v>
      </c>
      <c r="G270" s="46">
        <v>2609551</v>
      </c>
      <c r="H270" s="46" t="s">
        <v>1770</v>
      </c>
      <c r="I270" s="46" t="s">
        <v>1759</v>
      </c>
      <c r="J270" s="65">
        <v>4.7476851851851853E-2</v>
      </c>
      <c r="K270" s="46" t="s">
        <v>59</v>
      </c>
      <c r="L270" s="46" t="s">
        <v>1764</v>
      </c>
      <c r="M270" s="46" t="s">
        <v>1765</v>
      </c>
      <c r="N270" s="46" t="s">
        <v>97</v>
      </c>
      <c r="O270" s="46" t="s">
        <v>63</v>
      </c>
      <c r="P270" s="46" t="s">
        <v>64</v>
      </c>
      <c r="Q270" s="46">
        <v>2</v>
      </c>
      <c r="R270" s="46" t="s">
        <v>99</v>
      </c>
      <c r="S270" s="46" t="s">
        <v>66</v>
      </c>
      <c r="T270" s="46" t="s">
        <v>67</v>
      </c>
      <c r="U270" s="46" t="s">
        <v>68</v>
      </c>
      <c r="V270" s="46" t="s">
        <v>143</v>
      </c>
      <c r="W270" s="46" t="s">
        <v>100</v>
      </c>
      <c r="X270" s="48" t="s">
        <v>1775</v>
      </c>
      <c r="Y270" s="48" t="s">
        <v>72</v>
      </c>
      <c r="Z270" s="48" t="s">
        <v>1776</v>
      </c>
      <c r="AA270" s="29"/>
      <c r="AB270" s="30"/>
      <c r="AC270" s="38"/>
      <c r="AD270" s="29"/>
      <c r="AE270" s="39">
        <v>1</v>
      </c>
      <c r="AF270" s="40"/>
      <c r="AG270" s="32"/>
      <c r="AH270" s="33"/>
      <c r="AI270" s="32"/>
      <c r="AJ270" s="33"/>
      <c r="AK270" s="32"/>
      <c r="AL270" s="33"/>
      <c r="AM270" s="32"/>
      <c r="AN270" s="33"/>
      <c r="AO270" s="34"/>
      <c r="AP270" s="35"/>
      <c r="AQ270" s="34"/>
      <c r="AR270" s="35"/>
      <c r="AS270" s="34"/>
      <c r="AT270" s="35"/>
      <c r="AU270" s="36"/>
      <c r="AV270" s="37">
        <v>1</v>
      </c>
      <c r="AW270" s="36"/>
      <c r="AX270" s="52">
        <f t="shared" si="6"/>
        <v>0</v>
      </c>
      <c r="AY270" s="52"/>
      <c r="AZ270" s="52"/>
    </row>
    <row r="271" spans="1:52" ht="110.25" customHeight="1" x14ac:dyDescent="0.25">
      <c r="A271" s="49" t="s">
        <v>1777</v>
      </c>
      <c r="B271" s="49" t="s">
        <v>1778</v>
      </c>
      <c r="C271" s="49" t="s">
        <v>1779</v>
      </c>
      <c r="D271" s="49">
        <v>2019</v>
      </c>
      <c r="E271" s="50" t="s">
        <v>1780</v>
      </c>
      <c r="F271" s="49">
        <v>572822</v>
      </c>
      <c r="G271" s="49">
        <v>574302</v>
      </c>
      <c r="H271" s="49" t="s">
        <v>1781</v>
      </c>
      <c r="I271" s="49" t="s">
        <v>1777</v>
      </c>
      <c r="J271" s="64">
        <v>2.6643518518518518E-2</v>
      </c>
      <c r="K271" s="49" t="s">
        <v>79</v>
      </c>
      <c r="L271" s="49" t="s">
        <v>1782</v>
      </c>
      <c r="M271" s="49" t="s">
        <v>1783</v>
      </c>
      <c r="N271" s="49" t="s">
        <v>711</v>
      </c>
      <c r="O271" s="49" t="s">
        <v>98</v>
      </c>
      <c r="P271" s="49" t="s">
        <v>120</v>
      </c>
      <c r="Q271" s="49">
        <v>2</v>
      </c>
      <c r="R271" s="49" t="s">
        <v>1784</v>
      </c>
      <c r="S271" s="49" t="s">
        <v>84</v>
      </c>
      <c r="T271" s="49" t="s">
        <v>85</v>
      </c>
      <c r="U271" s="49" t="s">
        <v>121</v>
      </c>
      <c r="V271" s="49" t="s">
        <v>86</v>
      </c>
      <c r="W271" s="49" t="s">
        <v>377</v>
      </c>
      <c r="X271" s="51" t="s">
        <v>1785</v>
      </c>
      <c r="Y271" s="51" t="s">
        <v>72</v>
      </c>
      <c r="Z271" s="51" t="s">
        <v>1786</v>
      </c>
      <c r="AA271" s="29"/>
      <c r="AB271" s="30"/>
      <c r="AC271" s="38"/>
      <c r="AD271" s="29"/>
      <c r="AE271" s="39">
        <v>1</v>
      </c>
      <c r="AF271" s="40"/>
      <c r="AG271" s="32"/>
      <c r="AH271" s="33"/>
      <c r="AI271" s="32"/>
      <c r="AJ271" s="33"/>
      <c r="AK271" s="32"/>
      <c r="AL271" s="33"/>
      <c r="AM271" s="32"/>
      <c r="AN271" s="33">
        <v>1</v>
      </c>
      <c r="AO271" s="34"/>
      <c r="AP271" s="35"/>
      <c r="AQ271" s="34"/>
      <c r="AR271" s="35"/>
      <c r="AS271" s="34"/>
      <c r="AT271" s="35"/>
      <c r="AU271" s="36"/>
      <c r="AV271" s="37">
        <v>1</v>
      </c>
      <c r="AW271" s="36"/>
      <c r="AX271" s="52">
        <f t="shared" si="6"/>
        <v>1</v>
      </c>
      <c r="AY271" s="52"/>
      <c r="AZ271" s="52"/>
    </row>
    <row r="272" spans="1:52" ht="110.25" customHeight="1" x14ac:dyDescent="0.25">
      <c r="A272" s="46" t="s">
        <v>1777</v>
      </c>
      <c r="B272" s="46" t="s">
        <v>1787</v>
      </c>
      <c r="C272" s="46" t="s">
        <v>1779</v>
      </c>
      <c r="D272" s="46">
        <v>2019</v>
      </c>
      <c r="E272" s="47" t="s">
        <v>1788</v>
      </c>
      <c r="F272" s="46">
        <v>1314039</v>
      </c>
      <c r="G272" s="46">
        <v>1314654</v>
      </c>
      <c r="H272" s="46" t="s">
        <v>1781</v>
      </c>
      <c r="I272" s="46" t="s">
        <v>1777</v>
      </c>
      <c r="J272" s="65">
        <v>2.6643518518518518E-2</v>
      </c>
      <c r="K272" s="46" t="s">
        <v>79</v>
      </c>
      <c r="L272" s="46" t="s">
        <v>1782</v>
      </c>
      <c r="M272" s="46" t="s">
        <v>1783</v>
      </c>
      <c r="N272" s="46" t="s">
        <v>711</v>
      </c>
      <c r="O272" s="46" t="s">
        <v>98</v>
      </c>
      <c r="P272" s="46" t="s">
        <v>120</v>
      </c>
      <c r="Q272" s="46">
        <v>2</v>
      </c>
      <c r="R272" s="46" t="s">
        <v>1784</v>
      </c>
      <c r="S272" s="46" t="s">
        <v>84</v>
      </c>
      <c r="T272" s="46" t="s">
        <v>85</v>
      </c>
      <c r="U272" s="46" t="s">
        <v>121</v>
      </c>
      <c r="V272" s="46" t="s">
        <v>86</v>
      </c>
      <c r="W272" s="46" t="s">
        <v>377</v>
      </c>
      <c r="X272" s="48" t="s">
        <v>1789</v>
      </c>
      <c r="Y272" s="48" t="s">
        <v>72</v>
      </c>
      <c r="Z272" s="48" t="s">
        <v>1790</v>
      </c>
      <c r="AA272" s="29"/>
      <c r="AB272" s="30"/>
      <c r="AC272" s="38"/>
      <c r="AD272" s="29"/>
      <c r="AE272" s="39">
        <v>1</v>
      </c>
      <c r="AF272" s="40"/>
      <c r="AG272" s="32"/>
      <c r="AH272" s="33"/>
      <c r="AI272" s="32"/>
      <c r="AJ272" s="33"/>
      <c r="AK272" s="32"/>
      <c r="AL272" s="33"/>
      <c r="AM272" s="32"/>
      <c r="AN272" s="33"/>
      <c r="AO272" s="34"/>
      <c r="AP272" s="35"/>
      <c r="AQ272" s="34"/>
      <c r="AR272" s="35"/>
      <c r="AS272" s="34"/>
      <c r="AT272" s="35"/>
      <c r="AU272" s="36"/>
      <c r="AV272" s="37">
        <v>1</v>
      </c>
      <c r="AW272" s="36"/>
      <c r="AX272" s="52">
        <f t="shared" si="6"/>
        <v>0</v>
      </c>
      <c r="AY272" s="52"/>
      <c r="AZ272" s="52"/>
    </row>
    <row r="273" spans="1:147" ht="110.25" customHeight="1" x14ac:dyDescent="0.25">
      <c r="A273" s="49" t="s">
        <v>1777</v>
      </c>
      <c r="B273" s="49" t="s">
        <v>1791</v>
      </c>
      <c r="C273" s="49" t="s">
        <v>1779</v>
      </c>
      <c r="D273" s="49">
        <v>2019</v>
      </c>
      <c r="E273" s="50" t="s">
        <v>1792</v>
      </c>
      <c r="F273" s="49">
        <v>1709809</v>
      </c>
      <c r="G273" s="49">
        <v>1711922</v>
      </c>
      <c r="H273" s="49" t="s">
        <v>1781</v>
      </c>
      <c r="I273" s="49" t="s">
        <v>1777</v>
      </c>
      <c r="J273" s="64">
        <v>2.6643518518518518E-2</v>
      </c>
      <c r="K273" s="49" t="s">
        <v>79</v>
      </c>
      <c r="L273" s="49" t="s">
        <v>1782</v>
      </c>
      <c r="M273" s="49" t="s">
        <v>1783</v>
      </c>
      <c r="N273" s="49" t="s">
        <v>711</v>
      </c>
      <c r="O273" s="49" t="s">
        <v>98</v>
      </c>
      <c r="P273" s="49" t="s">
        <v>120</v>
      </c>
      <c r="Q273" s="49">
        <v>2</v>
      </c>
      <c r="R273" s="49" t="s">
        <v>1784</v>
      </c>
      <c r="S273" s="49" t="s">
        <v>84</v>
      </c>
      <c r="T273" s="49" t="s">
        <v>85</v>
      </c>
      <c r="U273" s="49" t="s">
        <v>121</v>
      </c>
      <c r="V273" s="49" t="s">
        <v>86</v>
      </c>
      <c r="W273" s="49" t="s">
        <v>377</v>
      </c>
      <c r="X273" s="51" t="s">
        <v>1793</v>
      </c>
      <c r="Y273" s="51" t="s">
        <v>72</v>
      </c>
      <c r="Z273" s="51" t="s">
        <v>1794</v>
      </c>
      <c r="AA273" s="29"/>
      <c r="AB273" s="30"/>
      <c r="AC273" s="38"/>
      <c r="AD273" s="29"/>
      <c r="AE273" s="39">
        <v>1</v>
      </c>
      <c r="AF273" s="40">
        <v>1</v>
      </c>
      <c r="AG273" s="32"/>
      <c r="AH273" s="33"/>
      <c r="AI273" s="32"/>
      <c r="AJ273" s="33"/>
      <c r="AK273" s="32"/>
      <c r="AL273" s="33"/>
      <c r="AM273" s="32"/>
      <c r="AN273" s="33"/>
      <c r="AO273" s="34"/>
      <c r="AP273" s="35"/>
      <c r="AQ273" s="34"/>
      <c r="AR273" s="35"/>
      <c r="AS273" s="34"/>
      <c r="AT273" s="35"/>
      <c r="AU273" s="36"/>
      <c r="AV273" s="37">
        <v>1</v>
      </c>
      <c r="AW273" s="36"/>
      <c r="AX273" s="52">
        <f t="shared" si="6"/>
        <v>0</v>
      </c>
      <c r="AY273" s="52"/>
      <c r="AZ273" s="52"/>
    </row>
    <row r="274" spans="1:147" ht="110.25" customHeight="1" x14ac:dyDescent="0.25">
      <c r="A274" s="46" t="s">
        <v>1777</v>
      </c>
      <c r="B274" s="46" t="s">
        <v>1795</v>
      </c>
      <c r="C274" s="46" t="s">
        <v>1779</v>
      </c>
      <c r="D274" s="46">
        <v>2019</v>
      </c>
      <c r="E274" s="47" t="s">
        <v>1796</v>
      </c>
      <c r="F274" s="46">
        <v>1862998</v>
      </c>
      <c r="G274" s="46">
        <v>1866789</v>
      </c>
      <c r="H274" s="46" t="s">
        <v>1781</v>
      </c>
      <c r="I274" s="46" t="s">
        <v>1777</v>
      </c>
      <c r="J274" s="65">
        <v>2.6643518518518518E-2</v>
      </c>
      <c r="K274" s="46" t="s">
        <v>79</v>
      </c>
      <c r="L274" s="46" t="s">
        <v>1782</v>
      </c>
      <c r="M274" s="46" t="s">
        <v>1783</v>
      </c>
      <c r="N274" s="46" t="s">
        <v>711</v>
      </c>
      <c r="O274" s="46" t="s">
        <v>98</v>
      </c>
      <c r="P274" s="46" t="s">
        <v>120</v>
      </c>
      <c r="Q274" s="46">
        <v>2</v>
      </c>
      <c r="R274" s="46" t="s">
        <v>1784</v>
      </c>
      <c r="S274" s="46" t="s">
        <v>84</v>
      </c>
      <c r="T274" s="46" t="s">
        <v>85</v>
      </c>
      <c r="U274" s="46" t="s">
        <v>121</v>
      </c>
      <c r="V274" s="46" t="s">
        <v>86</v>
      </c>
      <c r="W274" s="46" t="s">
        <v>377</v>
      </c>
      <c r="X274" s="48" t="s">
        <v>1797</v>
      </c>
      <c r="Y274" s="48" t="s">
        <v>72</v>
      </c>
      <c r="Z274" s="48" t="s">
        <v>1798</v>
      </c>
      <c r="AA274" s="29">
        <v>1</v>
      </c>
      <c r="AB274" s="30"/>
      <c r="AC274" s="38"/>
      <c r="AD274" s="29"/>
      <c r="AE274" s="39"/>
      <c r="AF274" s="40"/>
      <c r="AG274" s="32"/>
      <c r="AH274" s="33"/>
      <c r="AI274" s="32"/>
      <c r="AJ274" s="33"/>
      <c r="AK274" s="32"/>
      <c r="AL274" s="33"/>
      <c r="AM274" s="32"/>
      <c r="AN274" s="33"/>
      <c r="AO274" s="34"/>
      <c r="AP274" s="35"/>
      <c r="AQ274" s="34"/>
      <c r="AR274" s="35"/>
      <c r="AS274" s="34"/>
      <c r="AT274" s="35"/>
      <c r="AU274" s="36"/>
      <c r="AV274" s="37"/>
      <c r="AW274" s="36"/>
      <c r="AX274" s="52">
        <f t="shared" si="6"/>
        <v>0</v>
      </c>
      <c r="AY274" s="52"/>
      <c r="AZ274" s="52"/>
    </row>
    <row r="275" spans="1:147" ht="110.25" customHeight="1" x14ac:dyDescent="0.25">
      <c r="A275" s="49" t="s">
        <v>1777</v>
      </c>
      <c r="B275" s="49" t="s">
        <v>1799</v>
      </c>
      <c r="C275" s="49" t="s">
        <v>1779</v>
      </c>
      <c r="D275" s="49">
        <v>2019</v>
      </c>
      <c r="E275" s="50" t="s">
        <v>1800</v>
      </c>
      <c r="F275" s="49">
        <v>1895065</v>
      </c>
      <c r="G275" s="49">
        <v>1897810</v>
      </c>
      <c r="H275" s="49" t="s">
        <v>1781</v>
      </c>
      <c r="I275" s="49" t="s">
        <v>1777</v>
      </c>
      <c r="J275" s="64">
        <v>2.6643518518518518E-2</v>
      </c>
      <c r="K275" s="49" t="s">
        <v>79</v>
      </c>
      <c r="L275" s="49" t="s">
        <v>1782</v>
      </c>
      <c r="M275" s="49" t="s">
        <v>1783</v>
      </c>
      <c r="N275" s="49" t="s">
        <v>711</v>
      </c>
      <c r="O275" s="49" t="s">
        <v>98</v>
      </c>
      <c r="P275" s="49" t="s">
        <v>120</v>
      </c>
      <c r="Q275" s="49">
        <v>2</v>
      </c>
      <c r="R275" s="49" t="s">
        <v>1784</v>
      </c>
      <c r="S275" s="49" t="s">
        <v>84</v>
      </c>
      <c r="T275" s="49" t="s">
        <v>85</v>
      </c>
      <c r="U275" s="49" t="s">
        <v>121</v>
      </c>
      <c r="V275" s="49" t="s">
        <v>86</v>
      </c>
      <c r="W275" s="49" t="s">
        <v>377</v>
      </c>
      <c r="X275" s="51" t="s">
        <v>1801</v>
      </c>
      <c r="Y275" s="51" t="s">
        <v>72</v>
      </c>
      <c r="Z275" s="51" t="s">
        <v>1802</v>
      </c>
      <c r="AA275" s="29">
        <v>1</v>
      </c>
      <c r="AB275" s="30"/>
      <c r="AC275" s="38"/>
      <c r="AD275" s="29"/>
      <c r="AE275" s="39"/>
      <c r="AF275" s="40"/>
      <c r="AG275" s="32"/>
      <c r="AH275" s="33"/>
      <c r="AI275" s="32"/>
      <c r="AJ275" s="33"/>
      <c r="AK275" s="32"/>
      <c r="AL275" s="33"/>
      <c r="AM275" s="32"/>
      <c r="AN275" s="33"/>
      <c r="AO275" s="34"/>
      <c r="AP275" s="35"/>
      <c r="AQ275" s="34"/>
      <c r="AR275" s="35"/>
      <c r="AS275" s="34"/>
      <c r="AT275" s="35"/>
      <c r="AU275" s="36"/>
      <c r="AV275" s="37"/>
      <c r="AW275" s="36"/>
      <c r="AX275" s="52">
        <f t="shared" si="6"/>
        <v>0</v>
      </c>
      <c r="AY275" s="52"/>
      <c r="AZ275" s="52"/>
    </row>
    <row r="276" spans="1:147" ht="110.25" customHeight="1" x14ac:dyDescent="0.25">
      <c r="A276" s="46" t="s">
        <v>1803</v>
      </c>
      <c r="B276" s="46" t="s">
        <v>1804</v>
      </c>
      <c r="C276" s="46" t="s">
        <v>1805</v>
      </c>
      <c r="D276" s="46" t="s">
        <v>114</v>
      </c>
      <c r="E276" s="47" t="s">
        <v>1806</v>
      </c>
      <c r="F276" s="46">
        <v>1237579</v>
      </c>
      <c r="G276" s="46">
        <v>1238686</v>
      </c>
      <c r="H276" s="46" t="s">
        <v>1807</v>
      </c>
      <c r="I276" s="46" t="s">
        <v>1803</v>
      </c>
      <c r="J276" s="65">
        <v>1.5324074074074073E-2</v>
      </c>
      <c r="K276" s="46" t="s">
        <v>79</v>
      </c>
      <c r="L276" s="46" t="s">
        <v>1808</v>
      </c>
      <c r="M276" s="46" t="s">
        <v>1809</v>
      </c>
      <c r="N276" s="46" t="s">
        <v>97</v>
      </c>
      <c r="O276" s="46" t="s">
        <v>63</v>
      </c>
      <c r="P276" s="46" t="s">
        <v>120</v>
      </c>
      <c r="Q276" s="46">
        <v>2</v>
      </c>
      <c r="R276" s="46" t="s">
        <v>99</v>
      </c>
      <c r="S276" s="46" t="s">
        <v>84</v>
      </c>
      <c r="T276" s="46" t="s">
        <v>67</v>
      </c>
      <c r="U276" s="46" t="s">
        <v>121</v>
      </c>
      <c r="V276" s="46" t="s">
        <v>86</v>
      </c>
      <c r="W276" s="46" t="s">
        <v>100</v>
      </c>
      <c r="X276" s="48" t="s">
        <v>1810</v>
      </c>
      <c r="Y276" s="48" t="s">
        <v>72</v>
      </c>
      <c r="Z276" s="48" t="s">
        <v>1811</v>
      </c>
      <c r="AA276" s="29"/>
      <c r="AB276" s="30"/>
      <c r="AC276" s="38"/>
      <c r="AD276" s="29"/>
      <c r="AE276" s="39">
        <v>1</v>
      </c>
      <c r="AF276" s="40"/>
      <c r="AG276" s="32"/>
      <c r="AH276" s="33"/>
      <c r="AI276" s="32"/>
      <c r="AJ276" s="33"/>
      <c r="AK276" s="32"/>
      <c r="AL276" s="33"/>
      <c r="AM276" s="32"/>
      <c r="AN276" s="33"/>
      <c r="AO276" s="34"/>
      <c r="AP276" s="35"/>
      <c r="AQ276" s="34"/>
      <c r="AR276" s="35"/>
      <c r="AS276" s="34"/>
      <c r="AT276" s="35"/>
      <c r="AU276" s="36"/>
      <c r="AV276" s="37">
        <v>1</v>
      </c>
      <c r="AW276" s="36"/>
      <c r="AX276" s="52">
        <f t="shared" si="6"/>
        <v>0</v>
      </c>
      <c r="AY276" s="52"/>
      <c r="AZ276" s="52"/>
    </row>
    <row r="277" spans="1:147" ht="110.25" customHeight="1" x14ac:dyDescent="0.25">
      <c r="A277" s="49" t="s">
        <v>1812</v>
      </c>
      <c r="B277" s="49" t="s">
        <v>1813</v>
      </c>
      <c r="C277" s="49" t="s">
        <v>1814</v>
      </c>
      <c r="D277" s="49" t="s">
        <v>114</v>
      </c>
      <c r="E277" s="50" t="s">
        <v>1815</v>
      </c>
      <c r="F277" s="49">
        <v>234095</v>
      </c>
      <c r="G277" s="49">
        <v>234778</v>
      </c>
      <c r="H277" s="49" t="s">
        <v>1816</v>
      </c>
      <c r="I277" s="49" t="s">
        <v>1812</v>
      </c>
      <c r="J277" s="64">
        <v>9.7337962962962959E-3</v>
      </c>
      <c r="K277" s="49" t="s">
        <v>59</v>
      </c>
      <c r="L277" s="49" t="s">
        <v>1817</v>
      </c>
      <c r="M277" s="49" t="s">
        <v>1818</v>
      </c>
      <c r="N277" s="49" t="s">
        <v>1157</v>
      </c>
      <c r="O277" s="49" t="s">
        <v>98</v>
      </c>
      <c r="P277" s="49" t="s">
        <v>120</v>
      </c>
      <c r="Q277" s="49">
        <v>2</v>
      </c>
      <c r="R277" s="49" t="s">
        <v>83</v>
      </c>
      <c r="S277" s="49" t="s">
        <v>66</v>
      </c>
      <c r="T277" s="49" t="s">
        <v>85</v>
      </c>
      <c r="U277" s="49" t="s">
        <v>121</v>
      </c>
      <c r="V277" s="49" t="s">
        <v>510</v>
      </c>
      <c r="W277" s="49" t="s">
        <v>123</v>
      </c>
      <c r="X277" s="51" t="s">
        <v>1819</v>
      </c>
      <c r="Y277" s="51" t="s">
        <v>72</v>
      </c>
      <c r="Z277" s="51" t="s">
        <v>1820</v>
      </c>
      <c r="AA277" s="29">
        <v>1</v>
      </c>
      <c r="AB277" s="30"/>
      <c r="AC277" s="38"/>
      <c r="AD277" s="29"/>
      <c r="AE277" s="39"/>
      <c r="AF277" s="40"/>
      <c r="AG277" s="32"/>
      <c r="AH277" s="33"/>
      <c r="AI277" s="32"/>
      <c r="AJ277" s="33"/>
      <c r="AK277" s="32"/>
      <c r="AL277" s="33"/>
      <c r="AM277" s="32"/>
      <c r="AN277" s="33"/>
      <c r="AO277" s="34"/>
      <c r="AP277" s="35"/>
      <c r="AQ277" s="34"/>
      <c r="AR277" s="35"/>
      <c r="AS277" s="34"/>
      <c r="AT277" s="35"/>
      <c r="AU277" s="36"/>
      <c r="AV277" s="37"/>
      <c r="AW277" s="36"/>
      <c r="AX277" s="52">
        <f t="shared" si="6"/>
        <v>0</v>
      </c>
      <c r="AY277" s="52"/>
      <c r="AZ277" s="52"/>
    </row>
    <row r="278" spans="1:147" s="44" customFormat="1" ht="110.25" customHeight="1" x14ac:dyDescent="0.25">
      <c r="A278" s="46" t="s">
        <v>1812</v>
      </c>
      <c r="B278" s="46" t="s">
        <v>1821</v>
      </c>
      <c r="C278" s="46" t="s">
        <v>1814</v>
      </c>
      <c r="D278" s="46" t="s">
        <v>114</v>
      </c>
      <c r="E278" s="47" t="s">
        <v>1822</v>
      </c>
      <c r="F278" s="46">
        <v>607428</v>
      </c>
      <c r="G278" s="46">
        <v>619977</v>
      </c>
      <c r="H278" s="46" t="s">
        <v>1816</v>
      </c>
      <c r="I278" s="46" t="s">
        <v>1812</v>
      </c>
      <c r="J278" s="65">
        <v>9.7337962962962959E-3</v>
      </c>
      <c r="K278" s="46" t="s">
        <v>59</v>
      </c>
      <c r="L278" s="46" t="s">
        <v>1817</v>
      </c>
      <c r="M278" s="46" t="s">
        <v>1818</v>
      </c>
      <c r="N278" s="46" t="s">
        <v>1157</v>
      </c>
      <c r="O278" s="46" t="s">
        <v>98</v>
      </c>
      <c r="P278" s="46" t="s">
        <v>120</v>
      </c>
      <c r="Q278" s="46">
        <v>2</v>
      </c>
      <c r="R278" s="46" t="s">
        <v>83</v>
      </c>
      <c r="S278" s="46" t="s">
        <v>66</v>
      </c>
      <c r="T278" s="46" t="s">
        <v>85</v>
      </c>
      <c r="U278" s="46" t="s">
        <v>121</v>
      </c>
      <c r="V278" s="46" t="s">
        <v>510</v>
      </c>
      <c r="W278" s="46" t="s">
        <v>123</v>
      </c>
      <c r="X278" s="48" t="s">
        <v>1823</v>
      </c>
      <c r="Y278" s="48" t="s">
        <v>72</v>
      </c>
      <c r="Z278" s="48" t="s">
        <v>1824</v>
      </c>
      <c r="AA278" s="29"/>
      <c r="AB278" s="43"/>
      <c r="AC278" s="43"/>
      <c r="AD278" s="43"/>
      <c r="AE278" s="39"/>
      <c r="AF278" s="40"/>
      <c r="AG278" s="32"/>
      <c r="AH278" s="33"/>
      <c r="AI278" s="32"/>
      <c r="AJ278" s="33"/>
      <c r="AK278" s="32"/>
      <c r="AL278" s="33"/>
      <c r="AM278" s="32"/>
      <c r="AN278" s="33"/>
      <c r="AO278" s="34"/>
      <c r="AP278" s="35"/>
      <c r="AQ278" s="34"/>
      <c r="AR278" s="35"/>
      <c r="AS278" s="34"/>
      <c r="AT278" s="35"/>
      <c r="AU278" s="36"/>
      <c r="AV278" s="37"/>
      <c r="AW278" s="36"/>
      <c r="AX278" s="52">
        <f t="shared" si="6"/>
        <v>0</v>
      </c>
      <c r="AY278" s="52"/>
      <c r="AZ278" s="52" t="s">
        <v>2303</v>
      </c>
      <c r="BA278" s="53"/>
      <c r="BB278" s="53"/>
      <c r="BC278" s="53"/>
      <c r="BD278" s="53"/>
      <c r="BE278" s="53"/>
      <c r="BF278" s="53"/>
      <c r="BG278" s="53"/>
      <c r="BH278" s="53"/>
      <c r="BI278" s="53"/>
      <c r="BJ278" s="53"/>
      <c r="BK278" s="53"/>
      <c r="BL278" s="53"/>
      <c r="BM278" s="53"/>
      <c r="BN278" s="53"/>
      <c r="BO278" s="53"/>
      <c r="BP278" s="53"/>
      <c r="BQ278" s="53"/>
      <c r="BR278" s="53"/>
      <c r="BS278" s="53"/>
      <c r="BT278" s="53"/>
      <c r="BU278" s="53"/>
      <c r="BV278" s="53"/>
      <c r="BW278" s="53"/>
      <c r="BX278" s="53"/>
      <c r="BY278" s="53"/>
      <c r="BZ278" s="53"/>
      <c r="CA278" s="53"/>
      <c r="CB278" s="53"/>
      <c r="CC278" s="53"/>
      <c r="CD278" s="53"/>
      <c r="CE278" s="53"/>
      <c r="CF278" s="53"/>
      <c r="CG278" s="53"/>
      <c r="CH278" s="53"/>
      <c r="CI278" s="53"/>
      <c r="CJ278" s="53"/>
      <c r="CK278" s="53"/>
      <c r="CL278" s="53"/>
      <c r="CM278" s="53"/>
      <c r="CN278" s="53"/>
      <c r="CO278" s="53"/>
      <c r="CP278" s="53"/>
      <c r="CQ278" s="53"/>
      <c r="CR278" s="53"/>
      <c r="CS278" s="53"/>
      <c r="CT278" s="53"/>
      <c r="CU278" s="53"/>
      <c r="CV278" s="53"/>
      <c r="CW278" s="53"/>
      <c r="CX278" s="53"/>
      <c r="CY278" s="53"/>
      <c r="CZ278" s="53"/>
      <c r="DA278" s="53"/>
      <c r="DB278" s="53"/>
      <c r="DC278" s="53"/>
      <c r="DD278" s="53"/>
      <c r="DE278" s="53"/>
      <c r="DF278" s="53"/>
      <c r="DG278" s="53"/>
      <c r="DH278" s="53"/>
      <c r="DI278" s="53"/>
      <c r="DJ278" s="53"/>
      <c r="DK278" s="53"/>
      <c r="DL278" s="53"/>
      <c r="DM278" s="53"/>
      <c r="DN278" s="53"/>
      <c r="DO278" s="53"/>
      <c r="DP278" s="53"/>
      <c r="DQ278" s="53"/>
      <c r="DR278" s="53"/>
      <c r="DS278" s="53"/>
      <c r="DT278" s="53"/>
      <c r="DU278" s="53"/>
      <c r="DV278" s="53"/>
      <c r="DW278" s="53"/>
      <c r="DX278" s="53"/>
      <c r="DY278" s="53"/>
      <c r="DZ278" s="53"/>
      <c r="EA278" s="53"/>
      <c r="EB278" s="53"/>
      <c r="EC278" s="53"/>
      <c r="ED278" s="53"/>
      <c r="EE278" s="53"/>
      <c r="EF278" s="53"/>
      <c r="EG278" s="53"/>
      <c r="EH278" s="53"/>
      <c r="EI278" s="53"/>
      <c r="EJ278" s="53"/>
      <c r="EK278" s="53"/>
      <c r="EL278" s="53"/>
      <c r="EM278" s="53"/>
      <c r="EN278" s="53"/>
      <c r="EO278" s="53"/>
      <c r="EP278" s="53"/>
      <c r="EQ278" s="53"/>
    </row>
    <row r="279" spans="1:147" ht="110.25" customHeight="1" x14ac:dyDescent="0.25">
      <c r="A279" s="49" t="s">
        <v>1825</v>
      </c>
      <c r="B279" s="49" t="s">
        <v>1826</v>
      </c>
      <c r="C279" s="49" t="s">
        <v>1827</v>
      </c>
      <c r="D279" s="49">
        <v>2019</v>
      </c>
      <c r="E279" s="50" t="s">
        <v>1828</v>
      </c>
      <c r="F279" s="49">
        <v>3784759</v>
      </c>
      <c r="G279" s="49">
        <v>3789899</v>
      </c>
      <c r="H279" s="49" t="s">
        <v>1829</v>
      </c>
      <c r="I279" s="49" t="s">
        <v>1825</v>
      </c>
      <c r="J279" s="64">
        <v>5.4074074074074073E-2</v>
      </c>
      <c r="K279" s="49" t="s">
        <v>79</v>
      </c>
      <c r="L279" s="49" t="s">
        <v>1830</v>
      </c>
      <c r="M279" s="49" t="s">
        <v>1831</v>
      </c>
      <c r="N279" s="49" t="s">
        <v>82</v>
      </c>
      <c r="O279" s="49" t="s">
        <v>98</v>
      </c>
      <c r="P279" s="49" t="s">
        <v>120</v>
      </c>
      <c r="Q279" s="49">
        <v>3</v>
      </c>
      <c r="R279" s="49" t="s">
        <v>160</v>
      </c>
      <c r="S279" s="49" t="s">
        <v>84</v>
      </c>
      <c r="T279" s="49" t="s">
        <v>85</v>
      </c>
      <c r="U279" s="49" t="s">
        <v>180</v>
      </c>
      <c r="V279" s="49" t="s">
        <v>86</v>
      </c>
      <c r="W279" s="49" t="s">
        <v>161</v>
      </c>
      <c r="X279" s="51" t="s">
        <v>1832</v>
      </c>
      <c r="Y279" s="51" t="s">
        <v>72</v>
      </c>
      <c r="Z279" s="51" t="s">
        <v>1833</v>
      </c>
      <c r="AA279" s="29">
        <v>1</v>
      </c>
      <c r="AB279" s="30"/>
      <c r="AC279" s="38"/>
      <c r="AD279" s="29"/>
      <c r="AE279" s="39"/>
      <c r="AF279" s="40"/>
      <c r="AG279" s="32"/>
      <c r="AH279" s="33"/>
      <c r="AI279" s="32"/>
      <c r="AJ279" s="33"/>
      <c r="AK279" s="32"/>
      <c r="AL279" s="33"/>
      <c r="AM279" s="32"/>
      <c r="AN279" s="33"/>
      <c r="AO279" s="34"/>
      <c r="AP279" s="35"/>
      <c r="AQ279" s="34"/>
      <c r="AR279" s="35"/>
      <c r="AS279" s="34"/>
      <c r="AT279" s="35"/>
      <c r="AU279" s="36"/>
      <c r="AV279" s="37"/>
      <c r="AW279" s="36"/>
      <c r="AX279" s="52">
        <f t="shared" si="6"/>
        <v>0</v>
      </c>
      <c r="AY279" s="52"/>
      <c r="AZ279" s="52"/>
    </row>
    <row r="280" spans="1:147" ht="110.25" customHeight="1" x14ac:dyDescent="0.25">
      <c r="A280" s="46" t="s">
        <v>1834</v>
      </c>
      <c r="B280" s="46" t="s">
        <v>1835</v>
      </c>
      <c r="C280" s="46" t="s">
        <v>1836</v>
      </c>
      <c r="D280" s="46">
        <v>2019</v>
      </c>
      <c r="E280" s="47" t="s">
        <v>1837</v>
      </c>
      <c r="F280" s="46">
        <v>1700600</v>
      </c>
      <c r="G280" s="46">
        <v>1702429</v>
      </c>
      <c r="H280" s="46" t="s">
        <v>1838</v>
      </c>
      <c r="I280" s="46" t="s">
        <v>1834</v>
      </c>
      <c r="J280" s="65">
        <v>3.9895833333333332E-2</v>
      </c>
      <c r="K280" s="46" t="s">
        <v>79</v>
      </c>
      <c r="L280" s="46" t="s">
        <v>1839</v>
      </c>
      <c r="M280" s="46" t="s">
        <v>1840</v>
      </c>
      <c r="N280" s="46" t="s">
        <v>186</v>
      </c>
      <c r="O280" s="46" t="s">
        <v>98</v>
      </c>
      <c r="P280" s="46" t="s">
        <v>120</v>
      </c>
      <c r="Q280" s="46">
        <v>2</v>
      </c>
      <c r="R280" s="46" t="s">
        <v>577</v>
      </c>
      <c r="S280" s="46" t="s">
        <v>84</v>
      </c>
      <c r="T280" s="46" t="s">
        <v>85</v>
      </c>
      <c r="U280" s="46" t="s">
        <v>121</v>
      </c>
      <c r="V280" s="46" t="s">
        <v>86</v>
      </c>
      <c r="W280" s="46" t="s">
        <v>377</v>
      </c>
      <c r="X280" s="48" t="s">
        <v>1841</v>
      </c>
      <c r="Y280" s="48" t="s">
        <v>72</v>
      </c>
      <c r="Z280" s="48" t="s">
        <v>1842</v>
      </c>
      <c r="AA280" s="29"/>
      <c r="AB280" s="30"/>
      <c r="AC280" s="38"/>
      <c r="AD280" s="29"/>
      <c r="AE280" s="39">
        <v>1</v>
      </c>
      <c r="AF280" s="40"/>
      <c r="AG280" s="32"/>
      <c r="AH280" s="33"/>
      <c r="AI280" s="32"/>
      <c r="AJ280" s="33"/>
      <c r="AK280" s="32"/>
      <c r="AL280" s="33"/>
      <c r="AM280" s="32"/>
      <c r="AN280" s="33"/>
      <c r="AO280" s="34"/>
      <c r="AP280" s="35"/>
      <c r="AQ280" s="34"/>
      <c r="AR280" s="35">
        <v>1</v>
      </c>
      <c r="AS280" s="34"/>
      <c r="AT280" s="35"/>
      <c r="AU280" s="36"/>
      <c r="AV280" s="37"/>
      <c r="AW280" s="36">
        <v>1</v>
      </c>
      <c r="AX280" s="52">
        <f t="shared" si="6"/>
        <v>1</v>
      </c>
      <c r="AY280" s="52"/>
      <c r="AZ280" s="52"/>
    </row>
    <row r="281" spans="1:147" ht="110.25" customHeight="1" x14ac:dyDescent="0.25">
      <c r="A281" s="49" t="s">
        <v>1834</v>
      </c>
      <c r="B281" s="49" t="s">
        <v>1843</v>
      </c>
      <c r="C281" s="49" t="s">
        <v>1836</v>
      </c>
      <c r="D281" s="49">
        <v>2019</v>
      </c>
      <c r="E281" s="50" t="s">
        <v>1844</v>
      </c>
      <c r="F281" s="49">
        <v>2135960</v>
      </c>
      <c r="G281" s="49">
        <v>2137870</v>
      </c>
      <c r="H281" s="49" t="s">
        <v>1838</v>
      </c>
      <c r="I281" s="49" t="s">
        <v>1834</v>
      </c>
      <c r="J281" s="64">
        <v>3.9895833333333332E-2</v>
      </c>
      <c r="K281" s="49" t="s">
        <v>79</v>
      </c>
      <c r="L281" s="49" t="s">
        <v>1839</v>
      </c>
      <c r="M281" s="49" t="s">
        <v>1840</v>
      </c>
      <c r="N281" s="49" t="s">
        <v>186</v>
      </c>
      <c r="O281" s="49" t="s">
        <v>98</v>
      </c>
      <c r="P281" s="49" t="s">
        <v>120</v>
      </c>
      <c r="Q281" s="49">
        <v>2</v>
      </c>
      <c r="R281" s="49" t="s">
        <v>577</v>
      </c>
      <c r="S281" s="49" t="s">
        <v>84</v>
      </c>
      <c r="T281" s="49" t="s">
        <v>85</v>
      </c>
      <c r="U281" s="49" t="s">
        <v>121</v>
      </c>
      <c r="V281" s="49" t="s">
        <v>86</v>
      </c>
      <c r="W281" s="49" t="s">
        <v>377</v>
      </c>
      <c r="X281" s="51" t="s">
        <v>1845</v>
      </c>
      <c r="Y281" s="51" t="s">
        <v>72</v>
      </c>
      <c r="Z281" s="51" t="s">
        <v>1846</v>
      </c>
      <c r="AA281" s="29">
        <v>1</v>
      </c>
      <c r="AB281" s="30"/>
      <c r="AC281" s="38"/>
      <c r="AD281" s="29"/>
      <c r="AE281" s="39"/>
      <c r="AF281" s="40"/>
      <c r="AG281" s="32"/>
      <c r="AH281" s="33"/>
      <c r="AI281" s="32"/>
      <c r="AJ281" s="33"/>
      <c r="AK281" s="32"/>
      <c r="AL281" s="33"/>
      <c r="AM281" s="32"/>
      <c r="AN281" s="33"/>
      <c r="AO281" s="34"/>
      <c r="AP281" s="35"/>
      <c r="AQ281" s="34"/>
      <c r="AR281" s="35"/>
      <c r="AS281" s="34"/>
      <c r="AT281" s="35"/>
      <c r="AU281" s="36"/>
      <c r="AV281" s="37"/>
      <c r="AW281" s="36"/>
      <c r="AX281" s="52">
        <f t="shared" si="6"/>
        <v>0</v>
      </c>
      <c r="AY281" s="52"/>
      <c r="AZ281" s="52"/>
    </row>
    <row r="282" spans="1:147" ht="110.25" customHeight="1" x14ac:dyDescent="0.25">
      <c r="A282" s="46" t="s">
        <v>1834</v>
      </c>
      <c r="B282" s="46" t="s">
        <v>1847</v>
      </c>
      <c r="C282" s="46" t="s">
        <v>1836</v>
      </c>
      <c r="D282" s="46">
        <v>2019</v>
      </c>
      <c r="E282" s="47" t="s">
        <v>1848</v>
      </c>
      <c r="F282" s="46">
        <v>3434285</v>
      </c>
      <c r="G282" s="46">
        <v>3438110</v>
      </c>
      <c r="H282" s="46" t="s">
        <v>1838</v>
      </c>
      <c r="I282" s="46" t="s">
        <v>1834</v>
      </c>
      <c r="J282" s="65">
        <v>3.9895833333333332E-2</v>
      </c>
      <c r="K282" s="46" t="s">
        <v>79</v>
      </c>
      <c r="L282" s="46" t="s">
        <v>1839</v>
      </c>
      <c r="M282" s="46" t="s">
        <v>1840</v>
      </c>
      <c r="N282" s="46" t="s">
        <v>186</v>
      </c>
      <c r="O282" s="46" t="s">
        <v>98</v>
      </c>
      <c r="P282" s="46" t="s">
        <v>120</v>
      </c>
      <c r="Q282" s="46">
        <v>2</v>
      </c>
      <c r="R282" s="46" t="s">
        <v>577</v>
      </c>
      <c r="S282" s="46" t="s">
        <v>84</v>
      </c>
      <c r="T282" s="46" t="s">
        <v>85</v>
      </c>
      <c r="U282" s="46" t="s">
        <v>121</v>
      </c>
      <c r="V282" s="46" t="s">
        <v>86</v>
      </c>
      <c r="W282" s="46" t="s">
        <v>377</v>
      </c>
      <c r="X282" s="48" t="s">
        <v>1849</v>
      </c>
      <c r="Y282" s="48" t="s">
        <v>72</v>
      </c>
      <c r="Z282" s="48" t="s">
        <v>1850</v>
      </c>
      <c r="AA282" s="29"/>
      <c r="AB282" s="30"/>
      <c r="AC282" s="38"/>
      <c r="AD282" s="29"/>
      <c r="AE282" s="39">
        <v>1</v>
      </c>
      <c r="AF282" s="40"/>
      <c r="AG282" s="32">
        <v>1</v>
      </c>
      <c r="AH282" s="33"/>
      <c r="AI282" s="32"/>
      <c r="AJ282" s="33"/>
      <c r="AK282" s="32"/>
      <c r="AL282" s="33"/>
      <c r="AM282" s="32"/>
      <c r="AN282" s="33"/>
      <c r="AO282" s="34"/>
      <c r="AP282" s="35"/>
      <c r="AQ282" s="34"/>
      <c r="AR282" s="35"/>
      <c r="AS282" s="34"/>
      <c r="AT282" s="35"/>
      <c r="AU282" s="36"/>
      <c r="AV282" s="37">
        <v>1</v>
      </c>
      <c r="AW282" s="36"/>
      <c r="AX282" s="52">
        <f t="shared" si="6"/>
        <v>1</v>
      </c>
      <c r="AY282" s="52"/>
      <c r="AZ282" s="52"/>
    </row>
    <row r="283" spans="1:147" ht="110.25" customHeight="1" x14ac:dyDescent="0.25">
      <c r="A283" s="49" t="s">
        <v>1851</v>
      </c>
      <c r="B283" s="49" t="s">
        <v>1852</v>
      </c>
      <c r="C283" s="49" t="s">
        <v>1853</v>
      </c>
      <c r="D283" s="49">
        <v>2019</v>
      </c>
      <c r="E283" s="50" t="s">
        <v>1854</v>
      </c>
      <c r="F283" s="49">
        <v>1836623</v>
      </c>
      <c r="G283" s="49">
        <v>1838493</v>
      </c>
      <c r="H283" s="49" t="s">
        <v>1855</v>
      </c>
      <c r="I283" s="49" t="s">
        <v>1851</v>
      </c>
      <c r="J283" s="64">
        <v>2.1631944444444443E-2</v>
      </c>
      <c r="K283" s="49" t="s">
        <v>79</v>
      </c>
      <c r="L283" s="49" t="s">
        <v>1856</v>
      </c>
      <c r="M283" s="49" t="s">
        <v>1857</v>
      </c>
      <c r="N283" s="49" t="s">
        <v>1157</v>
      </c>
      <c r="O283" s="49" t="s">
        <v>98</v>
      </c>
      <c r="P283" s="49" t="s">
        <v>120</v>
      </c>
      <c r="Q283" s="49">
        <v>4</v>
      </c>
      <c r="R283" s="49" t="s">
        <v>179</v>
      </c>
      <c r="S283" s="49" t="s">
        <v>84</v>
      </c>
      <c r="T283" s="49" t="s">
        <v>85</v>
      </c>
      <c r="U283" s="49" t="s">
        <v>121</v>
      </c>
      <c r="V283" s="49" t="s">
        <v>86</v>
      </c>
      <c r="W283" s="49" t="s">
        <v>70</v>
      </c>
      <c r="X283" s="51" t="s">
        <v>1858</v>
      </c>
      <c r="Y283" s="51" t="s">
        <v>72</v>
      </c>
      <c r="Z283" s="51" t="s">
        <v>1859</v>
      </c>
      <c r="AA283" s="29"/>
      <c r="AB283" s="30"/>
      <c r="AC283" s="38"/>
      <c r="AD283" s="29"/>
      <c r="AE283" s="39">
        <v>1</v>
      </c>
      <c r="AF283" s="40"/>
      <c r="AG283" s="32"/>
      <c r="AH283" s="33"/>
      <c r="AI283" s="32"/>
      <c r="AJ283" s="33"/>
      <c r="AK283" s="32"/>
      <c r="AL283" s="33"/>
      <c r="AM283" s="32"/>
      <c r="AN283" s="33"/>
      <c r="AO283" s="34"/>
      <c r="AP283" s="35"/>
      <c r="AQ283" s="34">
        <v>1</v>
      </c>
      <c r="AR283" s="35"/>
      <c r="AS283" s="34"/>
      <c r="AT283" s="35"/>
      <c r="AU283" s="36"/>
      <c r="AV283" s="37">
        <v>1</v>
      </c>
      <c r="AW283" s="36"/>
      <c r="AX283" s="52">
        <f t="shared" si="6"/>
        <v>1</v>
      </c>
      <c r="AY283" s="52"/>
      <c r="AZ283" s="74" t="s">
        <v>2304</v>
      </c>
    </row>
    <row r="284" spans="1:147" ht="110.25" customHeight="1" x14ac:dyDescent="0.25">
      <c r="A284" s="46" t="s">
        <v>1851</v>
      </c>
      <c r="B284" s="46" t="s">
        <v>1860</v>
      </c>
      <c r="C284" s="46" t="s">
        <v>1853</v>
      </c>
      <c r="D284" s="46">
        <v>2019</v>
      </c>
      <c r="E284" s="46" t="s">
        <v>1854</v>
      </c>
      <c r="F284" s="46">
        <v>1836623</v>
      </c>
      <c r="G284" s="46">
        <v>1838493</v>
      </c>
      <c r="H284" s="46" t="s">
        <v>1855</v>
      </c>
      <c r="I284" s="46" t="s">
        <v>1851</v>
      </c>
      <c r="J284" s="65">
        <v>2.1631944444444443E-2</v>
      </c>
      <c r="K284" s="46" t="s">
        <v>79</v>
      </c>
      <c r="L284" s="46" t="s">
        <v>1856</v>
      </c>
      <c r="M284" s="46" t="s">
        <v>1857</v>
      </c>
      <c r="N284" s="46" t="s">
        <v>1157</v>
      </c>
      <c r="O284" s="46" t="s">
        <v>98</v>
      </c>
      <c r="P284" s="46" t="s">
        <v>120</v>
      </c>
      <c r="Q284" s="46">
        <v>4</v>
      </c>
      <c r="R284" s="46" t="s">
        <v>179</v>
      </c>
      <c r="S284" s="46" t="s">
        <v>84</v>
      </c>
      <c r="T284" s="46" t="s">
        <v>85</v>
      </c>
      <c r="U284" s="46" t="s">
        <v>121</v>
      </c>
      <c r="V284" s="46" t="s">
        <v>86</v>
      </c>
      <c r="W284" s="46" t="s">
        <v>70</v>
      </c>
      <c r="X284" s="48" t="s">
        <v>1861</v>
      </c>
      <c r="Y284" s="48" t="s">
        <v>72</v>
      </c>
      <c r="Z284" s="48" t="s">
        <v>1862</v>
      </c>
      <c r="AA284" s="29"/>
      <c r="AB284" s="30"/>
      <c r="AC284" s="38"/>
      <c r="AD284" s="29"/>
      <c r="AE284" s="39">
        <v>1</v>
      </c>
      <c r="AF284" s="40"/>
      <c r="AG284" s="32"/>
      <c r="AH284" s="33"/>
      <c r="AI284" s="32"/>
      <c r="AJ284" s="33"/>
      <c r="AK284" s="32"/>
      <c r="AL284" s="33"/>
      <c r="AM284" s="32"/>
      <c r="AN284" s="33"/>
      <c r="AO284" s="34"/>
      <c r="AP284" s="35"/>
      <c r="AQ284" s="34">
        <v>1</v>
      </c>
      <c r="AR284" s="35"/>
      <c r="AS284" s="34"/>
      <c r="AT284" s="35"/>
      <c r="AU284" s="36"/>
      <c r="AV284" s="37">
        <v>1</v>
      </c>
      <c r="AW284" s="36"/>
      <c r="AX284" s="52">
        <f t="shared" si="6"/>
        <v>1</v>
      </c>
      <c r="AY284" s="52"/>
      <c r="AZ284" s="75"/>
    </row>
    <row r="285" spans="1:147" ht="110.25" customHeight="1" x14ac:dyDescent="0.25">
      <c r="A285" s="49" t="s">
        <v>1851</v>
      </c>
      <c r="B285" s="49" t="s">
        <v>1863</v>
      </c>
      <c r="C285" s="49" t="s">
        <v>1853</v>
      </c>
      <c r="D285" s="49">
        <v>2019</v>
      </c>
      <c r="E285" s="49" t="s">
        <v>1864</v>
      </c>
      <c r="F285" s="49">
        <v>1838620</v>
      </c>
      <c r="G285" s="49">
        <v>1839303</v>
      </c>
      <c r="H285" s="49" t="s">
        <v>1855</v>
      </c>
      <c r="I285" s="49" t="s">
        <v>1851</v>
      </c>
      <c r="J285" s="64">
        <v>2.1631944444444443E-2</v>
      </c>
      <c r="K285" s="49" t="s">
        <v>79</v>
      </c>
      <c r="L285" s="49" t="s">
        <v>1856</v>
      </c>
      <c r="M285" s="49" t="s">
        <v>1857</v>
      </c>
      <c r="N285" s="49" t="s">
        <v>1157</v>
      </c>
      <c r="O285" s="49" t="s">
        <v>98</v>
      </c>
      <c r="P285" s="49" t="s">
        <v>120</v>
      </c>
      <c r="Q285" s="49">
        <v>4</v>
      </c>
      <c r="R285" s="49" t="s">
        <v>179</v>
      </c>
      <c r="S285" s="49" t="s">
        <v>84</v>
      </c>
      <c r="T285" s="49" t="s">
        <v>85</v>
      </c>
      <c r="U285" s="49" t="s">
        <v>121</v>
      </c>
      <c r="V285" s="49" t="s">
        <v>86</v>
      </c>
      <c r="W285" s="49" t="s">
        <v>70</v>
      </c>
      <c r="X285" s="51" t="s">
        <v>1865</v>
      </c>
      <c r="Y285" s="51" t="s">
        <v>72</v>
      </c>
      <c r="Z285" s="51" t="s">
        <v>1866</v>
      </c>
      <c r="AA285" s="29"/>
      <c r="AB285" s="30"/>
      <c r="AC285" s="38"/>
      <c r="AD285" s="29"/>
      <c r="AE285" s="39">
        <v>1</v>
      </c>
      <c r="AF285" s="40"/>
      <c r="AG285" s="32"/>
      <c r="AH285" s="33"/>
      <c r="AI285" s="32"/>
      <c r="AJ285" s="33"/>
      <c r="AK285" s="32"/>
      <c r="AL285" s="33"/>
      <c r="AM285" s="32"/>
      <c r="AN285" s="33"/>
      <c r="AO285" s="34"/>
      <c r="AP285" s="35"/>
      <c r="AQ285" s="34">
        <v>1</v>
      </c>
      <c r="AR285" s="35"/>
      <c r="AS285" s="34"/>
      <c r="AT285" s="35"/>
      <c r="AU285" s="36"/>
      <c r="AV285" s="37">
        <v>1</v>
      </c>
      <c r="AW285" s="36"/>
      <c r="AX285" s="52">
        <f t="shared" si="6"/>
        <v>1</v>
      </c>
      <c r="AY285" s="52"/>
      <c r="AZ285" s="76"/>
    </row>
    <row r="286" spans="1:147" ht="110.25" customHeight="1" x14ac:dyDescent="0.25">
      <c r="A286" s="46" t="s">
        <v>1867</v>
      </c>
      <c r="B286" s="46" t="s">
        <v>1868</v>
      </c>
      <c r="C286" s="46" t="s">
        <v>1869</v>
      </c>
      <c r="D286" s="46" t="s">
        <v>114</v>
      </c>
      <c r="E286" s="46" t="s">
        <v>1870</v>
      </c>
      <c r="F286" s="46">
        <v>703049</v>
      </c>
      <c r="G286" s="46">
        <v>708847</v>
      </c>
      <c r="H286" s="46" t="s">
        <v>1871</v>
      </c>
      <c r="I286" s="46" t="s">
        <v>1867</v>
      </c>
      <c r="J286" s="65">
        <v>2.417824074074074E-2</v>
      </c>
      <c r="K286" s="46" t="s">
        <v>59</v>
      </c>
      <c r="L286" s="46" t="s">
        <v>1872</v>
      </c>
      <c r="M286" s="46" t="s">
        <v>1873</v>
      </c>
      <c r="N286" s="46" t="s">
        <v>97</v>
      </c>
      <c r="O286" s="46" t="s">
        <v>98</v>
      </c>
      <c r="P286" s="46" t="s">
        <v>120</v>
      </c>
      <c r="Q286" s="46">
        <v>4</v>
      </c>
      <c r="R286" s="46" t="s">
        <v>99</v>
      </c>
      <c r="S286" s="46" t="s">
        <v>66</v>
      </c>
      <c r="T286" s="46" t="s">
        <v>67</v>
      </c>
      <c r="U286" s="46" t="s">
        <v>121</v>
      </c>
      <c r="V286" s="46" t="s">
        <v>143</v>
      </c>
      <c r="W286" s="46" t="s">
        <v>100</v>
      </c>
      <c r="X286" s="48" t="s">
        <v>1874</v>
      </c>
      <c r="Y286" s="48" t="s">
        <v>72</v>
      </c>
      <c r="Z286" s="48" t="s">
        <v>1875</v>
      </c>
      <c r="AA286" s="29">
        <v>1</v>
      </c>
      <c r="AB286" s="30"/>
      <c r="AC286" s="38"/>
      <c r="AD286" s="29"/>
      <c r="AE286" s="39"/>
      <c r="AF286" s="40"/>
      <c r="AG286" s="32"/>
      <c r="AH286" s="33"/>
      <c r="AI286" s="32"/>
      <c r="AJ286" s="33"/>
      <c r="AK286" s="32"/>
      <c r="AL286" s="33"/>
      <c r="AM286" s="32"/>
      <c r="AN286" s="33"/>
      <c r="AO286" s="34"/>
      <c r="AP286" s="35"/>
      <c r="AQ286" s="34"/>
      <c r="AR286" s="35"/>
      <c r="AS286" s="34"/>
      <c r="AT286" s="35"/>
      <c r="AU286" s="36"/>
      <c r="AV286" s="37"/>
      <c r="AW286" s="36"/>
      <c r="AX286" s="52">
        <f t="shared" si="6"/>
        <v>0</v>
      </c>
      <c r="AY286" s="52"/>
      <c r="AZ286" s="52"/>
    </row>
    <row r="287" spans="1:147" ht="110.25" customHeight="1" x14ac:dyDescent="0.25">
      <c r="A287" s="49" t="s">
        <v>1876</v>
      </c>
      <c r="B287" s="49" t="s">
        <v>1877</v>
      </c>
      <c r="C287" s="49" t="s">
        <v>1878</v>
      </c>
      <c r="D287" s="49" t="s">
        <v>114</v>
      </c>
      <c r="E287" s="50" t="s">
        <v>1879</v>
      </c>
      <c r="F287" s="49">
        <v>296370</v>
      </c>
      <c r="G287" s="49">
        <v>297940</v>
      </c>
      <c r="H287" s="49" t="s">
        <v>1154</v>
      </c>
      <c r="I287" s="49" t="s">
        <v>1876</v>
      </c>
      <c r="J287" s="64">
        <v>7.1064814814814819E-3</v>
      </c>
      <c r="K287" s="49" t="s">
        <v>59</v>
      </c>
      <c r="L287" s="49" t="s">
        <v>1880</v>
      </c>
      <c r="M287" s="49" t="s">
        <v>1881</v>
      </c>
      <c r="N287" s="49" t="s">
        <v>1157</v>
      </c>
      <c r="O287" s="49" t="s">
        <v>98</v>
      </c>
      <c r="P287" s="49" t="s">
        <v>64</v>
      </c>
      <c r="Q287" s="49">
        <v>2</v>
      </c>
      <c r="R287" s="49" t="s">
        <v>83</v>
      </c>
      <c r="S287" s="49" t="s">
        <v>66</v>
      </c>
      <c r="T287" s="49" t="s">
        <v>85</v>
      </c>
      <c r="U287" s="49" t="s">
        <v>68</v>
      </c>
      <c r="V287" s="49" t="s">
        <v>510</v>
      </c>
      <c r="W287" s="49" t="s">
        <v>123</v>
      </c>
      <c r="X287" s="51" t="s">
        <v>1882</v>
      </c>
      <c r="Y287" s="51" t="s">
        <v>72</v>
      </c>
      <c r="Z287" s="51" t="s">
        <v>1883</v>
      </c>
      <c r="AA287" s="29"/>
      <c r="AB287" s="30"/>
      <c r="AC287" s="38"/>
      <c r="AD287" s="29"/>
      <c r="AE287" s="39">
        <v>1</v>
      </c>
      <c r="AF287" s="40">
        <v>1</v>
      </c>
      <c r="AG287" s="32"/>
      <c r="AH287" s="33"/>
      <c r="AI287" s="32"/>
      <c r="AJ287" s="33"/>
      <c r="AK287" s="32"/>
      <c r="AL287" s="33"/>
      <c r="AM287" s="32"/>
      <c r="AN287" s="33"/>
      <c r="AO287" s="34"/>
      <c r="AP287" s="35"/>
      <c r="AQ287" s="34"/>
      <c r="AR287" s="35"/>
      <c r="AS287" s="34"/>
      <c r="AT287" s="35"/>
      <c r="AU287" s="36"/>
      <c r="AV287" s="37">
        <v>1</v>
      </c>
      <c r="AW287" s="36"/>
      <c r="AX287" s="52">
        <f t="shared" si="6"/>
        <v>0</v>
      </c>
      <c r="AY287" s="52"/>
      <c r="AZ287" s="52"/>
    </row>
    <row r="288" spans="1:147" ht="110.25" customHeight="1" x14ac:dyDescent="0.25">
      <c r="A288" s="46" t="s">
        <v>1876</v>
      </c>
      <c r="B288" s="46" t="s">
        <v>1884</v>
      </c>
      <c r="C288" s="46" t="s">
        <v>1878</v>
      </c>
      <c r="D288" s="46" t="s">
        <v>114</v>
      </c>
      <c r="E288" s="47" t="s">
        <v>1885</v>
      </c>
      <c r="F288" s="46">
        <v>304442</v>
      </c>
      <c r="G288" s="46">
        <v>306170</v>
      </c>
      <c r="H288" s="46" t="s">
        <v>1154</v>
      </c>
      <c r="I288" s="46" t="s">
        <v>1876</v>
      </c>
      <c r="J288" s="65">
        <v>7.1064814814814819E-3</v>
      </c>
      <c r="K288" s="46" t="s">
        <v>59</v>
      </c>
      <c r="L288" s="46" t="s">
        <v>1880</v>
      </c>
      <c r="M288" s="46" t="s">
        <v>1881</v>
      </c>
      <c r="N288" s="46" t="s">
        <v>1157</v>
      </c>
      <c r="O288" s="46" t="s">
        <v>98</v>
      </c>
      <c r="P288" s="46" t="s">
        <v>64</v>
      </c>
      <c r="Q288" s="46">
        <v>2</v>
      </c>
      <c r="R288" s="46" t="s">
        <v>83</v>
      </c>
      <c r="S288" s="46" t="s">
        <v>66</v>
      </c>
      <c r="T288" s="46" t="s">
        <v>85</v>
      </c>
      <c r="U288" s="46" t="s">
        <v>68</v>
      </c>
      <c r="V288" s="46" t="s">
        <v>510</v>
      </c>
      <c r="W288" s="46" t="s">
        <v>123</v>
      </c>
      <c r="X288" s="48" t="s">
        <v>1886</v>
      </c>
      <c r="Y288" s="48" t="s">
        <v>72</v>
      </c>
      <c r="Z288" s="48" t="s">
        <v>1887</v>
      </c>
      <c r="AA288" s="29"/>
      <c r="AB288" s="30"/>
      <c r="AC288" s="38"/>
      <c r="AD288" s="29"/>
      <c r="AE288" s="39">
        <v>1</v>
      </c>
      <c r="AF288" s="40">
        <v>1</v>
      </c>
      <c r="AG288" s="32"/>
      <c r="AH288" s="33"/>
      <c r="AI288" s="32"/>
      <c r="AJ288" s="33"/>
      <c r="AK288" s="32"/>
      <c r="AL288" s="33"/>
      <c r="AM288" s="32"/>
      <c r="AN288" s="33"/>
      <c r="AO288" s="34"/>
      <c r="AP288" s="35"/>
      <c r="AQ288" s="34"/>
      <c r="AR288" s="35"/>
      <c r="AS288" s="34"/>
      <c r="AT288" s="35"/>
      <c r="AU288" s="36"/>
      <c r="AV288" s="37">
        <v>1</v>
      </c>
      <c r="AW288" s="36">
        <v>1</v>
      </c>
      <c r="AX288" s="52">
        <f t="shared" si="6"/>
        <v>1</v>
      </c>
      <c r="AY288" s="52"/>
      <c r="AZ288" s="52"/>
    </row>
    <row r="289" spans="1:52" ht="110.25" customHeight="1" x14ac:dyDescent="0.25">
      <c r="A289" s="49" t="s">
        <v>1876</v>
      </c>
      <c r="B289" s="49" t="s">
        <v>1888</v>
      </c>
      <c r="C289" s="49" t="s">
        <v>1878</v>
      </c>
      <c r="D289" s="49" t="s">
        <v>114</v>
      </c>
      <c r="E289" s="50" t="s">
        <v>1889</v>
      </c>
      <c r="F289" s="49">
        <v>455276</v>
      </c>
      <c r="G289" s="49">
        <v>459880</v>
      </c>
      <c r="H289" s="49" t="s">
        <v>1154</v>
      </c>
      <c r="I289" s="49" t="s">
        <v>1876</v>
      </c>
      <c r="J289" s="64">
        <v>7.1064814814814819E-3</v>
      </c>
      <c r="K289" s="49" t="s">
        <v>59</v>
      </c>
      <c r="L289" s="49" t="s">
        <v>1880</v>
      </c>
      <c r="M289" s="49" t="s">
        <v>1881</v>
      </c>
      <c r="N289" s="49" t="s">
        <v>1157</v>
      </c>
      <c r="O289" s="49" t="s">
        <v>98</v>
      </c>
      <c r="P289" s="49" t="s">
        <v>64</v>
      </c>
      <c r="Q289" s="49">
        <v>2</v>
      </c>
      <c r="R289" s="49" t="s">
        <v>83</v>
      </c>
      <c r="S289" s="49" t="s">
        <v>66</v>
      </c>
      <c r="T289" s="49" t="s">
        <v>85</v>
      </c>
      <c r="U289" s="49" t="s">
        <v>68</v>
      </c>
      <c r="V289" s="49" t="s">
        <v>510</v>
      </c>
      <c r="W289" s="49" t="s">
        <v>123</v>
      </c>
      <c r="X289" s="51" t="s">
        <v>1890</v>
      </c>
      <c r="Y289" s="51" t="s">
        <v>72</v>
      </c>
      <c r="Z289" s="51" t="s">
        <v>1891</v>
      </c>
      <c r="AA289" s="29"/>
      <c r="AB289" s="30"/>
      <c r="AC289" s="38"/>
      <c r="AD289" s="29"/>
      <c r="AE289" s="39">
        <v>1</v>
      </c>
      <c r="AF289" s="40">
        <v>1</v>
      </c>
      <c r="AG289" s="32"/>
      <c r="AH289" s="33"/>
      <c r="AI289" s="32"/>
      <c r="AJ289" s="33"/>
      <c r="AK289" s="32"/>
      <c r="AL289" s="33"/>
      <c r="AM289" s="32"/>
      <c r="AN289" s="33"/>
      <c r="AO289" s="34"/>
      <c r="AP289" s="35"/>
      <c r="AQ289" s="34"/>
      <c r="AR289" s="35"/>
      <c r="AS289" s="34"/>
      <c r="AT289" s="35"/>
      <c r="AU289" s="36"/>
      <c r="AV289" s="37">
        <v>1</v>
      </c>
      <c r="AW289" s="36">
        <v>1</v>
      </c>
      <c r="AX289" s="52">
        <f t="shared" si="6"/>
        <v>1</v>
      </c>
      <c r="AY289" s="52"/>
      <c r="AZ289" s="52"/>
    </row>
    <row r="290" spans="1:52" ht="110.25" customHeight="1" x14ac:dyDescent="0.25">
      <c r="A290" s="46" t="s">
        <v>1892</v>
      </c>
      <c r="B290" s="46" t="s">
        <v>1893</v>
      </c>
      <c r="C290" s="46" t="s">
        <v>1894</v>
      </c>
      <c r="D290" s="46" t="s">
        <v>114</v>
      </c>
      <c r="E290" s="47" t="s">
        <v>1895</v>
      </c>
      <c r="F290" s="46">
        <v>1493876</v>
      </c>
      <c r="G290" s="46">
        <v>1498816</v>
      </c>
      <c r="H290" s="46" t="s">
        <v>1896</v>
      </c>
      <c r="I290" s="46" t="s">
        <v>1892</v>
      </c>
      <c r="J290" s="65">
        <v>1.7476851851851851E-2</v>
      </c>
      <c r="K290" s="46" t="s">
        <v>79</v>
      </c>
      <c r="L290" s="46" t="s">
        <v>1897</v>
      </c>
      <c r="M290" s="46" t="s">
        <v>1898</v>
      </c>
      <c r="N290" s="46" t="s">
        <v>97</v>
      </c>
      <c r="O290" s="46" t="s">
        <v>63</v>
      </c>
      <c r="P290" s="46" t="s">
        <v>64</v>
      </c>
      <c r="Q290" s="46">
        <v>2</v>
      </c>
      <c r="R290" s="46" t="s">
        <v>99</v>
      </c>
      <c r="S290" s="46" t="s">
        <v>84</v>
      </c>
      <c r="T290" s="46" t="s">
        <v>67</v>
      </c>
      <c r="U290" s="46" t="s">
        <v>631</v>
      </c>
      <c r="V290" s="46" t="s">
        <v>86</v>
      </c>
      <c r="W290" s="46" t="s">
        <v>100</v>
      </c>
      <c r="X290" s="48" t="s">
        <v>1899</v>
      </c>
      <c r="Y290" s="48" t="s">
        <v>72</v>
      </c>
      <c r="Z290" s="48" t="s">
        <v>1900</v>
      </c>
      <c r="AA290" s="29"/>
      <c r="AB290" s="30"/>
      <c r="AC290" s="38"/>
      <c r="AD290" s="29"/>
      <c r="AE290" s="39">
        <v>1</v>
      </c>
      <c r="AF290" s="40"/>
      <c r="AG290" s="32"/>
      <c r="AH290" s="33"/>
      <c r="AI290" s="32"/>
      <c r="AJ290" s="33"/>
      <c r="AK290" s="32"/>
      <c r="AL290" s="33"/>
      <c r="AM290" s="32"/>
      <c r="AN290" s="33">
        <v>1</v>
      </c>
      <c r="AO290" s="34"/>
      <c r="AP290" s="35"/>
      <c r="AQ290" s="34"/>
      <c r="AR290" s="35"/>
      <c r="AS290" s="34"/>
      <c r="AT290" s="35"/>
      <c r="AU290" s="36"/>
      <c r="AV290" s="37">
        <v>1</v>
      </c>
      <c r="AW290" s="36"/>
      <c r="AX290" s="52">
        <f t="shared" si="6"/>
        <v>1</v>
      </c>
      <c r="AY290" s="52"/>
      <c r="AZ290" s="52"/>
    </row>
    <row r="291" spans="1:52" ht="110.25" customHeight="1" x14ac:dyDescent="0.25">
      <c r="A291" s="49" t="s">
        <v>1901</v>
      </c>
      <c r="B291" s="49" t="s">
        <v>1902</v>
      </c>
      <c r="C291" s="49" t="s">
        <v>1903</v>
      </c>
      <c r="D291" s="49">
        <v>2020</v>
      </c>
      <c r="E291" s="50" t="s">
        <v>1904</v>
      </c>
      <c r="F291" s="49">
        <v>1813998</v>
      </c>
      <c r="G291" s="49">
        <v>1816075</v>
      </c>
      <c r="H291" s="49" t="s">
        <v>1905</v>
      </c>
      <c r="I291" s="49" t="s">
        <v>1901</v>
      </c>
      <c r="J291" s="64">
        <v>3.8263888888888889E-2</v>
      </c>
      <c r="K291" s="49" t="s">
        <v>59</v>
      </c>
      <c r="L291" s="49" t="s">
        <v>1906</v>
      </c>
      <c r="M291" s="49" t="s">
        <v>1907</v>
      </c>
      <c r="N291" s="49" t="s">
        <v>62</v>
      </c>
      <c r="O291" s="49" t="s">
        <v>98</v>
      </c>
      <c r="P291" s="49" t="s">
        <v>64</v>
      </c>
      <c r="Q291" s="49">
        <v>4</v>
      </c>
      <c r="R291" s="49" t="s">
        <v>473</v>
      </c>
      <c r="S291" s="49" t="s">
        <v>66</v>
      </c>
      <c r="T291" s="49" t="s">
        <v>67</v>
      </c>
      <c r="U291" s="49" t="s">
        <v>68</v>
      </c>
      <c r="V291" s="49" t="s">
        <v>69</v>
      </c>
      <c r="W291" s="49" t="s">
        <v>123</v>
      </c>
      <c r="X291" s="51" t="s">
        <v>1908</v>
      </c>
      <c r="Y291" s="51" t="s">
        <v>72</v>
      </c>
      <c r="Z291" s="51" t="s">
        <v>1909</v>
      </c>
      <c r="AA291" s="29"/>
      <c r="AB291" s="30"/>
      <c r="AC291" s="38"/>
      <c r="AD291" s="29"/>
      <c r="AE291" s="39">
        <v>1</v>
      </c>
      <c r="AF291" s="40"/>
      <c r="AG291" s="32">
        <v>1</v>
      </c>
      <c r="AH291" s="33"/>
      <c r="AI291" s="32"/>
      <c r="AJ291" s="33"/>
      <c r="AK291" s="32"/>
      <c r="AL291" s="33"/>
      <c r="AM291" s="32"/>
      <c r="AN291" s="33"/>
      <c r="AO291" s="34"/>
      <c r="AP291" s="35"/>
      <c r="AQ291" s="34"/>
      <c r="AR291" s="35"/>
      <c r="AS291" s="34"/>
      <c r="AT291" s="35"/>
      <c r="AU291" s="36"/>
      <c r="AV291" s="37">
        <v>1</v>
      </c>
      <c r="AW291" s="36"/>
      <c r="AX291" s="52">
        <f t="shared" si="6"/>
        <v>1</v>
      </c>
      <c r="AY291" s="52"/>
      <c r="AZ291" s="52"/>
    </row>
    <row r="292" spans="1:52" ht="110.25" customHeight="1" x14ac:dyDescent="0.25">
      <c r="A292" s="46" t="s">
        <v>1910</v>
      </c>
      <c r="B292" s="46" t="s">
        <v>1911</v>
      </c>
      <c r="C292" s="46" t="s">
        <v>1912</v>
      </c>
      <c r="D292" s="46" t="s">
        <v>114</v>
      </c>
      <c r="E292" s="47" t="s">
        <v>1913</v>
      </c>
      <c r="F292" s="46">
        <v>1371969</v>
      </c>
      <c r="G292" s="46">
        <v>1375086</v>
      </c>
      <c r="H292" s="46" t="s">
        <v>1816</v>
      </c>
      <c r="I292" s="46" t="s">
        <v>1910</v>
      </c>
      <c r="J292" s="65">
        <v>2.525462962962963E-2</v>
      </c>
      <c r="K292" s="46" t="s">
        <v>59</v>
      </c>
      <c r="L292" s="46" t="s">
        <v>1914</v>
      </c>
      <c r="M292" s="46" t="s">
        <v>1915</v>
      </c>
      <c r="N292" s="46" t="s">
        <v>1157</v>
      </c>
      <c r="O292" s="46" t="s">
        <v>98</v>
      </c>
      <c r="P292" s="46" t="s">
        <v>120</v>
      </c>
      <c r="Q292" s="46">
        <v>2</v>
      </c>
      <c r="R292" s="46" t="s">
        <v>83</v>
      </c>
      <c r="S292" s="46" t="s">
        <v>66</v>
      </c>
      <c r="T292" s="46" t="s">
        <v>85</v>
      </c>
      <c r="U292" s="46" t="s">
        <v>121</v>
      </c>
      <c r="V292" s="46" t="s">
        <v>510</v>
      </c>
      <c r="W292" s="46" t="s">
        <v>123</v>
      </c>
      <c r="X292" s="48" t="s">
        <v>1916</v>
      </c>
      <c r="Y292" s="48" t="s">
        <v>72</v>
      </c>
      <c r="Z292" s="48" t="s">
        <v>1917</v>
      </c>
      <c r="AA292" s="29"/>
      <c r="AB292" s="30"/>
      <c r="AC292" s="38"/>
      <c r="AD292" s="29"/>
      <c r="AE292" s="39">
        <v>1</v>
      </c>
      <c r="AF292" s="40">
        <v>1</v>
      </c>
      <c r="AG292" s="32">
        <v>1</v>
      </c>
      <c r="AH292" s="33"/>
      <c r="AI292" s="32"/>
      <c r="AJ292" s="33"/>
      <c r="AK292" s="32"/>
      <c r="AL292" s="33"/>
      <c r="AM292" s="32"/>
      <c r="AN292" s="33"/>
      <c r="AO292" s="34"/>
      <c r="AP292" s="35"/>
      <c r="AQ292" s="34">
        <v>1</v>
      </c>
      <c r="AR292" s="35"/>
      <c r="AS292" s="34"/>
      <c r="AT292" s="35"/>
      <c r="AU292" s="36"/>
      <c r="AV292" s="37"/>
      <c r="AW292" s="36"/>
      <c r="AX292" s="52">
        <f t="shared" si="6"/>
        <v>1</v>
      </c>
      <c r="AY292" s="52"/>
      <c r="AZ292" s="52"/>
    </row>
    <row r="293" spans="1:52" ht="110.25" customHeight="1" x14ac:dyDescent="0.25">
      <c r="A293" s="49" t="s">
        <v>1910</v>
      </c>
      <c r="B293" s="49" t="s">
        <v>1918</v>
      </c>
      <c r="C293" s="49" t="s">
        <v>1912</v>
      </c>
      <c r="D293" s="49" t="s">
        <v>114</v>
      </c>
      <c r="E293" s="50" t="s">
        <v>1919</v>
      </c>
      <c r="F293" s="49">
        <v>1848510</v>
      </c>
      <c r="G293" s="49">
        <v>1851460</v>
      </c>
      <c r="H293" s="49" t="s">
        <v>1816</v>
      </c>
      <c r="I293" s="49" t="s">
        <v>1910</v>
      </c>
      <c r="J293" s="64">
        <v>2.525462962962963E-2</v>
      </c>
      <c r="K293" s="49" t="s">
        <v>59</v>
      </c>
      <c r="L293" s="49" t="s">
        <v>1914</v>
      </c>
      <c r="M293" s="49" t="s">
        <v>1915</v>
      </c>
      <c r="N293" s="49" t="s">
        <v>1157</v>
      </c>
      <c r="O293" s="49" t="s">
        <v>98</v>
      </c>
      <c r="P293" s="49" t="s">
        <v>120</v>
      </c>
      <c r="Q293" s="49">
        <v>2</v>
      </c>
      <c r="R293" s="49" t="s">
        <v>83</v>
      </c>
      <c r="S293" s="49" t="s">
        <v>66</v>
      </c>
      <c r="T293" s="49" t="s">
        <v>85</v>
      </c>
      <c r="U293" s="49" t="s">
        <v>121</v>
      </c>
      <c r="V293" s="49" t="s">
        <v>510</v>
      </c>
      <c r="W293" s="49" t="s">
        <v>123</v>
      </c>
      <c r="X293" s="51" t="s">
        <v>1920</v>
      </c>
      <c r="Y293" s="51" t="s">
        <v>72</v>
      </c>
      <c r="Z293" s="51" t="s">
        <v>1921</v>
      </c>
      <c r="AA293" s="29"/>
      <c r="AB293" s="30"/>
      <c r="AC293" s="38"/>
      <c r="AD293" s="29"/>
      <c r="AE293" s="39">
        <v>1</v>
      </c>
      <c r="AF293" s="40"/>
      <c r="AG293" s="32"/>
      <c r="AH293" s="33"/>
      <c r="AI293" s="32"/>
      <c r="AJ293" s="33"/>
      <c r="AK293" s="32"/>
      <c r="AL293" s="33"/>
      <c r="AM293" s="32"/>
      <c r="AN293" s="33"/>
      <c r="AO293" s="34"/>
      <c r="AP293" s="35"/>
      <c r="AQ293" s="34"/>
      <c r="AR293" s="35"/>
      <c r="AS293" s="34"/>
      <c r="AT293" s="35"/>
      <c r="AU293" s="36"/>
      <c r="AV293" s="37">
        <v>1</v>
      </c>
      <c r="AW293" s="36"/>
      <c r="AX293" s="52">
        <f t="shared" si="6"/>
        <v>0</v>
      </c>
      <c r="AY293" s="52"/>
      <c r="AZ293" s="52"/>
    </row>
    <row r="294" spans="1:52" ht="110.25" customHeight="1" x14ac:dyDescent="0.25">
      <c r="A294" s="46" t="s">
        <v>1910</v>
      </c>
      <c r="B294" s="46" t="s">
        <v>1922</v>
      </c>
      <c r="C294" s="46" t="s">
        <v>1912</v>
      </c>
      <c r="D294" s="46" t="s">
        <v>114</v>
      </c>
      <c r="E294" s="47" t="s">
        <v>1923</v>
      </c>
      <c r="F294" s="46">
        <v>1931223</v>
      </c>
      <c r="G294" s="46">
        <v>1933399</v>
      </c>
      <c r="H294" s="46" t="s">
        <v>1816</v>
      </c>
      <c r="I294" s="46" t="s">
        <v>1910</v>
      </c>
      <c r="J294" s="65">
        <v>2.525462962962963E-2</v>
      </c>
      <c r="K294" s="46" t="s">
        <v>59</v>
      </c>
      <c r="L294" s="46" t="s">
        <v>1914</v>
      </c>
      <c r="M294" s="46" t="s">
        <v>1915</v>
      </c>
      <c r="N294" s="46" t="s">
        <v>1157</v>
      </c>
      <c r="O294" s="46" t="s">
        <v>98</v>
      </c>
      <c r="P294" s="46" t="s">
        <v>120</v>
      </c>
      <c r="Q294" s="46">
        <v>2</v>
      </c>
      <c r="R294" s="46" t="s">
        <v>83</v>
      </c>
      <c r="S294" s="46" t="s">
        <v>66</v>
      </c>
      <c r="T294" s="46" t="s">
        <v>85</v>
      </c>
      <c r="U294" s="46" t="s">
        <v>121</v>
      </c>
      <c r="V294" s="46" t="s">
        <v>510</v>
      </c>
      <c r="W294" s="46" t="s">
        <v>123</v>
      </c>
      <c r="X294" s="48" t="s">
        <v>1924</v>
      </c>
      <c r="Y294" s="48" t="s">
        <v>72</v>
      </c>
      <c r="Z294" s="48" t="s">
        <v>1925</v>
      </c>
      <c r="AA294" s="29"/>
      <c r="AB294" s="30"/>
      <c r="AC294" s="38"/>
      <c r="AD294" s="29"/>
      <c r="AE294" s="39">
        <v>1</v>
      </c>
      <c r="AF294" s="40"/>
      <c r="AG294" s="32"/>
      <c r="AH294" s="33"/>
      <c r="AI294" s="32"/>
      <c r="AJ294" s="33"/>
      <c r="AK294" s="32">
        <v>1</v>
      </c>
      <c r="AL294" s="33">
        <v>1</v>
      </c>
      <c r="AM294" s="32"/>
      <c r="AN294" s="33"/>
      <c r="AO294" s="34"/>
      <c r="AP294" s="35"/>
      <c r="AQ294" s="34"/>
      <c r="AR294" s="35"/>
      <c r="AS294" s="34"/>
      <c r="AT294" s="35"/>
      <c r="AU294" s="36"/>
      <c r="AV294" s="37"/>
      <c r="AW294" s="36"/>
      <c r="AX294" s="52">
        <f t="shared" si="6"/>
        <v>1</v>
      </c>
      <c r="AY294" s="52"/>
      <c r="AZ294" s="52" t="s">
        <v>2305</v>
      </c>
    </row>
    <row r="295" spans="1:52" ht="110.25" customHeight="1" x14ac:dyDescent="0.25">
      <c r="A295" s="49" t="s">
        <v>1926</v>
      </c>
      <c r="B295" s="49" t="s">
        <v>1927</v>
      </c>
      <c r="C295" s="49" t="s">
        <v>1928</v>
      </c>
      <c r="D295" s="49">
        <v>2021</v>
      </c>
      <c r="E295" s="50" t="s">
        <v>1929</v>
      </c>
      <c r="F295" s="49">
        <v>2114820</v>
      </c>
      <c r="G295" s="49">
        <v>2115840</v>
      </c>
      <c r="H295" s="49" t="s">
        <v>1930</v>
      </c>
      <c r="I295" s="49" t="s">
        <v>1926</v>
      </c>
      <c r="J295" s="64">
        <v>2.4930555555555556E-2</v>
      </c>
      <c r="K295" s="49" t="s">
        <v>79</v>
      </c>
      <c r="L295" s="49" t="s">
        <v>1931</v>
      </c>
      <c r="M295" s="49" t="s">
        <v>1932</v>
      </c>
      <c r="N295" s="49" t="s">
        <v>119</v>
      </c>
      <c r="O295" s="49" t="s">
        <v>63</v>
      </c>
      <c r="P295" s="49" t="s">
        <v>64</v>
      </c>
      <c r="Q295" s="49">
        <v>2</v>
      </c>
      <c r="R295" s="49" t="s">
        <v>473</v>
      </c>
      <c r="S295" s="49" t="s">
        <v>84</v>
      </c>
      <c r="T295" s="49" t="s">
        <v>85</v>
      </c>
      <c r="U295" s="49" t="s">
        <v>68</v>
      </c>
      <c r="V295" s="49" t="s">
        <v>86</v>
      </c>
      <c r="W295" s="49" t="s">
        <v>70</v>
      </c>
      <c r="X295" s="51" t="s">
        <v>1933</v>
      </c>
      <c r="Y295" s="51" t="s">
        <v>72</v>
      </c>
      <c r="Z295" s="51" t="s">
        <v>1934</v>
      </c>
      <c r="AA295" s="29"/>
      <c r="AB295" s="30"/>
      <c r="AC295" s="38"/>
      <c r="AD295" s="29"/>
      <c r="AE295" s="39">
        <v>1</v>
      </c>
      <c r="AF295" s="40">
        <v>1</v>
      </c>
      <c r="AG295" s="32"/>
      <c r="AH295" s="33"/>
      <c r="AI295" s="32"/>
      <c r="AJ295" s="33"/>
      <c r="AK295" s="32"/>
      <c r="AL295" s="33"/>
      <c r="AM295" s="32"/>
      <c r="AN295" s="33"/>
      <c r="AO295" s="34"/>
      <c r="AP295" s="35"/>
      <c r="AQ295" s="34"/>
      <c r="AR295" s="35"/>
      <c r="AS295" s="34"/>
      <c r="AT295" s="35"/>
      <c r="AU295" s="36"/>
      <c r="AV295" s="37">
        <v>1</v>
      </c>
      <c r="AW295" s="36"/>
      <c r="AX295" s="52">
        <f t="shared" si="6"/>
        <v>0</v>
      </c>
      <c r="AY295" s="52"/>
      <c r="AZ295" s="52"/>
    </row>
    <row r="296" spans="1:52" ht="110.25" customHeight="1" x14ac:dyDescent="0.25">
      <c r="A296" s="46" t="s">
        <v>1935</v>
      </c>
      <c r="B296" s="46" t="s">
        <v>1936</v>
      </c>
      <c r="C296" s="46" t="s">
        <v>1937</v>
      </c>
      <c r="D296" s="46">
        <v>2022</v>
      </c>
      <c r="E296" s="47" t="s">
        <v>1938</v>
      </c>
      <c r="F296" s="46">
        <v>109665</v>
      </c>
      <c r="G296" s="46">
        <v>110685</v>
      </c>
      <c r="H296" s="46" t="s">
        <v>1939</v>
      </c>
      <c r="I296" s="46" t="s">
        <v>1935</v>
      </c>
      <c r="J296" s="65">
        <v>3.6006944444444446E-2</v>
      </c>
      <c r="K296" s="46" t="s">
        <v>79</v>
      </c>
      <c r="L296" s="46" t="s">
        <v>1940</v>
      </c>
      <c r="M296" s="46" t="s">
        <v>1941</v>
      </c>
      <c r="N296" s="46" t="s">
        <v>1399</v>
      </c>
      <c r="O296" s="46" t="s">
        <v>63</v>
      </c>
      <c r="P296" s="46" t="s">
        <v>64</v>
      </c>
      <c r="Q296" s="46">
        <v>2</v>
      </c>
      <c r="R296" s="46" t="s">
        <v>160</v>
      </c>
      <c r="S296" s="46" t="s">
        <v>84</v>
      </c>
      <c r="T296" s="46" t="s">
        <v>85</v>
      </c>
      <c r="U296" s="46" t="s">
        <v>68</v>
      </c>
      <c r="V296" s="46" t="s">
        <v>86</v>
      </c>
      <c r="W296" s="46" t="s">
        <v>398</v>
      </c>
      <c r="X296" s="48" t="s">
        <v>1942</v>
      </c>
      <c r="Y296" s="48" t="s">
        <v>72</v>
      </c>
      <c r="Z296" s="48" t="s">
        <v>1943</v>
      </c>
      <c r="AA296" s="29"/>
      <c r="AB296" s="30"/>
      <c r="AC296" s="38"/>
      <c r="AD296" s="29"/>
      <c r="AE296" s="39">
        <v>1</v>
      </c>
      <c r="AF296" s="40">
        <v>1</v>
      </c>
      <c r="AG296" s="32"/>
      <c r="AH296" s="33"/>
      <c r="AI296" s="32"/>
      <c r="AJ296" s="33"/>
      <c r="AK296" s="32"/>
      <c r="AL296" s="33"/>
      <c r="AM296" s="32"/>
      <c r="AN296" s="33"/>
      <c r="AO296" s="34"/>
      <c r="AP296" s="35"/>
      <c r="AQ296" s="34"/>
      <c r="AR296" s="35"/>
      <c r="AS296" s="34"/>
      <c r="AT296" s="35"/>
      <c r="AU296" s="36"/>
      <c r="AV296" s="37">
        <v>1</v>
      </c>
      <c r="AW296" s="36"/>
      <c r="AX296" s="52">
        <f t="shared" si="6"/>
        <v>0</v>
      </c>
      <c r="AY296" s="52"/>
      <c r="AZ296" s="52"/>
    </row>
    <row r="297" spans="1:52" ht="110.25" customHeight="1" x14ac:dyDescent="0.25">
      <c r="A297" s="49" t="s">
        <v>1935</v>
      </c>
      <c r="B297" s="49" t="s">
        <v>1944</v>
      </c>
      <c r="C297" s="49" t="s">
        <v>1937</v>
      </c>
      <c r="D297" s="49">
        <v>2022</v>
      </c>
      <c r="E297" s="50" t="s">
        <v>1945</v>
      </c>
      <c r="F297" s="49">
        <v>1644070</v>
      </c>
      <c r="G297" s="49">
        <v>1646170</v>
      </c>
      <c r="H297" s="49" t="s">
        <v>1946</v>
      </c>
      <c r="I297" s="49" t="s">
        <v>1935</v>
      </c>
      <c r="J297" s="64">
        <v>3.6006944444444446E-2</v>
      </c>
      <c r="K297" s="49" t="s">
        <v>79</v>
      </c>
      <c r="L297" s="49" t="s">
        <v>1940</v>
      </c>
      <c r="M297" s="49" t="s">
        <v>1941</v>
      </c>
      <c r="N297" s="49" t="s">
        <v>97</v>
      </c>
      <c r="O297" s="49" t="s">
        <v>63</v>
      </c>
      <c r="P297" s="49" t="s">
        <v>64</v>
      </c>
      <c r="Q297" s="49">
        <v>2</v>
      </c>
      <c r="R297" s="49" t="s">
        <v>99</v>
      </c>
      <c r="S297" s="49" t="s">
        <v>84</v>
      </c>
      <c r="T297" s="49" t="s">
        <v>85</v>
      </c>
      <c r="U297" s="49" t="s">
        <v>68</v>
      </c>
      <c r="V297" s="49" t="s">
        <v>86</v>
      </c>
      <c r="W297" s="49" t="s">
        <v>87</v>
      </c>
      <c r="X297" s="51" t="s">
        <v>1947</v>
      </c>
      <c r="Y297" s="51" t="s">
        <v>72</v>
      </c>
      <c r="Z297" s="51" t="s">
        <v>1948</v>
      </c>
      <c r="AA297" s="29">
        <v>1</v>
      </c>
      <c r="AB297" s="30"/>
      <c r="AC297" s="38"/>
      <c r="AD297" s="29"/>
      <c r="AE297" s="39"/>
      <c r="AF297" s="40"/>
      <c r="AG297" s="32"/>
      <c r="AH297" s="33"/>
      <c r="AI297" s="32"/>
      <c r="AJ297" s="33"/>
      <c r="AK297" s="32"/>
      <c r="AL297" s="33"/>
      <c r="AM297" s="32"/>
      <c r="AN297" s="33"/>
      <c r="AO297" s="34"/>
      <c r="AP297" s="35"/>
      <c r="AQ297" s="34"/>
      <c r="AR297" s="35"/>
      <c r="AS297" s="34"/>
      <c r="AT297" s="35"/>
      <c r="AU297" s="36"/>
      <c r="AV297" s="37"/>
      <c r="AW297" s="36"/>
      <c r="AX297" s="52">
        <f t="shared" si="6"/>
        <v>0</v>
      </c>
      <c r="AY297" s="52"/>
      <c r="AZ297" s="52"/>
    </row>
    <row r="298" spans="1:52" ht="110.25" customHeight="1" x14ac:dyDescent="0.25">
      <c r="A298" s="46" t="s">
        <v>1949</v>
      </c>
      <c r="B298" s="46" t="s">
        <v>1950</v>
      </c>
      <c r="C298" s="46" t="s">
        <v>1951</v>
      </c>
      <c r="D298" s="46">
        <v>2024</v>
      </c>
      <c r="E298" s="47" t="s">
        <v>1952</v>
      </c>
      <c r="F298" s="46">
        <v>3936060</v>
      </c>
      <c r="G298" s="46">
        <v>3940700</v>
      </c>
      <c r="H298" s="46" t="s">
        <v>94</v>
      </c>
      <c r="I298" s="46" t="s">
        <v>1949</v>
      </c>
      <c r="J298" s="65">
        <v>4.5601851851851852E-2</v>
      </c>
      <c r="K298" s="46" t="s">
        <v>79</v>
      </c>
      <c r="L298" s="46" t="s">
        <v>1953</v>
      </c>
      <c r="M298" s="46" t="s">
        <v>1954</v>
      </c>
      <c r="N298" s="46" t="s">
        <v>97</v>
      </c>
      <c r="O298" s="46" t="s">
        <v>98</v>
      </c>
      <c r="P298" s="46" t="s">
        <v>64</v>
      </c>
      <c r="Q298" s="46">
        <v>3</v>
      </c>
      <c r="R298" s="46" t="s">
        <v>99</v>
      </c>
      <c r="S298" s="46" t="s">
        <v>84</v>
      </c>
      <c r="T298" s="46" t="s">
        <v>85</v>
      </c>
      <c r="U298" s="46" t="s">
        <v>68</v>
      </c>
      <c r="V298" s="46" t="s">
        <v>86</v>
      </c>
      <c r="W298" s="46" t="s">
        <v>100</v>
      </c>
      <c r="X298" s="48" t="s">
        <v>1955</v>
      </c>
      <c r="Y298" s="48" t="s">
        <v>72</v>
      </c>
      <c r="Z298" s="48" t="s">
        <v>1956</v>
      </c>
      <c r="AA298" s="29"/>
      <c r="AB298" s="30"/>
      <c r="AC298" s="38"/>
      <c r="AD298" s="29"/>
      <c r="AE298" s="39">
        <v>1</v>
      </c>
      <c r="AF298" s="40">
        <v>1</v>
      </c>
      <c r="AG298" s="32"/>
      <c r="AH298" s="33"/>
      <c r="AI298" s="32"/>
      <c r="AJ298" s="33"/>
      <c r="AK298" s="32"/>
      <c r="AL298" s="33"/>
      <c r="AM298" s="32"/>
      <c r="AN298" s="33"/>
      <c r="AO298" s="34"/>
      <c r="AP298" s="35">
        <v>1</v>
      </c>
      <c r="AQ298" s="34"/>
      <c r="AR298" s="35"/>
      <c r="AS298" s="34"/>
      <c r="AT298" s="35"/>
      <c r="AU298" s="36"/>
      <c r="AV298" s="37">
        <v>1</v>
      </c>
      <c r="AW298" s="36"/>
      <c r="AX298" s="52">
        <f t="shared" si="6"/>
        <v>1</v>
      </c>
      <c r="AY298" s="52"/>
      <c r="AZ298" s="52"/>
    </row>
    <row r="299" spans="1:52" ht="110.25" customHeight="1" x14ac:dyDescent="0.25">
      <c r="A299" s="49" t="s">
        <v>1957</v>
      </c>
      <c r="B299" s="49" t="s">
        <v>1958</v>
      </c>
      <c r="C299" s="49" t="s">
        <v>1959</v>
      </c>
      <c r="D299" s="49">
        <v>2021</v>
      </c>
      <c r="E299" s="50" t="s">
        <v>1960</v>
      </c>
      <c r="F299" s="49">
        <v>2971767</v>
      </c>
      <c r="G299" s="49">
        <v>2974490</v>
      </c>
      <c r="H299" s="49" t="s">
        <v>1334</v>
      </c>
      <c r="I299" s="49" t="s">
        <v>1957</v>
      </c>
      <c r="J299" s="64">
        <v>3.4583333333333334E-2</v>
      </c>
      <c r="K299" s="49" t="s">
        <v>79</v>
      </c>
      <c r="L299" s="49" t="s">
        <v>1961</v>
      </c>
      <c r="M299" s="49" t="s">
        <v>1962</v>
      </c>
      <c r="N299" s="49" t="s">
        <v>97</v>
      </c>
      <c r="O299" s="49" t="s">
        <v>63</v>
      </c>
      <c r="P299" s="49" t="s">
        <v>64</v>
      </c>
      <c r="Q299" s="49">
        <v>3</v>
      </c>
      <c r="R299" s="49" t="s">
        <v>99</v>
      </c>
      <c r="S299" s="49" t="s">
        <v>84</v>
      </c>
      <c r="T299" s="49" t="s">
        <v>85</v>
      </c>
      <c r="U299" s="49" t="s">
        <v>68</v>
      </c>
      <c r="V299" s="49" t="s">
        <v>86</v>
      </c>
      <c r="W299" s="49" t="s">
        <v>100</v>
      </c>
      <c r="X299" s="51" t="s">
        <v>1963</v>
      </c>
      <c r="Y299" s="51" t="s">
        <v>72</v>
      </c>
      <c r="Z299" s="51" t="s">
        <v>1964</v>
      </c>
      <c r="AA299" s="29"/>
      <c r="AB299" s="30"/>
      <c r="AC299" s="38"/>
      <c r="AD299" s="29"/>
      <c r="AE299" s="39">
        <v>1</v>
      </c>
      <c r="AF299" s="40">
        <v>1</v>
      </c>
      <c r="AG299" s="32">
        <v>1</v>
      </c>
      <c r="AH299" s="33"/>
      <c r="AI299" s="32"/>
      <c r="AJ299" s="33"/>
      <c r="AK299" s="32"/>
      <c r="AL299" s="33"/>
      <c r="AM299" s="32"/>
      <c r="AN299" s="33">
        <v>1</v>
      </c>
      <c r="AO299" s="34"/>
      <c r="AP299" s="35"/>
      <c r="AQ299" s="34"/>
      <c r="AR299" s="35"/>
      <c r="AS299" s="34"/>
      <c r="AT299" s="35"/>
      <c r="AU299" s="36"/>
      <c r="AV299" s="37">
        <v>1</v>
      </c>
      <c r="AW299" s="36"/>
      <c r="AX299" s="52">
        <f t="shared" si="6"/>
        <v>1</v>
      </c>
      <c r="AY299" s="52"/>
      <c r="AZ299" s="52"/>
    </row>
    <row r="300" spans="1:52" ht="110.25" customHeight="1" x14ac:dyDescent="0.25">
      <c r="A300" s="46" t="s">
        <v>1957</v>
      </c>
      <c r="B300" s="46" t="s">
        <v>1965</v>
      </c>
      <c r="C300" s="46" t="s">
        <v>1959</v>
      </c>
      <c r="D300" s="46">
        <v>2021</v>
      </c>
      <c r="E300" s="47" t="s">
        <v>1966</v>
      </c>
      <c r="F300" s="46">
        <v>2982955</v>
      </c>
      <c r="G300" s="46">
        <v>2984055</v>
      </c>
      <c r="H300" s="46" t="s">
        <v>1334</v>
      </c>
      <c r="I300" s="46" t="s">
        <v>1957</v>
      </c>
      <c r="J300" s="65">
        <v>3.4583333333333334E-2</v>
      </c>
      <c r="K300" s="46" t="s">
        <v>79</v>
      </c>
      <c r="L300" s="46" t="s">
        <v>1961</v>
      </c>
      <c r="M300" s="46" t="s">
        <v>1962</v>
      </c>
      <c r="N300" s="46" t="s">
        <v>97</v>
      </c>
      <c r="O300" s="46" t="s">
        <v>63</v>
      </c>
      <c r="P300" s="46" t="s">
        <v>64</v>
      </c>
      <c r="Q300" s="46">
        <v>3</v>
      </c>
      <c r="R300" s="46" t="s">
        <v>99</v>
      </c>
      <c r="S300" s="46" t="s">
        <v>84</v>
      </c>
      <c r="T300" s="46" t="s">
        <v>85</v>
      </c>
      <c r="U300" s="46" t="s">
        <v>68</v>
      </c>
      <c r="V300" s="46" t="s">
        <v>86</v>
      </c>
      <c r="W300" s="46" t="s">
        <v>100</v>
      </c>
      <c r="X300" s="48" t="s">
        <v>1967</v>
      </c>
      <c r="Y300" s="48" t="s">
        <v>72</v>
      </c>
      <c r="Z300" s="48" t="s">
        <v>1968</v>
      </c>
      <c r="AA300" s="29"/>
      <c r="AB300" s="30"/>
      <c r="AC300" s="38"/>
      <c r="AD300" s="29"/>
      <c r="AE300" s="39">
        <v>1</v>
      </c>
      <c r="AF300" s="40">
        <v>1</v>
      </c>
      <c r="AG300" s="32"/>
      <c r="AH300" s="33"/>
      <c r="AI300" s="32"/>
      <c r="AJ300" s="33"/>
      <c r="AK300" s="32"/>
      <c r="AL300" s="33"/>
      <c r="AM300" s="32"/>
      <c r="AN300" s="33">
        <v>1</v>
      </c>
      <c r="AO300" s="34"/>
      <c r="AP300" s="35"/>
      <c r="AQ300" s="34"/>
      <c r="AR300" s="35"/>
      <c r="AS300" s="34"/>
      <c r="AT300" s="35"/>
      <c r="AU300" s="36"/>
      <c r="AV300" s="37">
        <v>1</v>
      </c>
      <c r="AW300" s="36"/>
      <c r="AX300" s="52">
        <f t="shared" si="6"/>
        <v>1</v>
      </c>
      <c r="AY300" s="52"/>
      <c r="AZ300" s="52"/>
    </row>
    <row r="301" spans="1:52" ht="110.25" customHeight="1" x14ac:dyDescent="0.25">
      <c r="A301" s="49" t="s">
        <v>1969</v>
      </c>
      <c r="B301" s="49" t="s">
        <v>1970</v>
      </c>
      <c r="C301" s="49" t="s">
        <v>1971</v>
      </c>
      <c r="D301" s="49">
        <v>2021</v>
      </c>
      <c r="E301" s="50" t="s">
        <v>1972</v>
      </c>
      <c r="F301" s="49">
        <v>3521989</v>
      </c>
      <c r="G301" s="49">
        <v>3522477</v>
      </c>
      <c r="H301" s="49" t="s">
        <v>426</v>
      </c>
      <c r="I301" s="49" t="s">
        <v>1969</v>
      </c>
      <c r="J301" s="64">
        <v>5.2141203703703703E-2</v>
      </c>
      <c r="K301" s="49" t="s">
        <v>79</v>
      </c>
      <c r="L301" s="49" t="s">
        <v>1973</v>
      </c>
      <c r="M301" s="49" t="s">
        <v>1974</v>
      </c>
      <c r="N301" s="49" t="s">
        <v>97</v>
      </c>
      <c r="O301" s="49" t="s">
        <v>63</v>
      </c>
      <c r="P301" s="49" t="s">
        <v>64</v>
      </c>
      <c r="Q301" s="49">
        <v>3</v>
      </c>
      <c r="R301" s="49" t="s">
        <v>99</v>
      </c>
      <c r="S301" s="49" t="s">
        <v>84</v>
      </c>
      <c r="T301" s="49" t="s">
        <v>85</v>
      </c>
      <c r="U301" s="49" t="s">
        <v>68</v>
      </c>
      <c r="V301" s="49" t="s">
        <v>86</v>
      </c>
      <c r="W301" s="49" t="s">
        <v>100</v>
      </c>
      <c r="X301" s="51" t="s">
        <v>1975</v>
      </c>
      <c r="Y301" s="51" t="s">
        <v>72</v>
      </c>
      <c r="Z301" s="51" t="s">
        <v>1976</v>
      </c>
      <c r="AA301" s="29"/>
      <c r="AB301" s="30"/>
      <c r="AC301" s="38"/>
      <c r="AD301" s="29"/>
      <c r="AE301" s="39">
        <v>1</v>
      </c>
      <c r="AF301" s="40"/>
      <c r="AG301" s="32"/>
      <c r="AH301" s="33"/>
      <c r="AI301" s="32">
        <v>1</v>
      </c>
      <c r="AJ301" s="33"/>
      <c r="AK301" s="32"/>
      <c r="AL301" s="33"/>
      <c r="AM301" s="32"/>
      <c r="AN301" s="33"/>
      <c r="AO301" s="34"/>
      <c r="AP301" s="35"/>
      <c r="AQ301" s="34"/>
      <c r="AR301" s="35"/>
      <c r="AS301" s="34"/>
      <c r="AT301" s="35"/>
      <c r="AU301" s="36"/>
      <c r="AV301" s="37"/>
      <c r="AW301" s="36"/>
      <c r="AX301" s="52">
        <f t="shared" si="6"/>
        <v>0</v>
      </c>
      <c r="AY301" s="52"/>
      <c r="AZ301" s="52"/>
    </row>
    <row r="302" spans="1:52" ht="110.25" customHeight="1" x14ac:dyDescent="0.25">
      <c r="A302" s="46" t="s">
        <v>1977</v>
      </c>
      <c r="B302" s="46" t="s">
        <v>1978</v>
      </c>
      <c r="C302" s="46" t="s">
        <v>1979</v>
      </c>
      <c r="D302" s="46">
        <v>2019</v>
      </c>
      <c r="E302" s="47" t="s">
        <v>1980</v>
      </c>
      <c r="F302" s="46">
        <v>297626</v>
      </c>
      <c r="G302" s="46">
        <v>301144</v>
      </c>
      <c r="H302" s="46" t="s">
        <v>1981</v>
      </c>
      <c r="I302" s="46" t="s">
        <v>1977</v>
      </c>
      <c r="J302" s="65">
        <v>3.8043981481481484E-2</v>
      </c>
      <c r="K302" s="46" t="s">
        <v>79</v>
      </c>
      <c r="L302" s="46" t="s">
        <v>1982</v>
      </c>
      <c r="M302" s="46" t="s">
        <v>1983</v>
      </c>
      <c r="N302" s="46" t="s">
        <v>273</v>
      </c>
      <c r="O302" s="46" t="s">
        <v>98</v>
      </c>
      <c r="P302" s="46" t="s">
        <v>120</v>
      </c>
      <c r="Q302" s="46">
        <v>4</v>
      </c>
      <c r="R302" s="46" t="s">
        <v>358</v>
      </c>
      <c r="S302" s="46" t="s">
        <v>84</v>
      </c>
      <c r="T302" s="46" t="s">
        <v>85</v>
      </c>
      <c r="U302" s="46" t="s">
        <v>187</v>
      </c>
      <c r="V302" s="46" t="s">
        <v>86</v>
      </c>
      <c r="W302" s="46" t="s">
        <v>70</v>
      </c>
      <c r="X302" s="48" t="s">
        <v>1984</v>
      </c>
      <c r="Y302" s="48" t="s">
        <v>72</v>
      </c>
      <c r="Z302" s="48" t="s">
        <v>1985</v>
      </c>
      <c r="AA302" s="29"/>
      <c r="AB302" s="30"/>
      <c r="AC302" s="38"/>
      <c r="AD302" s="29"/>
      <c r="AE302" s="39">
        <v>1</v>
      </c>
      <c r="AF302" s="40"/>
      <c r="AG302" s="32"/>
      <c r="AH302" s="33"/>
      <c r="AI302" s="32"/>
      <c r="AJ302" s="33"/>
      <c r="AK302" s="32">
        <v>1</v>
      </c>
      <c r="AL302" s="33"/>
      <c r="AM302" s="32"/>
      <c r="AN302" s="33"/>
      <c r="AO302" s="34"/>
      <c r="AP302" s="35"/>
      <c r="AQ302" s="34"/>
      <c r="AR302" s="35"/>
      <c r="AS302" s="34"/>
      <c r="AT302" s="35">
        <v>1</v>
      </c>
      <c r="AU302" s="36"/>
      <c r="AV302" s="37">
        <v>1</v>
      </c>
      <c r="AW302" s="36"/>
      <c r="AX302" s="52">
        <f t="shared" si="6"/>
        <v>1</v>
      </c>
      <c r="AY302" s="52"/>
      <c r="AZ302" s="52"/>
    </row>
    <row r="303" spans="1:52" ht="110.25" customHeight="1" x14ac:dyDescent="0.25">
      <c r="A303" s="49" t="s">
        <v>1977</v>
      </c>
      <c r="B303" s="49" t="s">
        <v>1986</v>
      </c>
      <c r="C303" s="49" t="s">
        <v>1979</v>
      </c>
      <c r="D303" s="49">
        <v>2019</v>
      </c>
      <c r="E303" s="50" t="s">
        <v>1987</v>
      </c>
      <c r="F303" s="49">
        <v>1272453</v>
      </c>
      <c r="G303" s="49">
        <v>1274380</v>
      </c>
      <c r="H303" s="49" t="s">
        <v>605</v>
      </c>
      <c r="I303" s="49" t="s">
        <v>1977</v>
      </c>
      <c r="J303" s="64">
        <v>3.8043981481481484E-2</v>
      </c>
      <c r="K303" s="49" t="s">
        <v>79</v>
      </c>
      <c r="L303" s="49" t="s">
        <v>1982</v>
      </c>
      <c r="M303" s="49" t="s">
        <v>1983</v>
      </c>
      <c r="N303" s="49" t="s">
        <v>605</v>
      </c>
      <c r="O303" s="49" t="s">
        <v>605</v>
      </c>
      <c r="P303" s="49" t="s">
        <v>120</v>
      </c>
      <c r="Q303" s="49">
        <v>4</v>
      </c>
      <c r="R303" s="49" t="s">
        <v>605</v>
      </c>
      <c r="S303" s="49" t="s">
        <v>84</v>
      </c>
      <c r="T303" s="49" t="s">
        <v>85</v>
      </c>
      <c r="U303" s="49" t="s">
        <v>605</v>
      </c>
      <c r="V303" s="49" t="s">
        <v>86</v>
      </c>
      <c r="W303" s="49" t="s">
        <v>605</v>
      </c>
      <c r="X303" s="51" t="s">
        <v>1988</v>
      </c>
      <c r="Y303" s="51" t="s">
        <v>72</v>
      </c>
      <c r="Z303" s="51" t="s">
        <v>1989</v>
      </c>
      <c r="AA303" s="29">
        <v>1</v>
      </c>
      <c r="AB303" s="30"/>
      <c r="AC303" s="38"/>
      <c r="AD303" s="29"/>
      <c r="AE303" s="39"/>
      <c r="AF303" s="40"/>
      <c r="AG303" s="32"/>
      <c r="AH303" s="33"/>
      <c r="AI303" s="32"/>
      <c r="AJ303" s="33"/>
      <c r="AK303" s="32"/>
      <c r="AL303" s="33"/>
      <c r="AM303" s="32"/>
      <c r="AN303" s="33"/>
      <c r="AO303" s="34"/>
      <c r="AP303" s="35"/>
      <c r="AQ303" s="34"/>
      <c r="AR303" s="35"/>
      <c r="AS303" s="34"/>
      <c r="AT303" s="35"/>
      <c r="AU303" s="36"/>
      <c r="AV303" s="37"/>
      <c r="AW303" s="36"/>
      <c r="AX303" s="52">
        <f t="shared" si="6"/>
        <v>0</v>
      </c>
      <c r="AY303" s="52"/>
      <c r="AZ303" s="52"/>
    </row>
    <row r="304" spans="1:52" ht="110.25" customHeight="1" x14ac:dyDescent="0.25">
      <c r="A304" s="46" t="s">
        <v>1990</v>
      </c>
      <c r="B304" s="46" t="s">
        <v>1991</v>
      </c>
      <c r="C304" s="46" t="s">
        <v>1992</v>
      </c>
      <c r="D304" s="46">
        <v>2022</v>
      </c>
      <c r="E304" s="47" t="s">
        <v>1993</v>
      </c>
      <c r="F304" s="46">
        <v>68460</v>
      </c>
      <c r="G304" s="46">
        <v>71510</v>
      </c>
      <c r="H304" s="46" t="s">
        <v>1994</v>
      </c>
      <c r="I304" s="46" t="s">
        <v>1990</v>
      </c>
      <c r="J304" s="65">
        <v>4.1747685185185186E-2</v>
      </c>
      <c r="K304" s="46" t="s">
        <v>79</v>
      </c>
      <c r="L304" s="46" t="s">
        <v>1995</v>
      </c>
      <c r="M304" s="46" t="s">
        <v>1996</v>
      </c>
      <c r="N304" s="46" t="s">
        <v>62</v>
      </c>
      <c r="O304" s="46" t="s">
        <v>98</v>
      </c>
      <c r="P304" s="46" t="s">
        <v>64</v>
      </c>
      <c r="Q304" s="46">
        <v>2</v>
      </c>
      <c r="R304" s="46" t="s">
        <v>83</v>
      </c>
      <c r="S304" s="46" t="s">
        <v>84</v>
      </c>
      <c r="T304" s="46" t="s">
        <v>85</v>
      </c>
      <c r="U304" s="46" t="s">
        <v>68</v>
      </c>
      <c r="V304" s="46" t="s">
        <v>86</v>
      </c>
      <c r="W304" s="46" t="s">
        <v>87</v>
      </c>
      <c r="X304" s="48" t="s">
        <v>1997</v>
      </c>
      <c r="Y304" s="48" t="s">
        <v>72</v>
      </c>
      <c r="Z304" s="48" t="s">
        <v>1998</v>
      </c>
      <c r="AA304" s="29"/>
      <c r="AB304" s="30"/>
      <c r="AC304" s="38"/>
      <c r="AD304" s="29"/>
      <c r="AE304" s="39">
        <v>1</v>
      </c>
      <c r="AF304" s="40"/>
      <c r="AG304" s="32"/>
      <c r="AH304" s="33"/>
      <c r="AI304" s="32"/>
      <c r="AJ304" s="33"/>
      <c r="AK304" s="32"/>
      <c r="AL304" s="33"/>
      <c r="AM304" s="32"/>
      <c r="AN304" s="33">
        <v>1</v>
      </c>
      <c r="AO304" s="34"/>
      <c r="AP304" s="35"/>
      <c r="AQ304" s="34"/>
      <c r="AR304" s="35"/>
      <c r="AS304" s="34"/>
      <c r="AT304" s="35"/>
      <c r="AU304" s="36"/>
      <c r="AV304" s="37"/>
      <c r="AW304" s="36"/>
      <c r="AX304" s="52">
        <f t="shared" si="6"/>
        <v>0</v>
      </c>
      <c r="AY304" s="52"/>
      <c r="AZ304" s="52"/>
    </row>
    <row r="305" spans="1:52" ht="110.25" customHeight="1" x14ac:dyDescent="0.25">
      <c r="A305" s="49" t="s">
        <v>1999</v>
      </c>
      <c r="B305" s="49" t="s">
        <v>2000</v>
      </c>
      <c r="C305" s="49" t="s">
        <v>2001</v>
      </c>
      <c r="D305" s="49">
        <v>2023</v>
      </c>
      <c r="E305" s="49" t="s">
        <v>2002</v>
      </c>
      <c r="F305" s="49">
        <v>958650</v>
      </c>
      <c r="G305" s="49">
        <v>963170</v>
      </c>
      <c r="H305" s="49" t="s">
        <v>2003</v>
      </c>
      <c r="I305" s="49" t="s">
        <v>1999</v>
      </c>
      <c r="J305" s="64">
        <v>2.3449074074074074E-2</v>
      </c>
      <c r="K305" s="49" t="s">
        <v>79</v>
      </c>
      <c r="L305" s="49" t="s">
        <v>2004</v>
      </c>
      <c r="M305" s="49" t="s">
        <v>2005</v>
      </c>
      <c r="N305" s="49" t="s">
        <v>62</v>
      </c>
      <c r="O305" s="49" t="s">
        <v>98</v>
      </c>
      <c r="P305" s="49" t="s">
        <v>64</v>
      </c>
      <c r="Q305" s="49">
        <v>4</v>
      </c>
      <c r="R305" s="49" t="s">
        <v>473</v>
      </c>
      <c r="S305" s="49" t="s">
        <v>84</v>
      </c>
      <c r="T305" s="49" t="s">
        <v>85</v>
      </c>
      <c r="U305" s="49" t="s">
        <v>68</v>
      </c>
      <c r="V305" s="49" t="s">
        <v>86</v>
      </c>
      <c r="W305" s="49" t="s">
        <v>70</v>
      </c>
      <c r="X305" s="51" t="s">
        <v>2006</v>
      </c>
      <c r="Y305" s="51" t="s">
        <v>72</v>
      </c>
      <c r="Z305" s="51" t="s">
        <v>2007</v>
      </c>
      <c r="AA305" s="29">
        <v>1</v>
      </c>
      <c r="AB305" s="30"/>
      <c r="AC305" s="38"/>
      <c r="AD305" s="29"/>
      <c r="AE305" s="39"/>
      <c r="AF305" s="40"/>
      <c r="AG305" s="32"/>
      <c r="AH305" s="33"/>
      <c r="AI305" s="32"/>
      <c r="AJ305" s="33"/>
      <c r="AK305" s="32"/>
      <c r="AL305" s="33"/>
      <c r="AM305" s="32"/>
      <c r="AN305" s="33"/>
      <c r="AO305" s="34"/>
      <c r="AP305" s="35"/>
      <c r="AQ305" s="34"/>
      <c r="AR305" s="35"/>
      <c r="AS305" s="34"/>
      <c r="AT305" s="35"/>
      <c r="AU305" s="36"/>
      <c r="AV305" s="37"/>
      <c r="AW305" s="36"/>
      <c r="AX305" s="52">
        <f t="shared" si="6"/>
        <v>0</v>
      </c>
      <c r="AY305" s="52"/>
      <c r="AZ305" s="52"/>
    </row>
    <row r="306" spans="1:52" ht="110.25" customHeight="1" x14ac:dyDescent="0.25">
      <c r="A306" s="46" t="s">
        <v>1999</v>
      </c>
      <c r="B306" s="46" t="s">
        <v>2008</v>
      </c>
      <c r="C306" s="46" t="s">
        <v>2001</v>
      </c>
      <c r="D306" s="46">
        <v>2023</v>
      </c>
      <c r="E306" s="47" t="s">
        <v>2009</v>
      </c>
      <c r="F306" s="46">
        <v>1454340</v>
      </c>
      <c r="G306" s="46">
        <v>1456239</v>
      </c>
      <c r="H306" s="46" t="s">
        <v>2010</v>
      </c>
      <c r="I306" s="46" t="s">
        <v>1999</v>
      </c>
      <c r="J306" s="65">
        <v>2.3449074074074074E-2</v>
      </c>
      <c r="K306" s="46" t="s">
        <v>79</v>
      </c>
      <c r="L306" s="46" t="s">
        <v>2004</v>
      </c>
      <c r="M306" s="46" t="s">
        <v>2005</v>
      </c>
      <c r="N306" s="46" t="s">
        <v>97</v>
      </c>
      <c r="O306" s="46" t="s">
        <v>98</v>
      </c>
      <c r="P306" s="46" t="s">
        <v>64</v>
      </c>
      <c r="Q306" s="46">
        <v>4</v>
      </c>
      <c r="R306" s="46" t="s">
        <v>99</v>
      </c>
      <c r="S306" s="46" t="s">
        <v>84</v>
      </c>
      <c r="T306" s="46" t="s">
        <v>85</v>
      </c>
      <c r="U306" s="46" t="s">
        <v>2011</v>
      </c>
      <c r="V306" s="46" t="s">
        <v>86</v>
      </c>
      <c r="W306" s="46" t="s">
        <v>100</v>
      </c>
      <c r="X306" s="48" t="s">
        <v>2012</v>
      </c>
      <c r="Y306" s="48" t="s">
        <v>72</v>
      </c>
      <c r="Z306" s="48" t="s">
        <v>2013</v>
      </c>
      <c r="AA306" s="29"/>
      <c r="AB306" s="30"/>
      <c r="AC306" s="38"/>
      <c r="AD306" s="29"/>
      <c r="AE306" s="39">
        <v>1</v>
      </c>
      <c r="AF306" s="40"/>
      <c r="AG306" s="32"/>
      <c r="AH306" s="33"/>
      <c r="AI306" s="32"/>
      <c r="AJ306" s="33"/>
      <c r="AK306" s="32"/>
      <c r="AL306" s="33"/>
      <c r="AM306" s="32"/>
      <c r="AN306" s="33"/>
      <c r="AO306" s="34"/>
      <c r="AP306" s="35"/>
      <c r="AQ306" s="34"/>
      <c r="AR306" s="35"/>
      <c r="AS306" s="34"/>
      <c r="AT306" s="35"/>
      <c r="AU306" s="36"/>
      <c r="AV306" s="37">
        <v>1</v>
      </c>
      <c r="AW306" s="36"/>
      <c r="AX306" s="52">
        <f t="shared" si="6"/>
        <v>0</v>
      </c>
      <c r="AY306" s="52"/>
      <c r="AZ306" s="52"/>
    </row>
    <row r="307" spans="1:52" ht="110.25" customHeight="1" x14ac:dyDescent="0.25">
      <c r="A307" s="49" t="s">
        <v>2014</v>
      </c>
      <c r="B307" s="49" t="s">
        <v>2015</v>
      </c>
      <c r="C307" s="49" t="s">
        <v>2016</v>
      </c>
      <c r="D307" s="49">
        <v>2024</v>
      </c>
      <c r="E307" s="50" t="s">
        <v>2017</v>
      </c>
      <c r="F307" s="49">
        <v>101860</v>
      </c>
      <c r="G307" s="49">
        <v>103319</v>
      </c>
      <c r="H307" s="49" t="s">
        <v>2018</v>
      </c>
      <c r="I307" s="49" t="s">
        <v>2014</v>
      </c>
      <c r="J307" s="64">
        <v>2.0462962962962964E-2</v>
      </c>
      <c r="K307" s="49" t="s">
        <v>79</v>
      </c>
      <c r="L307" s="49" t="s">
        <v>2019</v>
      </c>
      <c r="M307" s="49" t="s">
        <v>2020</v>
      </c>
      <c r="N307" s="49" t="s">
        <v>1418</v>
      </c>
      <c r="O307" s="49" t="s">
        <v>63</v>
      </c>
      <c r="P307" s="49" t="s">
        <v>64</v>
      </c>
      <c r="Q307" s="49">
        <v>2</v>
      </c>
      <c r="R307" s="49" t="s">
        <v>99</v>
      </c>
      <c r="S307" s="49" t="s">
        <v>84</v>
      </c>
      <c r="T307" s="49" t="s">
        <v>85</v>
      </c>
      <c r="U307" s="49" t="s">
        <v>68</v>
      </c>
      <c r="V307" s="49" t="s">
        <v>86</v>
      </c>
      <c r="W307" s="49" t="s">
        <v>398</v>
      </c>
      <c r="X307" s="51" t="s">
        <v>2021</v>
      </c>
      <c r="Y307" s="51" t="s">
        <v>72</v>
      </c>
      <c r="Z307" s="51" t="s">
        <v>2022</v>
      </c>
      <c r="AA307" s="29"/>
      <c r="AB307" s="30"/>
      <c r="AC307" s="38"/>
      <c r="AD307" s="29"/>
      <c r="AE307" s="39">
        <v>1</v>
      </c>
      <c r="AF307" s="40"/>
      <c r="AG307" s="32"/>
      <c r="AH307" s="33"/>
      <c r="AI307" s="32"/>
      <c r="AJ307" s="33"/>
      <c r="AK307" s="32">
        <v>1</v>
      </c>
      <c r="AL307" s="33"/>
      <c r="AM307" s="32"/>
      <c r="AN307" s="33"/>
      <c r="AO307" s="34"/>
      <c r="AP307" s="35"/>
      <c r="AQ307" s="34"/>
      <c r="AR307" s="35"/>
      <c r="AS307" s="34"/>
      <c r="AT307" s="35">
        <v>1</v>
      </c>
      <c r="AU307" s="36"/>
      <c r="AV307" s="37"/>
      <c r="AW307" s="36"/>
      <c r="AX307" s="52">
        <f t="shared" si="6"/>
        <v>1</v>
      </c>
      <c r="AY307" s="52"/>
      <c r="AZ307" s="52"/>
    </row>
    <row r="308" spans="1:52" ht="110.25" customHeight="1" x14ac:dyDescent="0.25">
      <c r="A308" s="46" t="s">
        <v>2014</v>
      </c>
      <c r="B308" s="46" t="s">
        <v>2023</v>
      </c>
      <c r="C308" s="46" t="s">
        <v>2016</v>
      </c>
      <c r="D308" s="46">
        <v>2024</v>
      </c>
      <c r="E308" s="47" t="s">
        <v>2024</v>
      </c>
      <c r="F308" s="46">
        <v>450951</v>
      </c>
      <c r="G308" s="46">
        <v>452103</v>
      </c>
      <c r="H308" s="46" t="s">
        <v>2018</v>
      </c>
      <c r="I308" s="46" t="s">
        <v>2014</v>
      </c>
      <c r="J308" s="65">
        <v>2.0462962962962964E-2</v>
      </c>
      <c r="K308" s="46" t="s">
        <v>79</v>
      </c>
      <c r="L308" s="46" t="s">
        <v>2019</v>
      </c>
      <c r="M308" s="46" t="s">
        <v>2020</v>
      </c>
      <c r="N308" s="46" t="s">
        <v>1418</v>
      </c>
      <c r="O308" s="46" t="s">
        <v>63</v>
      </c>
      <c r="P308" s="46" t="s">
        <v>64</v>
      </c>
      <c r="Q308" s="46">
        <v>2</v>
      </c>
      <c r="R308" s="46" t="s">
        <v>99</v>
      </c>
      <c r="S308" s="46" t="s">
        <v>84</v>
      </c>
      <c r="T308" s="46" t="s">
        <v>85</v>
      </c>
      <c r="U308" s="46" t="s">
        <v>68</v>
      </c>
      <c r="V308" s="46" t="s">
        <v>86</v>
      </c>
      <c r="W308" s="46" t="s">
        <v>398</v>
      </c>
      <c r="X308" s="48" t="s">
        <v>2025</v>
      </c>
      <c r="Y308" s="48" t="s">
        <v>72</v>
      </c>
      <c r="Z308" s="48" t="s">
        <v>2026</v>
      </c>
      <c r="AA308" s="29"/>
      <c r="AB308" s="30"/>
      <c r="AC308" s="38"/>
      <c r="AD308" s="29"/>
      <c r="AE308" s="39">
        <v>1</v>
      </c>
      <c r="AF308" s="40"/>
      <c r="AG308" s="32"/>
      <c r="AH308" s="33"/>
      <c r="AI308" s="32"/>
      <c r="AJ308" s="33"/>
      <c r="AK308" s="32">
        <v>1</v>
      </c>
      <c r="AL308" s="33"/>
      <c r="AM308" s="32"/>
      <c r="AN308" s="33"/>
      <c r="AO308" s="34"/>
      <c r="AP308" s="35">
        <v>1</v>
      </c>
      <c r="AQ308" s="34"/>
      <c r="AR308" s="35"/>
      <c r="AS308" s="34"/>
      <c r="AT308" s="35"/>
      <c r="AU308" s="36"/>
      <c r="AV308" s="37"/>
      <c r="AW308" s="36"/>
      <c r="AX308" s="52">
        <f t="shared" si="6"/>
        <v>1</v>
      </c>
      <c r="AY308" s="52"/>
      <c r="AZ308" s="74" t="s">
        <v>2306</v>
      </c>
    </row>
    <row r="309" spans="1:52" ht="110.25" customHeight="1" x14ac:dyDescent="0.25">
      <c r="A309" s="49" t="s">
        <v>2014</v>
      </c>
      <c r="B309" s="49" t="s">
        <v>2027</v>
      </c>
      <c r="C309" s="49" t="s">
        <v>2016</v>
      </c>
      <c r="D309" s="49">
        <v>2024</v>
      </c>
      <c r="E309" s="50" t="s">
        <v>2028</v>
      </c>
      <c r="F309" s="49">
        <v>455192</v>
      </c>
      <c r="G309" s="49">
        <v>459036</v>
      </c>
      <c r="H309" s="49" t="s">
        <v>2018</v>
      </c>
      <c r="I309" s="49" t="s">
        <v>2014</v>
      </c>
      <c r="J309" s="64">
        <v>2.0462962962962964E-2</v>
      </c>
      <c r="K309" s="49" t="s">
        <v>79</v>
      </c>
      <c r="L309" s="49" t="s">
        <v>2019</v>
      </c>
      <c r="M309" s="49" t="s">
        <v>2020</v>
      </c>
      <c r="N309" s="49" t="s">
        <v>1418</v>
      </c>
      <c r="O309" s="49" t="s">
        <v>63</v>
      </c>
      <c r="P309" s="49" t="s">
        <v>64</v>
      </c>
      <c r="Q309" s="49">
        <v>2</v>
      </c>
      <c r="R309" s="49" t="s">
        <v>99</v>
      </c>
      <c r="S309" s="49" t="s">
        <v>84</v>
      </c>
      <c r="T309" s="49" t="s">
        <v>85</v>
      </c>
      <c r="U309" s="49" t="s">
        <v>68</v>
      </c>
      <c r="V309" s="49" t="s">
        <v>86</v>
      </c>
      <c r="W309" s="49" t="s">
        <v>398</v>
      </c>
      <c r="X309" s="51" t="s">
        <v>2029</v>
      </c>
      <c r="Y309" s="51" t="s">
        <v>72</v>
      </c>
      <c r="Z309" s="51" t="s">
        <v>2030</v>
      </c>
      <c r="AA309" s="29"/>
      <c r="AB309" s="30"/>
      <c r="AC309" s="38"/>
      <c r="AD309" s="29"/>
      <c r="AE309" s="39">
        <v>1</v>
      </c>
      <c r="AF309" s="40"/>
      <c r="AG309" s="32"/>
      <c r="AH309" s="33"/>
      <c r="AI309" s="32"/>
      <c r="AJ309" s="33"/>
      <c r="AK309" s="32">
        <v>1</v>
      </c>
      <c r="AL309" s="33"/>
      <c r="AM309" s="32"/>
      <c r="AN309" s="33"/>
      <c r="AO309" s="34"/>
      <c r="AP309" s="35">
        <v>1</v>
      </c>
      <c r="AQ309" s="34"/>
      <c r="AR309" s="35"/>
      <c r="AS309" s="34"/>
      <c r="AT309" s="35"/>
      <c r="AU309" s="36"/>
      <c r="AV309" s="37"/>
      <c r="AW309" s="36"/>
      <c r="AX309" s="52">
        <f t="shared" ref="AX309:AX339" si="7">IF(SUM(COUNTIF(AG309:AN309,1), COUNTIF(AO309:AT309,1), COUNTIF(AU309:AW309,1))&gt;1, 1, 0)</f>
        <v>1</v>
      </c>
      <c r="AY309" s="52"/>
      <c r="AZ309" s="75"/>
    </row>
    <row r="310" spans="1:52" ht="110.25" customHeight="1" x14ac:dyDescent="0.25">
      <c r="A310" s="46" t="s">
        <v>2014</v>
      </c>
      <c r="B310" s="46" t="s">
        <v>2031</v>
      </c>
      <c r="C310" s="46" t="s">
        <v>2016</v>
      </c>
      <c r="D310" s="46">
        <v>2024</v>
      </c>
      <c r="E310" s="47" t="s">
        <v>2032</v>
      </c>
      <c r="F310" s="46">
        <v>1245091</v>
      </c>
      <c r="G310" s="46">
        <v>1245867</v>
      </c>
      <c r="H310" s="46" t="s">
        <v>2018</v>
      </c>
      <c r="I310" s="46" t="s">
        <v>2014</v>
      </c>
      <c r="J310" s="65">
        <v>2.0462962962962964E-2</v>
      </c>
      <c r="K310" s="46" t="s">
        <v>79</v>
      </c>
      <c r="L310" s="46" t="s">
        <v>2019</v>
      </c>
      <c r="M310" s="46" t="s">
        <v>2020</v>
      </c>
      <c r="N310" s="46" t="s">
        <v>1418</v>
      </c>
      <c r="O310" s="46" t="s">
        <v>63</v>
      </c>
      <c r="P310" s="46" t="s">
        <v>64</v>
      </c>
      <c r="Q310" s="46">
        <v>2</v>
      </c>
      <c r="R310" s="46" t="s">
        <v>99</v>
      </c>
      <c r="S310" s="46" t="s">
        <v>84</v>
      </c>
      <c r="T310" s="46" t="s">
        <v>85</v>
      </c>
      <c r="U310" s="46" t="s">
        <v>68</v>
      </c>
      <c r="V310" s="46" t="s">
        <v>86</v>
      </c>
      <c r="W310" s="46" t="s">
        <v>398</v>
      </c>
      <c r="X310" s="48" t="s">
        <v>2033</v>
      </c>
      <c r="Y310" s="48" t="s">
        <v>72</v>
      </c>
      <c r="Z310" s="48" t="s">
        <v>2034</v>
      </c>
      <c r="AA310" s="29"/>
      <c r="AB310" s="30"/>
      <c r="AC310" s="38"/>
      <c r="AD310" s="29"/>
      <c r="AE310" s="39">
        <v>1</v>
      </c>
      <c r="AF310" s="40"/>
      <c r="AG310" s="32"/>
      <c r="AH310" s="33"/>
      <c r="AI310" s="32"/>
      <c r="AJ310" s="33"/>
      <c r="AK310" s="32">
        <v>1</v>
      </c>
      <c r="AL310" s="33"/>
      <c r="AM310" s="32"/>
      <c r="AN310" s="33"/>
      <c r="AO310" s="34"/>
      <c r="AP310" s="35">
        <v>1</v>
      </c>
      <c r="AQ310" s="34"/>
      <c r="AR310" s="35"/>
      <c r="AS310" s="34"/>
      <c r="AT310" s="35"/>
      <c r="AU310" s="36"/>
      <c r="AV310" s="37"/>
      <c r="AW310" s="36"/>
      <c r="AX310" s="52">
        <f t="shared" si="7"/>
        <v>1</v>
      </c>
      <c r="AY310" s="52"/>
      <c r="AZ310" s="76"/>
    </row>
    <row r="311" spans="1:52" ht="110.25" customHeight="1" x14ac:dyDescent="0.25">
      <c r="A311" s="49" t="s">
        <v>2014</v>
      </c>
      <c r="B311" s="49" t="s">
        <v>2035</v>
      </c>
      <c r="C311" s="49" t="s">
        <v>2016</v>
      </c>
      <c r="D311" s="49">
        <v>2024</v>
      </c>
      <c r="E311" s="50" t="s">
        <v>2036</v>
      </c>
      <c r="F311" s="49">
        <v>1531682</v>
      </c>
      <c r="G311" s="49">
        <v>1537217</v>
      </c>
      <c r="H311" s="49" t="s">
        <v>2018</v>
      </c>
      <c r="I311" s="49" t="s">
        <v>2014</v>
      </c>
      <c r="J311" s="64">
        <v>2.0462962962962964E-2</v>
      </c>
      <c r="K311" s="49" t="s">
        <v>79</v>
      </c>
      <c r="L311" s="49" t="s">
        <v>2019</v>
      </c>
      <c r="M311" s="49" t="s">
        <v>2020</v>
      </c>
      <c r="N311" s="49" t="s">
        <v>1418</v>
      </c>
      <c r="O311" s="49" t="s">
        <v>63</v>
      </c>
      <c r="P311" s="49" t="s">
        <v>64</v>
      </c>
      <c r="Q311" s="49">
        <v>2</v>
      </c>
      <c r="R311" s="49" t="s">
        <v>99</v>
      </c>
      <c r="S311" s="49" t="s">
        <v>84</v>
      </c>
      <c r="T311" s="49" t="s">
        <v>85</v>
      </c>
      <c r="U311" s="49" t="s">
        <v>68</v>
      </c>
      <c r="V311" s="49" t="s">
        <v>86</v>
      </c>
      <c r="W311" s="49" t="s">
        <v>398</v>
      </c>
      <c r="X311" s="51" t="s">
        <v>2037</v>
      </c>
      <c r="Y311" s="51" t="s">
        <v>72</v>
      </c>
      <c r="Z311" s="51" t="s">
        <v>2038</v>
      </c>
      <c r="AA311" s="29">
        <v>1</v>
      </c>
      <c r="AB311" s="30"/>
      <c r="AC311" s="38"/>
      <c r="AD311" s="29"/>
      <c r="AE311" s="39"/>
      <c r="AF311" s="40"/>
      <c r="AG311" s="32"/>
      <c r="AH311" s="33"/>
      <c r="AI311" s="32"/>
      <c r="AJ311" s="33"/>
      <c r="AK311" s="32"/>
      <c r="AL311" s="33"/>
      <c r="AM311" s="32"/>
      <c r="AN311" s="33"/>
      <c r="AO311" s="34"/>
      <c r="AP311" s="35"/>
      <c r="AQ311" s="34"/>
      <c r="AR311" s="35"/>
      <c r="AS311" s="34"/>
      <c r="AT311" s="35"/>
      <c r="AU311" s="36"/>
      <c r="AV311" s="37"/>
      <c r="AW311" s="36"/>
      <c r="AX311" s="52">
        <f t="shared" si="7"/>
        <v>0</v>
      </c>
      <c r="AY311" s="52"/>
      <c r="AZ311" s="52"/>
    </row>
    <row r="312" spans="1:52" ht="110.25" customHeight="1" x14ac:dyDescent="0.25">
      <c r="A312" s="46" t="s">
        <v>2039</v>
      </c>
      <c r="B312" s="46" t="s">
        <v>2040</v>
      </c>
      <c r="C312" s="46" t="s">
        <v>2041</v>
      </c>
      <c r="D312" s="46" t="s">
        <v>114</v>
      </c>
      <c r="E312" s="47" t="s">
        <v>2042</v>
      </c>
      <c r="F312" s="46">
        <v>14610</v>
      </c>
      <c r="G312" s="46">
        <v>20020</v>
      </c>
      <c r="H312" s="46" t="s">
        <v>2043</v>
      </c>
      <c r="I312" s="46" t="s">
        <v>2039</v>
      </c>
      <c r="J312" s="65">
        <v>9.9537037037037042E-3</v>
      </c>
      <c r="K312" s="46" t="s">
        <v>79</v>
      </c>
      <c r="L312" s="46" t="s">
        <v>2044</v>
      </c>
      <c r="M312" s="46" t="s">
        <v>2045</v>
      </c>
      <c r="N312" s="46" t="s">
        <v>711</v>
      </c>
      <c r="O312" s="46" t="s">
        <v>63</v>
      </c>
      <c r="P312" s="46" t="s">
        <v>64</v>
      </c>
      <c r="Q312" s="46">
        <v>2</v>
      </c>
      <c r="R312" s="46" t="s">
        <v>83</v>
      </c>
      <c r="S312" s="46" t="s">
        <v>84</v>
      </c>
      <c r="T312" s="46" t="s">
        <v>85</v>
      </c>
      <c r="U312" s="46" t="s">
        <v>187</v>
      </c>
      <c r="V312" s="46" t="s">
        <v>122</v>
      </c>
      <c r="W312" s="46" t="s">
        <v>123</v>
      </c>
      <c r="X312" s="48" t="s">
        <v>2046</v>
      </c>
      <c r="Y312" s="48" t="s">
        <v>72</v>
      </c>
      <c r="Z312" s="48" t="s">
        <v>2047</v>
      </c>
      <c r="AA312" s="29"/>
      <c r="AB312" s="30"/>
      <c r="AC312" s="38"/>
      <c r="AD312" s="29"/>
      <c r="AE312" s="39">
        <v>1</v>
      </c>
      <c r="AF312" s="40"/>
      <c r="AG312" s="32"/>
      <c r="AH312" s="33"/>
      <c r="AI312" s="32"/>
      <c r="AJ312" s="33"/>
      <c r="AK312" s="32"/>
      <c r="AL312" s="33"/>
      <c r="AM312" s="32"/>
      <c r="AN312" s="33"/>
      <c r="AO312" s="34"/>
      <c r="AP312" s="35"/>
      <c r="AQ312" s="34"/>
      <c r="AR312" s="35"/>
      <c r="AS312" s="34"/>
      <c r="AT312" s="35"/>
      <c r="AU312" s="36"/>
      <c r="AV312" s="37"/>
      <c r="AW312" s="36"/>
      <c r="AX312" s="52">
        <f t="shared" si="7"/>
        <v>0</v>
      </c>
      <c r="AY312" s="52"/>
      <c r="AZ312" s="52" t="s">
        <v>2281</v>
      </c>
    </row>
    <row r="313" spans="1:52" ht="110.25" customHeight="1" x14ac:dyDescent="0.25">
      <c r="A313" s="49" t="s">
        <v>2048</v>
      </c>
      <c r="B313" s="49" t="s">
        <v>2049</v>
      </c>
      <c r="C313" s="49" t="s">
        <v>2050</v>
      </c>
      <c r="D313" s="49">
        <v>2022</v>
      </c>
      <c r="E313" s="50" t="s">
        <v>2051</v>
      </c>
      <c r="F313" s="49">
        <v>3674247</v>
      </c>
      <c r="G313" s="49">
        <v>3683900</v>
      </c>
      <c r="H313" s="49" t="s">
        <v>2052</v>
      </c>
      <c r="I313" s="49" t="s">
        <v>2048</v>
      </c>
      <c r="J313" s="64">
        <v>4.4641203703703704E-2</v>
      </c>
      <c r="K313" s="49" t="s">
        <v>59</v>
      </c>
      <c r="L313" s="49" t="s">
        <v>2053</v>
      </c>
      <c r="M313" s="49" t="s">
        <v>2054</v>
      </c>
      <c r="N313" s="49" t="s">
        <v>97</v>
      </c>
      <c r="O313" s="49" t="s">
        <v>63</v>
      </c>
      <c r="P313" s="49" t="s">
        <v>2055</v>
      </c>
      <c r="Q313" s="49">
        <v>3</v>
      </c>
      <c r="R313" s="49" t="s">
        <v>99</v>
      </c>
      <c r="S313" s="49" t="s">
        <v>66</v>
      </c>
      <c r="T313" s="49" t="s">
        <v>67</v>
      </c>
      <c r="U313" s="49" t="s">
        <v>631</v>
      </c>
      <c r="V313" s="49" t="s">
        <v>69</v>
      </c>
      <c r="W313" s="49" t="s">
        <v>100</v>
      </c>
      <c r="X313" s="51" t="s">
        <v>2056</v>
      </c>
      <c r="Y313" s="51" t="s">
        <v>72</v>
      </c>
      <c r="Z313" s="51" t="s">
        <v>2057</v>
      </c>
      <c r="AA313" s="29">
        <v>1</v>
      </c>
      <c r="AB313" s="30"/>
      <c r="AC313" s="38"/>
      <c r="AD313" s="29"/>
      <c r="AE313" s="39"/>
      <c r="AF313" s="40"/>
      <c r="AG313" s="32"/>
      <c r="AH313" s="33"/>
      <c r="AI313" s="32"/>
      <c r="AJ313" s="33"/>
      <c r="AK313" s="32"/>
      <c r="AL313" s="33"/>
      <c r="AM313" s="32"/>
      <c r="AN313" s="33"/>
      <c r="AO313" s="34"/>
      <c r="AP313" s="35"/>
      <c r="AQ313" s="34"/>
      <c r="AR313" s="35"/>
      <c r="AS313" s="34"/>
      <c r="AT313" s="35"/>
      <c r="AU313" s="36"/>
      <c r="AV313" s="37"/>
      <c r="AW313" s="36"/>
      <c r="AX313" s="52">
        <f t="shared" si="7"/>
        <v>0</v>
      </c>
      <c r="AY313" s="52"/>
      <c r="AZ313" s="52"/>
    </row>
    <row r="314" spans="1:52" ht="110.25" customHeight="1" x14ac:dyDescent="0.25">
      <c r="A314" s="46" t="s">
        <v>2058</v>
      </c>
      <c r="B314" s="46" t="s">
        <v>2059</v>
      </c>
      <c r="C314" s="46" t="s">
        <v>2060</v>
      </c>
      <c r="D314" s="46">
        <v>2022</v>
      </c>
      <c r="E314" s="47" t="s">
        <v>2061</v>
      </c>
      <c r="F314" s="46">
        <v>643566</v>
      </c>
      <c r="G314" s="46">
        <v>644983</v>
      </c>
      <c r="H314" s="46" t="s">
        <v>2062</v>
      </c>
      <c r="I314" s="46" t="s">
        <v>2058</v>
      </c>
      <c r="J314" s="65">
        <v>3.6990740740740741E-2</v>
      </c>
      <c r="K314" s="46" t="s">
        <v>79</v>
      </c>
      <c r="L314" s="46" t="s">
        <v>2063</v>
      </c>
      <c r="M314" s="46" t="s">
        <v>2064</v>
      </c>
      <c r="N314" s="46" t="s">
        <v>186</v>
      </c>
      <c r="O314" s="46" t="s">
        <v>63</v>
      </c>
      <c r="P314" s="46" t="s">
        <v>64</v>
      </c>
      <c r="Q314" s="46">
        <v>2</v>
      </c>
      <c r="R314" s="46" t="s">
        <v>83</v>
      </c>
      <c r="S314" s="46" t="s">
        <v>84</v>
      </c>
      <c r="T314" s="46" t="s">
        <v>85</v>
      </c>
      <c r="U314" s="46" t="s">
        <v>644</v>
      </c>
      <c r="V314" s="46" t="s">
        <v>86</v>
      </c>
      <c r="W314" s="46" t="s">
        <v>87</v>
      </c>
      <c r="X314" s="48" t="s">
        <v>2065</v>
      </c>
      <c r="Y314" s="48" t="s">
        <v>72</v>
      </c>
      <c r="Z314" s="48" t="s">
        <v>2066</v>
      </c>
      <c r="AA314" s="29"/>
      <c r="AB314" s="30"/>
      <c r="AC314" s="38"/>
      <c r="AD314" s="29"/>
      <c r="AE314" s="39">
        <v>1</v>
      </c>
      <c r="AF314" s="40"/>
      <c r="AG314" s="32"/>
      <c r="AH314" s="33"/>
      <c r="AI314" s="32"/>
      <c r="AJ314" s="33"/>
      <c r="AK314" s="32"/>
      <c r="AL314" s="33"/>
      <c r="AM314" s="32"/>
      <c r="AN314" s="33">
        <v>1</v>
      </c>
      <c r="AO314" s="34"/>
      <c r="AP314" s="35"/>
      <c r="AQ314" s="34"/>
      <c r="AR314" s="35"/>
      <c r="AS314" s="34"/>
      <c r="AT314" s="35"/>
      <c r="AU314" s="36"/>
      <c r="AV314" s="37">
        <v>1</v>
      </c>
      <c r="AW314" s="36"/>
      <c r="AX314" s="52">
        <f t="shared" si="7"/>
        <v>1</v>
      </c>
      <c r="AY314" s="52"/>
      <c r="AZ314" s="52"/>
    </row>
    <row r="315" spans="1:52" ht="110.25" customHeight="1" x14ac:dyDescent="0.25">
      <c r="A315" s="49" t="s">
        <v>2067</v>
      </c>
      <c r="B315" s="49" t="s">
        <v>2068</v>
      </c>
      <c r="C315" s="49" t="s">
        <v>2069</v>
      </c>
      <c r="D315" s="49" t="s">
        <v>114</v>
      </c>
      <c r="E315" s="49" t="s">
        <v>2070</v>
      </c>
      <c r="F315" s="49">
        <v>5046619</v>
      </c>
      <c r="G315" s="49">
        <v>5050149</v>
      </c>
      <c r="H315" s="49" t="s">
        <v>2071</v>
      </c>
      <c r="I315" s="49" t="s">
        <v>2067</v>
      </c>
      <c r="J315" s="64">
        <v>5.846064814814815E-2</v>
      </c>
      <c r="K315" s="49" t="s">
        <v>79</v>
      </c>
      <c r="L315" s="49" t="s">
        <v>2072</v>
      </c>
      <c r="M315" s="49" t="s">
        <v>2073</v>
      </c>
      <c r="N315" s="49" t="s">
        <v>82</v>
      </c>
      <c r="O315" s="49" t="s">
        <v>98</v>
      </c>
      <c r="P315" s="49" t="s">
        <v>64</v>
      </c>
      <c r="Q315" s="49">
        <v>1</v>
      </c>
      <c r="R315" s="49" t="s">
        <v>83</v>
      </c>
      <c r="S315" s="49" t="s">
        <v>66</v>
      </c>
      <c r="T315" s="49" t="s">
        <v>85</v>
      </c>
      <c r="U315" s="49" t="s">
        <v>68</v>
      </c>
      <c r="V315" s="49" t="s">
        <v>274</v>
      </c>
      <c r="W315" s="49" t="s">
        <v>123</v>
      </c>
      <c r="X315" s="51" t="s">
        <v>2074</v>
      </c>
      <c r="Y315" s="51" t="s">
        <v>72</v>
      </c>
      <c r="Z315" s="51" t="s">
        <v>2075</v>
      </c>
      <c r="AA315" s="29">
        <v>1</v>
      </c>
      <c r="AB315" s="30"/>
      <c r="AC315" s="38"/>
      <c r="AD315" s="29"/>
      <c r="AE315" s="39"/>
      <c r="AF315" s="40"/>
      <c r="AG315" s="32"/>
      <c r="AH315" s="33"/>
      <c r="AI315" s="32"/>
      <c r="AJ315" s="33"/>
      <c r="AK315" s="32"/>
      <c r="AL315" s="33"/>
      <c r="AM315" s="32"/>
      <c r="AN315" s="33"/>
      <c r="AO315" s="34"/>
      <c r="AP315" s="35"/>
      <c r="AQ315" s="34"/>
      <c r="AR315" s="35"/>
      <c r="AS315" s="34"/>
      <c r="AT315" s="35"/>
      <c r="AU315" s="36"/>
      <c r="AV315" s="37"/>
      <c r="AW315" s="36"/>
      <c r="AX315" s="52">
        <f t="shared" si="7"/>
        <v>0</v>
      </c>
      <c r="AY315" s="52"/>
      <c r="AZ315" s="52"/>
    </row>
    <row r="316" spans="1:52" ht="110.25" customHeight="1" x14ac:dyDescent="0.25">
      <c r="A316" s="46" t="s">
        <v>2076</v>
      </c>
      <c r="B316" s="46" t="s">
        <v>2077</v>
      </c>
      <c r="C316" s="46" t="s">
        <v>2078</v>
      </c>
      <c r="D316" s="46">
        <v>2022</v>
      </c>
      <c r="E316" s="47" t="s">
        <v>2079</v>
      </c>
      <c r="F316" s="46">
        <v>913765</v>
      </c>
      <c r="G316" s="46">
        <v>917845</v>
      </c>
      <c r="H316" s="46" t="s">
        <v>1185</v>
      </c>
      <c r="I316" s="46" t="s">
        <v>2076</v>
      </c>
      <c r="J316" s="65">
        <v>2.4513888888888891E-2</v>
      </c>
      <c r="K316" s="46" t="s">
        <v>79</v>
      </c>
      <c r="L316" s="46" t="s">
        <v>2080</v>
      </c>
      <c r="M316" s="46" t="s">
        <v>2081</v>
      </c>
      <c r="N316" s="46" t="s">
        <v>97</v>
      </c>
      <c r="O316" s="46" t="s">
        <v>63</v>
      </c>
      <c r="P316" s="46" t="s">
        <v>64</v>
      </c>
      <c r="Q316" s="46">
        <v>3</v>
      </c>
      <c r="R316" s="46" t="s">
        <v>99</v>
      </c>
      <c r="S316" s="46" t="s">
        <v>84</v>
      </c>
      <c r="T316" s="46" t="s">
        <v>85</v>
      </c>
      <c r="U316" s="46" t="s">
        <v>1044</v>
      </c>
      <c r="V316" s="46" t="s">
        <v>86</v>
      </c>
      <c r="W316" s="46" t="s">
        <v>87</v>
      </c>
      <c r="X316" s="48" t="s">
        <v>2082</v>
      </c>
      <c r="Y316" s="48" t="s">
        <v>72</v>
      </c>
      <c r="Z316" s="48" t="s">
        <v>2083</v>
      </c>
      <c r="AA316" s="29"/>
      <c r="AB316" s="30"/>
      <c r="AC316" s="38"/>
      <c r="AD316" s="29"/>
      <c r="AE316" s="39">
        <v>1</v>
      </c>
      <c r="AF316" s="40"/>
      <c r="AG316" s="32"/>
      <c r="AH316" s="33"/>
      <c r="AI316" s="32"/>
      <c r="AJ316" s="33"/>
      <c r="AK316" s="32"/>
      <c r="AL316" s="33"/>
      <c r="AM316" s="32"/>
      <c r="AN316" s="33"/>
      <c r="AO316" s="34"/>
      <c r="AP316" s="35"/>
      <c r="AQ316" s="34">
        <v>1</v>
      </c>
      <c r="AR316" s="35"/>
      <c r="AS316" s="34"/>
      <c r="AT316" s="35"/>
      <c r="AU316" s="36"/>
      <c r="AV316" s="37"/>
      <c r="AW316" s="36"/>
      <c r="AX316" s="52">
        <f t="shared" si="7"/>
        <v>0</v>
      </c>
      <c r="AY316" s="52"/>
      <c r="AZ316" s="52" t="s">
        <v>2304</v>
      </c>
    </row>
    <row r="317" spans="1:52" ht="110.25" customHeight="1" x14ac:dyDescent="0.25">
      <c r="A317" s="49" t="s">
        <v>2084</v>
      </c>
      <c r="B317" s="49" t="s">
        <v>2085</v>
      </c>
      <c r="C317" s="49" t="s">
        <v>2086</v>
      </c>
      <c r="D317" s="49">
        <v>2020</v>
      </c>
      <c r="E317" s="50" t="s">
        <v>2087</v>
      </c>
      <c r="F317" s="49">
        <v>1060777</v>
      </c>
      <c r="G317" s="49">
        <v>1062781</v>
      </c>
      <c r="H317" s="49" t="s">
        <v>281</v>
      </c>
      <c r="I317" s="49" t="s">
        <v>2084</v>
      </c>
      <c r="J317" s="64">
        <v>3.802083333333333E-2</v>
      </c>
      <c r="K317" s="49" t="s">
        <v>59</v>
      </c>
      <c r="L317" s="49" t="s">
        <v>2088</v>
      </c>
      <c r="M317" s="49" t="s">
        <v>2089</v>
      </c>
      <c r="N317" s="49" t="s">
        <v>97</v>
      </c>
      <c r="O317" s="49" t="s">
        <v>63</v>
      </c>
      <c r="P317" s="49" t="s">
        <v>284</v>
      </c>
      <c r="Q317" s="49">
        <v>3</v>
      </c>
      <c r="R317" s="49" t="s">
        <v>99</v>
      </c>
      <c r="S317" s="49" t="s">
        <v>66</v>
      </c>
      <c r="T317" s="49" t="s">
        <v>67</v>
      </c>
      <c r="U317" s="49" t="s">
        <v>68</v>
      </c>
      <c r="V317" s="49" t="s">
        <v>69</v>
      </c>
      <c r="W317" s="49" t="s">
        <v>100</v>
      </c>
      <c r="X317" s="51" t="s">
        <v>2090</v>
      </c>
      <c r="Y317" s="51" t="s">
        <v>72</v>
      </c>
      <c r="Z317" s="51" t="s">
        <v>2091</v>
      </c>
      <c r="AA317" s="29">
        <v>1</v>
      </c>
      <c r="AB317" s="30"/>
      <c r="AC317" s="38"/>
      <c r="AD317" s="29"/>
      <c r="AE317" s="39"/>
      <c r="AF317" s="40"/>
      <c r="AG317" s="32"/>
      <c r="AH317" s="33"/>
      <c r="AI317" s="32"/>
      <c r="AJ317" s="33"/>
      <c r="AK317" s="32"/>
      <c r="AL317" s="33"/>
      <c r="AM317" s="32"/>
      <c r="AN317" s="33"/>
      <c r="AO317" s="34"/>
      <c r="AP317" s="35"/>
      <c r="AQ317" s="34"/>
      <c r="AR317" s="35"/>
      <c r="AS317" s="34"/>
      <c r="AT317" s="35"/>
      <c r="AU317" s="36"/>
      <c r="AV317" s="37"/>
      <c r="AW317" s="36"/>
      <c r="AX317" s="52">
        <f t="shared" si="7"/>
        <v>0</v>
      </c>
      <c r="AY317" s="52"/>
      <c r="AZ317" s="52" t="s">
        <v>2307</v>
      </c>
    </row>
    <row r="318" spans="1:52" ht="110.25" customHeight="1" x14ac:dyDescent="0.25">
      <c r="A318" s="46" t="s">
        <v>2084</v>
      </c>
      <c r="B318" s="46" t="s">
        <v>2092</v>
      </c>
      <c r="C318" s="46" t="s">
        <v>2086</v>
      </c>
      <c r="D318" s="46">
        <v>2020</v>
      </c>
      <c r="E318" s="47" t="s">
        <v>2093</v>
      </c>
      <c r="F318" s="46">
        <v>1762451</v>
      </c>
      <c r="G318" s="46">
        <v>1763344</v>
      </c>
      <c r="H318" s="46" t="s">
        <v>2094</v>
      </c>
      <c r="I318" s="46" t="s">
        <v>2084</v>
      </c>
      <c r="J318" s="65">
        <v>3.802083333333333E-2</v>
      </c>
      <c r="K318" s="46" t="s">
        <v>59</v>
      </c>
      <c r="L318" s="46" t="s">
        <v>2088</v>
      </c>
      <c r="M318" s="46" t="s">
        <v>2089</v>
      </c>
      <c r="N318" s="46" t="s">
        <v>97</v>
      </c>
      <c r="O318" s="46" t="s">
        <v>63</v>
      </c>
      <c r="P318" s="46" t="s">
        <v>284</v>
      </c>
      <c r="Q318" s="46">
        <v>3</v>
      </c>
      <c r="R318" s="46" t="s">
        <v>99</v>
      </c>
      <c r="S318" s="46" t="s">
        <v>66</v>
      </c>
      <c r="T318" s="46" t="s">
        <v>67</v>
      </c>
      <c r="U318" s="46" t="s">
        <v>68</v>
      </c>
      <c r="V318" s="46" t="s">
        <v>69</v>
      </c>
      <c r="W318" s="46" t="s">
        <v>100</v>
      </c>
      <c r="X318" s="48" t="s">
        <v>2095</v>
      </c>
      <c r="Y318" s="48" t="s">
        <v>72</v>
      </c>
      <c r="Z318" s="48" t="s">
        <v>2096</v>
      </c>
      <c r="AA318" s="29"/>
      <c r="AB318" s="30"/>
      <c r="AC318" s="38"/>
      <c r="AD318" s="29"/>
      <c r="AE318" s="39">
        <v>1</v>
      </c>
      <c r="AF318" s="40"/>
      <c r="AG318" s="32"/>
      <c r="AH318" s="33"/>
      <c r="AI318" s="32">
        <v>1</v>
      </c>
      <c r="AJ318" s="33"/>
      <c r="AK318" s="32"/>
      <c r="AL318" s="33"/>
      <c r="AM318" s="32"/>
      <c r="AN318" s="33"/>
      <c r="AO318" s="34"/>
      <c r="AP318" s="35"/>
      <c r="AQ318" s="34"/>
      <c r="AR318" s="35"/>
      <c r="AS318" s="34"/>
      <c r="AT318" s="35"/>
      <c r="AU318" s="36"/>
      <c r="AV318" s="37">
        <v>1</v>
      </c>
      <c r="AW318" s="36">
        <v>1</v>
      </c>
      <c r="AX318" s="52">
        <f t="shared" si="7"/>
        <v>1</v>
      </c>
      <c r="AY318" s="52"/>
      <c r="AZ318" s="52"/>
    </row>
    <row r="319" spans="1:52" ht="110.25" customHeight="1" x14ac:dyDescent="0.25">
      <c r="A319" s="49" t="s">
        <v>2097</v>
      </c>
      <c r="B319" s="49" t="s">
        <v>2098</v>
      </c>
      <c r="C319" s="49" t="s">
        <v>2099</v>
      </c>
      <c r="D319" s="49" t="s">
        <v>114</v>
      </c>
      <c r="E319" s="50" t="s">
        <v>2100</v>
      </c>
      <c r="F319" s="49">
        <v>4684966</v>
      </c>
      <c r="G319" s="49">
        <v>4689713</v>
      </c>
      <c r="H319" s="49" t="s">
        <v>2101</v>
      </c>
      <c r="I319" s="49" t="s">
        <v>2097</v>
      </c>
      <c r="J319" s="64">
        <v>6.3275462962962964E-2</v>
      </c>
      <c r="K319" s="49" t="s">
        <v>79</v>
      </c>
      <c r="L319" s="49" t="s">
        <v>2102</v>
      </c>
      <c r="M319" s="49" t="s">
        <v>2103</v>
      </c>
      <c r="N319" s="49" t="s">
        <v>159</v>
      </c>
      <c r="O319" s="49" t="s">
        <v>63</v>
      </c>
      <c r="P319" s="49" t="s">
        <v>64</v>
      </c>
      <c r="Q319" s="49">
        <v>1</v>
      </c>
      <c r="R319" s="49" t="s">
        <v>83</v>
      </c>
      <c r="S319" s="49" t="s">
        <v>66</v>
      </c>
      <c r="T319" s="49" t="s">
        <v>85</v>
      </c>
      <c r="U319" s="49" t="s">
        <v>68</v>
      </c>
      <c r="V319" s="49" t="s">
        <v>274</v>
      </c>
      <c r="W319" s="49" t="s">
        <v>123</v>
      </c>
      <c r="X319" s="51" t="s">
        <v>2104</v>
      </c>
      <c r="Y319" s="51" t="s">
        <v>72</v>
      </c>
      <c r="Z319" s="51" t="s">
        <v>2105</v>
      </c>
      <c r="AA319" s="29"/>
      <c r="AB319" s="30"/>
      <c r="AC319" s="38"/>
      <c r="AD319" s="29"/>
      <c r="AE319" s="39">
        <v>1</v>
      </c>
      <c r="AF319" s="40"/>
      <c r="AG319" s="32"/>
      <c r="AH319" s="33"/>
      <c r="AI319" s="32"/>
      <c r="AJ319" s="33"/>
      <c r="AK319" s="32"/>
      <c r="AL319" s="33"/>
      <c r="AM319" s="32"/>
      <c r="AN319" s="33"/>
      <c r="AO319" s="34"/>
      <c r="AP319" s="35">
        <v>1</v>
      </c>
      <c r="AQ319" s="34"/>
      <c r="AR319" s="35"/>
      <c r="AS319" s="34"/>
      <c r="AT319" s="35"/>
      <c r="AU319" s="36"/>
      <c r="AV319" s="37"/>
      <c r="AW319" s="36"/>
      <c r="AX319" s="52">
        <f t="shared" si="7"/>
        <v>0</v>
      </c>
      <c r="AY319" s="52"/>
      <c r="AZ319" s="52"/>
    </row>
    <row r="320" spans="1:52" ht="110.25" customHeight="1" x14ac:dyDescent="0.25">
      <c r="A320" s="46" t="s">
        <v>2106</v>
      </c>
      <c r="B320" s="46" t="s">
        <v>2107</v>
      </c>
      <c r="C320" s="46" t="s">
        <v>2108</v>
      </c>
      <c r="D320" s="46">
        <v>2019</v>
      </c>
      <c r="E320" s="47" t="s">
        <v>2109</v>
      </c>
      <c r="F320" s="46">
        <v>2726929</v>
      </c>
      <c r="G320" s="46">
        <v>2728149</v>
      </c>
      <c r="H320" s="46" t="s">
        <v>542</v>
      </c>
      <c r="I320" s="46" t="s">
        <v>2106</v>
      </c>
      <c r="J320" s="65">
        <v>3.1620370370370368E-2</v>
      </c>
      <c r="K320" s="46" t="s">
        <v>79</v>
      </c>
      <c r="L320" s="46" t="s">
        <v>2110</v>
      </c>
      <c r="M320" s="46" t="s">
        <v>2111</v>
      </c>
      <c r="N320" s="46" t="s">
        <v>273</v>
      </c>
      <c r="O320" s="46" t="s">
        <v>98</v>
      </c>
      <c r="P320" s="46" t="s">
        <v>120</v>
      </c>
      <c r="Q320" s="46">
        <v>2</v>
      </c>
      <c r="R320" s="46" t="s">
        <v>99</v>
      </c>
      <c r="S320" s="46" t="s">
        <v>84</v>
      </c>
      <c r="T320" s="46" t="s">
        <v>67</v>
      </c>
      <c r="U320" s="46" t="s">
        <v>545</v>
      </c>
      <c r="V320" s="46" t="s">
        <v>86</v>
      </c>
      <c r="W320" s="46" t="s">
        <v>100</v>
      </c>
      <c r="X320" s="48" t="s">
        <v>2112</v>
      </c>
      <c r="Y320" s="48" t="s">
        <v>72</v>
      </c>
      <c r="Z320" s="48" t="s">
        <v>2113</v>
      </c>
      <c r="AA320" s="29"/>
      <c r="AB320" s="30"/>
      <c r="AC320" s="38"/>
      <c r="AD320" s="29"/>
      <c r="AE320" s="39">
        <v>1</v>
      </c>
      <c r="AF320" s="40"/>
      <c r="AG320" s="32"/>
      <c r="AH320" s="33"/>
      <c r="AI320" s="32"/>
      <c r="AJ320" s="33"/>
      <c r="AK320" s="32"/>
      <c r="AL320" s="33"/>
      <c r="AM320" s="32"/>
      <c r="AN320" s="33"/>
      <c r="AO320" s="34"/>
      <c r="AP320" s="35"/>
      <c r="AQ320" s="34"/>
      <c r="AR320" s="35"/>
      <c r="AS320" s="34"/>
      <c r="AT320" s="35"/>
      <c r="AU320" s="36"/>
      <c r="AV320" s="37">
        <v>1</v>
      </c>
      <c r="AW320" s="36"/>
      <c r="AX320" s="52">
        <f t="shared" si="7"/>
        <v>0</v>
      </c>
      <c r="AY320" s="52"/>
      <c r="AZ320" s="52"/>
    </row>
    <row r="321" spans="1:147" ht="110.25" customHeight="1" x14ac:dyDescent="0.25">
      <c r="A321" s="49" t="s">
        <v>2114</v>
      </c>
      <c r="B321" s="49" t="s">
        <v>2115</v>
      </c>
      <c r="C321" s="49" t="s">
        <v>2116</v>
      </c>
      <c r="D321" s="49">
        <v>2019</v>
      </c>
      <c r="E321" s="50" t="s">
        <v>2117</v>
      </c>
      <c r="F321" s="49">
        <v>127803</v>
      </c>
      <c r="G321" s="49">
        <v>130057</v>
      </c>
      <c r="H321" s="49" t="s">
        <v>185</v>
      </c>
      <c r="I321" s="49" t="s">
        <v>2114</v>
      </c>
      <c r="J321" s="64">
        <v>3.2696759259259259E-2</v>
      </c>
      <c r="K321" s="49" t="s">
        <v>79</v>
      </c>
      <c r="L321" s="49" t="s">
        <v>2118</v>
      </c>
      <c r="M321" s="49" t="s">
        <v>2119</v>
      </c>
      <c r="N321" s="49" t="s">
        <v>186</v>
      </c>
      <c r="O321" s="49" t="s">
        <v>63</v>
      </c>
      <c r="P321" s="49" t="s">
        <v>120</v>
      </c>
      <c r="Q321" s="49">
        <v>4</v>
      </c>
      <c r="R321" s="49" t="s">
        <v>83</v>
      </c>
      <c r="S321" s="49" t="s">
        <v>84</v>
      </c>
      <c r="T321" s="49" t="s">
        <v>85</v>
      </c>
      <c r="U321" s="49" t="s">
        <v>187</v>
      </c>
      <c r="V321" s="49" t="s">
        <v>86</v>
      </c>
      <c r="W321" s="49" t="s">
        <v>123</v>
      </c>
      <c r="X321" s="51" t="s">
        <v>2120</v>
      </c>
      <c r="Y321" s="51" t="s">
        <v>72</v>
      </c>
      <c r="Z321" s="51" t="s">
        <v>2121</v>
      </c>
      <c r="AA321" s="29"/>
      <c r="AB321" s="30"/>
      <c r="AC321" s="38"/>
      <c r="AD321" s="29"/>
      <c r="AE321" s="39">
        <v>1</v>
      </c>
      <c r="AF321" s="40"/>
      <c r="AG321" s="32"/>
      <c r="AH321" s="33"/>
      <c r="AI321" s="32"/>
      <c r="AJ321" s="33"/>
      <c r="AK321" s="32"/>
      <c r="AL321" s="33"/>
      <c r="AM321" s="32"/>
      <c r="AN321" s="33"/>
      <c r="AO321" s="34"/>
      <c r="AP321" s="35"/>
      <c r="AQ321" s="34"/>
      <c r="AR321" s="35"/>
      <c r="AS321" s="34"/>
      <c r="AT321" s="35"/>
      <c r="AU321" s="36"/>
      <c r="AV321" s="37">
        <v>1</v>
      </c>
      <c r="AW321" s="36"/>
      <c r="AX321" s="52">
        <f t="shared" si="7"/>
        <v>0</v>
      </c>
      <c r="AY321" s="52"/>
      <c r="AZ321" s="52"/>
    </row>
    <row r="322" spans="1:147" s="44" customFormat="1" ht="110.25" customHeight="1" x14ac:dyDescent="0.25">
      <c r="A322" s="46" t="s">
        <v>2122</v>
      </c>
      <c r="B322" s="46" t="s">
        <v>2123</v>
      </c>
      <c r="C322" s="46" t="s">
        <v>2124</v>
      </c>
      <c r="D322" s="46" t="s">
        <v>114</v>
      </c>
      <c r="E322" s="47" t="s">
        <v>2125</v>
      </c>
      <c r="F322" s="46">
        <v>1457412</v>
      </c>
      <c r="G322" s="46">
        <v>1460410</v>
      </c>
      <c r="H322" s="46" t="s">
        <v>2126</v>
      </c>
      <c r="I322" s="46" t="s">
        <v>2122</v>
      </c>
      <c r="J322" s="65">
        <v>5.4560185185185184E-2</v>
      </c>
      <c r="K322" s="46" t="s">
        <v>59</v>
      </c>
      <c r="L322" s="46" t="s">
        <v>2127</v>
      </c>
      <c r="M322" s="46" t="s">
        <v>2128</v>
      </c>
      <c r="N322" s="46" t="s">
        <v>97</v>
      </c>
      <c r="O322" s="46" t="s">
        <v>63</v>
      </c>
      <c r="P322" s="46" t="s">
        <v>64</v>
      </c>
      <c r="Q322" s="46">
        <v>4</v>
      </c>
      <c r="R322" s="46" t="s">
        <v>99</v>
      </c>
      <c r="S322" s="46" t="s">
        <v>66</v>
      </c>
      <c r="T322" s="46" t="s">
        <v>67</v>
      </c>
      <c r="U322" s="46" t="s">
        <v>187</v>
      </c>
      <c r="V322" s="46" t="s">
        <v>143</v>
      </c>
      <c r="W322" s="46" t="s">
        <v>100</v>
      </c>
      <c r="X322" s="48" t="s">
        <v>2129</v>
      </c>
      <c r="Y322" s="48" t="s">
        <v>72</v>
      </c>
      <c r="Z322" s="48" t="s">
        <v>2130</v>
      </c>
      <c r="AA322" s="29"/>
      <c r="AB322" s="43"/>
      <c r="AC322" s="43"/>
      <c r="AD322" s="43"/>
      <c r="AE322" s="39"/>
      <c r="AF322" s="40"/>
      <c r="AG322" s="32"/>
      <c r="AH322" s="33"/>
      <c r="AI322" s="32"/>
      <c r="AJ322" s="33"/>
      <c r="AK322" s="32"/>
      <c r="AL322" s="33"/>
      <c r="AM322" s="32"/>
      <c r="AN322" s="33"/>
      <c r="AO322" s="34"/>
      <c r="AP322" s="35"/>
      <c r="AQ322" s="34"/>
      <c r="AR322" s="35"/>
      <c r="AS322" s="34"/>
      <c r="AT322" s="35"/>
      <c r="AU322" s="36"/>
      <c r="AV322" s="37"/>
      <c r="AW322" s="36"/>
      <c r="AX322" s="52">
        <f t="shared" si="7"/>
        <v>0</v>
      </c>
      <c r="AY322" s="52"/>
      <c r="AZ322" s="52" t="s">
        <v>2308</v>
      </c>
      <c r="BA322" s="53"/>
      <c r="BB322" s="53"/>
      <c r="BC322" s="53"/>
      <c r="BD322" s="53"/>
      <c r="BE322" s="53"/>
      <c r="BF322" s="53"/>
      <c r="BG322" s="53"/>
      <c r="BH322" s="53"/>
      <c r="BI322" s="53"/>
      <c r="BJ322" s="53"/>
      <c r="BK322" s="53"/>
      <c r="BL322" s="53"/>
      <c r="BM322" s="53"/>
      <c r="BN322" s="53"/>
      <c r="BO322" s="53"/>
      <c r="BP322" s="53"/>
      <c r="BQ322" s="53"/>
      <c r="BR322" s="53"/>
      <c r="BS322" s="53"/>
      <c r="BT322" s="53"/>
      <c r="BU322" s="53"/>
      <c r="BV322" s="53"/>
      <c r="BW322" s="53"/>
      <c r="BX322" s="53"/>
      <c r="BY322" s="53"/>
      <c r="BZ322" s="53"/>
      <c r="CA322" s="53"/>
      <c r="CB322" s="53"/>
      <c r="CC322" s="53"/>
      <c r="CD322" s="53"/>
      <c r="CE322" s="53"/>
      <c r="CF322" s="53"/>
      <c r="CG322" s="53"/>
      <c r="CH322" s="53"/>
      <c r="CI322" s="53"/>
      <c r="CJ322" s="53"/>
      <c r="CK322" s="53"/>
      <c r="CL322" s="53"/>
      <c r="CM322" s="53"/>
      <c r="CN322" s="53"/>
      <c r="CO322" s="53"/>
      <c r="CP322" s="53"/>
      <c r="CQ322" s="53"/>
      <c r="CR322" s="53"/>
      <c r="CS322" s="53"/>
      <c r="CT322" s="53"/>
      <c r="CU322" s="53"/>
      <c r="CV322" s="53"/>
      <c r="CW322" s="53"/>
      <c r="CX322" s="53"/>
      <c r="CY322" s="53"/>
      <c r="CZ322" s="53"/>
      <c r="DA322" s="53"/>
      <c r="DB322" s="53"/>
      <c r="DC322" s="53"/>
      <c r="DD322" s="53"/>
      <c r="DE322" s="53"/>
      <c r="DF322" s="53"/>
      <c r="DG322" s="53"/>
      <c r="DH322" s="53"/>
      <c r="DI322" s="53"/>
      <c r="DJ322" s="53"/>
      <c r="DK322" s="53"/>
      <c r="DL322" s="53"/>
      <c r="DM322" s="53"/>
      <c r="DN322" s="53"/>
      <c r="DO322" s="53"/>
      <c r="DP322" s="53"/>
      <c r="DQ322" s="53"/>
      <c r="DR322" s="53"/>
      <c r="DS322" s="53"/>
      <c r="DT322" s="53"/>
      <c r="DU322" s="53"/>
      <c r="DV322" s="53"/>
      <c r="DW322" s="53"/>
      <c r="DX322" s="53"/>
      <c r="DY322" s="53"/>
      <c r="DZ322" s="53"/>
      <c r="EA322" s="53"/>
      <c r="EB322" s="53"/>
      <c r="EC322" s="53"/>
      <c r="ED322" s="53"/>
      <c r="EE322" s="53"/>
      <c r="EF322" s="53"/>
      <c r="EG322" s="53"/>
      <c r="EH322" s="53"/>
      <c r="EI322" s="53"/>
      <c r="EJ322" s="53"/>
      <c r="EK322" s="53"/>
      <c r="EL322" s="53"/>
      <c r="EM322" s="53"/>
      <c r="EN322" s="53"/>
      <c r="EO322" s="53"/>
      <c r="EP322" s="53"/>
      <c r="EQ322" s="53"/>
    </row>
    <row r="323" spans="1:147" ht="110.25" customHeight="1" x14ac:dyDescent="0.25">
      <c r="A323" s="49" t="s">
        <v>2122</v>
      </c>
      <c r="B323" s="49" t="s">
        <v>2131</v>
      </c>
      <c r="C323" s="49" t="s">
        <v>2124</v>
      </c>
      <c r="D323" s="49" t="s">
        <v>114</v>
      </c>
      <c r="E323" s="50" t="s">
        <v>2132</v>
      </c>
      <c r="F323" s="49">
        <v>3627631</v>
      </c>
      <c r="G323" s="49">
        <v>3632470</v>
      </c>
      <c r="H323" s="49" t="s">
        <v>2126</v>
      </c>
      <c r="I323" s="49" t="s">
        <v>2122</v>
      </c>
      <c r="J323" s="64">
        <v>5.4560185185185184E-2</v>
      </c>
      <c r="K323" s="49" t="s">
        <v>59</v>
      </c>
      <c r="L323" s="49" t="s">
        <v>2127</v>
      </c>
      <c r="M323" s="49" t="s">
        <v>2128</v>
      </c>
      <c r="N323" s="49" t="s">
        <v>97</v>
      </c>
      <c r="O323" s="49" t="s">
        <v>63</v>
      </c>
      <c r="P323" s="49" t="s">
        <v>64</v>
      </c>
      <c r="Q323" s="49">
        <v>4</v>
      </c>
      <c r="R323" s="49" t="s">
        <v>99</v>
      </c>
      <c r="S323" s="49" t="s">
        <v>66</v>
      </c>
      <c r="T323" s="49" t="s">
        <v>67</v>
      </c>
      <c r="U323" s="49" t="s">
        <v>187</v>
      </c>
      <c r="V323" s="49" t="s">
        <v>143</v>
      </c>
      <c r="W323" s="49" t="s">
        <v>100</v>
      </c>
      <c r="X323" s="51" t="s">
        <v>2133</v>
      </c>
      <c r="Y323" s="51" t="s">
        <v>72</v>
      </c>
      <c r="Z323" s="51" t="s">
        <v>2134</v>
      </c>
      <c r="AA323" s="29"/>
      <c r="AB323" s="30"/>
      <c r="AC323" s="38"/>
      <c r="AD323" s="29"/>
      <c r="AE323" s="39">
        <v>1</v>
      </c>
      <c r="AF323" s="40"/>
      <c r="AG323" s="32"/>
      <c r="AH323" s="33"/>
      <c r="AI323" s="32"/>
      <c r="AJ323" s="33"/>
      <c r="AK323" s="32"/>
      <c r="AL323" s="33"/>
      <c r="AM323" s="32"/>
      <c r="AN323" s="33"/>
      <c r="AO323" s="34"/>
      <c r="AP323" s="35"/>
      <c r="AQ323" s="34"/>
      <c r="AR323" s="35"/>
      <c r="AS323" s="34"/>
      <c r="AT323" s="35"/>
      <c r="AU323" s="36"/>
      <c r="AV323" s="37">
        <v>1</v>
      </c>
      <c r="AW323" s="36">
        <v>1</v>
      </c>
      <c r="AX323" s="52">
        <f t="shared" si="7"/>
        <v>1</v>
      </c>
      <c r="AY323" s="52"/>
      <c r="AZ323" s="52"/>
    </row>
    <row r="324" spans="1:147" ht="110.25" customHeight="1" x14ac:dyDescent="0.25">
      <c r="A324" s="46" t="s">
        <v>2135</v>
      </c>
      <c r="B324" s="46" t="s">
        <v>2136</v>
      </c>
      <c r="C324" s="46" t="s">
        <v>2137</v>
      </c>
      <c r="D324" s="46">
        <v>2019</v>
      </c>
      <c r="E324" s="47" t="s">
        <v>2138</v>
      </c>
      <c r="F324" s="46">
        <v>322157</v>
      </c>
      <c r="G324" s="46">
        <v>326540</v>
      </c>
      <c r="H324" s="46" t="s">
        <v>2139</v>
      </c>
      <c r="I324" s="46" t="s">
        <v>2135</v>
      </c>
      <c r="J324" s="65">
        <v>4.1064814814814818E-2</v>
      </c>
      <c r="K324" s="46" t="s">
        <v>79</v>
      </c>
      <c r="L324" s="46" t="s">
        <v>2140</v>
      </c>
      <c r="M324" s="46" t="s">
        <v>2141</v>
      </c>
      <c r="N324" s="46" t="s">
        <v>1157</v>
      </c>
      <c r="O324" s="46" t="s">
        <v>98</v>
      </c>
      <c r="P324" s="46" t="s">
        <v>120</v>
      </c>
      <c r="Q324" s="46">
        <v>3</v>
      </c>
      <c r="R324" s="46" t="s">
        <v>83</v>
      </c>
      <c r="S324" s="46" t="s">
        <v>84</v>
      </c>
      <c r="T324" s="46" t="s">
        <v>85</v>
      </c>
      <c r="U324" s="46" t="s">
        <v>121</v>
      </c>
      <c r="V324" s="46" t="s">
        <v>86</v>
      </c>
      <c r="W324" s="46" t="s">
        <v>123</v>
      </c>
      <c r="X324" s="48" t="s">
        <v>2142</v>
      </c>
      <c r="Y324" s="48" t="s">
        <v>72</v>
      </c>
      <c r="Z324" s="48" t="s">
        <v>2143</v>
      </c>
      <c r="AA324" s="29"/>
      <c r="AB324" s="30"/>
      <c r="AC324" s="38"/>
      <c r="AD324" s="29"/>
      <c r="AE324" s="39">
        <v>1</v>
      </c>
      <c r="AF324" s="40"/>
      <c r="AG324" s="32"/>
      <c r="AH324" s="33"/>
      <c r="AI324" s="32"/>
      <c r="AJ324" s="33"/>
      <c r="AK324" s="32"/>
      <c r="AL324" s="33"/>
      <c r="AM324" s="32"/>
      <c r="AN324" s="33"/>
      <c r="AO324" s="34"/>
      <c r="AP324" s="35"/>
      <c r="AQ324" s="34">
        <v>1</v>
      </c>
      <c r="AR324" s="35"/>
      <c r="AS324" s="34"/>
      <c r="AT324" s="35"/>
      <c r="AU324" s="36"/>
      <c r="AV324" s="37"/>
      <c r="AW324" s="36"/>
      <c r="AX324" s="52">
        <f t="shared" si="7"/>
        <v>0</v>
      </c>
      <c r="AY324" s="52"/>
      <c r="AZ324" s="52" t="s">
        <v>2304</v>
      </c>
    </row>
    <row r="325" spans="1:147" ht="110.25" customHeight="1" x14ac:dyDescent="0.25">
      <c r="A325" s="49" t="s">
        <v>2135</v>
      </c>
      <c r="B325" s="49" t="s">
        <v>2144</v>
      </c>
      <c r="C325" s="49" t="s">
        <v>2137</v>
      </c>
      <c r="D325" s="49">
        <v>2019</v>
      </c>
      <c r="E325" s="50" t="s">
        <v>2145</v>
      </c>
      <c r="F325" s="49">
        <v>3464174</v>
      </c>
      <c r="G325" s="49">
        <v>3467776</v>
      </c>
      <c r="H325" s="49" t="s">
        <v>2146</v>
      </c>
      <c r="I325" s="49" t="s">
        <v>2135</v>
      </c>
      <c r="J325" s="64">
        <v>4.1064814814814818E-2</v>
      </c>
      <c r="K325" s="49" t="s">
        <v>79</v>
      </c>
      <c r="L325" s="49" t="s">
        <v>2140</v>
      </c>
      <c r="M325" s="49" t="s">
        <v>2141</v>
      </c>
      <c r="N325" s="49" t="s">
        <v>711</v>
      </c>
      <c r="O325" s="49" t="s">
        <v>63</v>
      </c>
      <c r="P325" s="49" t="s">
        <v>120</v>
      </c>
      <c r="Q325" s="49">
        <v>3</v>
      </c>
      <c r="R325" s="49" t="s">
        <v>83</v>
      </c>
      <c r="S325" s="49" t="s">
        <v>84</v>
      </c>
      <c r="T325" s="49" t="s">
        <v>85</v>
      </c>
      <c r="U325" s="49" t="s">
        <v>121</v>
      </c>
      <c r="V325" s="49" t="s">
        <v>86</v>
      </c>
      <c r="W325" s="49" t="s">
        <v>87</v>
      </c>
      <c r="X325" s="51" t="s">
        <v>2147</v>
      </c>
      <c r="Y325" s="51" t="s">
        <v>72</v>
      </c>
      <c r="Z325" s="51" t="s">
        <v>2148</v>
      </c>
      <c r="AA325" s="29">
        <v>1</v>
      </c>
      <c r="AB325" s="30"/>
      <c r="AC325" s="38"/>
      <c r="AD325" s="29"/>
      <c r="AE325" s="39"/>
      <c r="AF325" s="40"/>
      <c r="AG325" s="32"/>
      <c r="AH325" s="33"/>
      <c r="AI325" s="32"/>
      <c r="AJ325" s="33"/>
      <c r="AK325" s="32"/>
      <c r="AL325" s="33"/>
      <c r="AM325" s="32"/>
      <c r="AN325" s="33"/>
      <c r="AO325" s="34"/>
      <c r="AP325" s="35"/>
      <c r="AQ325" s="34"/>
      <c r="AR325" s="35"/>
      <c r="AS325" s="34"/>
      <c r="AT325" s="35"/>
      <c r="AU325" s="36"/>
      <c r="AV325" s="37"/>
      <c r="AW325" s="36"/>
      <c r="AX325" s="52">
        <f t="shared" si="7"/>
        <v>0</v>
      </c>
      <c r="AY325" s="52"/>
      <c r="AZ325" s="52"/>
    </row>
    <row r="326" spans="1:147" ht="110.25" customHeight="1" x14ac:dyDescent="0.25">
      <c r="A326" s="46" t="s">
        <v>2149</v>
      </c>
      <c r="B326" s="46" t="s">
        <v>2150</v>
      </c>
      <c r="C326" s="46" t="s">
        <v>2151</v>
      </c>
      <c r="D326" s="46">
        <v>2019</v>
      </c>
      <c r="E326" s="47" t="s">
        <v>2152</v>
      </c>
      <c r="F326" s="46">
        <v>1345468</v>
      </c>
      <c r="G326" s="46">
        <v>1346626</v>
      </c>
      <c r="H326" s="46" t="s">
        <v>2153</v>
      </c>
      <c r="I326" s="46" t="s">
        <v>2149</v>
      </c>
      <c r="J326" s="65">
        <v>7.0428240740740736E-2</v>
      </c>
      <c r="K326" s="46" t="s">
        <v>79</v>
      </c>
      <c r="L326" s="46" t="s">
        <v>2154</v>
      </c>
      <c r="M326" s="46" t="s">
        <v>2155</v>
      </c>
      <c r="N326" s="46" t="s">
        <v>82</v>
      </c>
      <c r="O326" s="46" t="s">
        <v>98</v>
      </c>
      <c r="P326" s="46" t="s">
        <v>120</v>
      </c>
      <c r="Q326" s="46">
        <v>1</v>
      </c>
      <c r="R326" s="46" t="s">
        <v>83</v>
      </c>
      <c r="S326" s="46" t="s">
        <v>66</v>
      </c>
      <c r="T326" s="46" t="s">
        <v>85</v>
      </c>
      <c r="U326" s="46" t="s">
        <v>121</v>
      </c>
      <c r="V326" s="46" t="s">
        <v>274</v>
      </c>
      <c r="W326" s="46" t="s">
        <v>123</v>
      </c>
      <c r="X326" s="48" t="s">
        <v>2156</v>
      </c>
      <c r="Y326" s="48" t="s">
        <v>72</v>
      </c>
      <c r="Z326" s="48" t="s">
        <v>2157</v>
      </c>
      <c r="AA326" s="29"/>
      <c r="AB326" s="30"/>
      <c r="AC326" s="38"/>
      <c r="AD326" s="29"/>
      <c r="AE326" s="39">
        <v>1</v>
      </c>
      <c r="AF326" s="40"/>
      <c r="AG326" s="32"/>
      <c r="AH326" s="33"/>
      <c r="AI326" s="32"/>
      <c r="AJ326" s="33"/>
      <c r="AK326" s="32"/>
      <c r="AL326" s="33"/>
      <c r="AM326" s="32"/>
      <c r="AN326" s="33"/>
      <c r="AO326" s="34"/>
      <c r="AP326" s="35"/>
      <c r="AQ326" s="34">
        <v>1</v>
      </c>
      <c r="AR326" s="35"/>
      <c r="AS326" s="34"/>
      <c r="AT326" s="35"/>
      <c r="AU326" s="36"/>
      <c r="AV326" s="37">
        <v>1</v>
      </c>
      <c r="AW326" s="36"/>
      <c r="AX326" s="52">
        <f t="shared" si="7"/>
        <v>1</v>
      </c>
      <c r="AY326" s="52"/>
      <c r="AZ326" s="52"/>
    </row>
    <row r="327" spans="1:147" ht="110.25" customHeight="1" x14ac:dyDescent="0.25">
      <c r="A327" s="49" t="s">
        <v>2149</v>
      </c>
      <c r="B327" s="49" t="s">
        <v>2158</v>
      </c>
      <c r="C327" s="49" t="s">
        <v>2151</v>
      </c>
      <c r="D327" s="49">
        <v>2019</v>
      </c>
      <c r="E327" s="50" t="s">
        <v>2159</v>
      </c>
      <c r="F327" s="49">
        <v>3764661</v>
      </c>
      <c r="G327" s="49">
        <v>3768832</v>
      </c>
      <c r="H327" s="49" t="s">
        <v>2153</v>
      </c>
      <c r="I327" s="49" t="s">
        <v>2149</v>
      </c>
      <c r="J327" s="64">
        <v>7.0428240740740736E-2</v>
      </c>
      <c r="K327" s="49" t="s">
        <v>79</v>
      </c>
      <c r="L327" s="49" t="s">
        <v>2154</v>
      </c>
      <c r="M327" s="49" t="s">
        <v>2155</v>
      </c>
      <c r="N327" s="49" t="s">
        <v>82</v>
      </c>
      <c r="O327" s="49" t="s">
        <v>98</v>
      </c>
      <c r="P327" s="49" t="s">
        <v>120</v>
      </c>
      <c r="Q327" s="49">
        <v>1</v>
      </c>
      <c r="R327" s="49" t="s">
        <v>83</v>
      </c>
      <c r="S327" s="49" t="s">
        <v>66</v>
      </c>
      <c r="T327" s="49" t="s">
        <v>85</v>
      </c>
      <c r="U327" s="49" t="s">
        <v>121</v>
      </c>
      <c r="V327" s="49" t="s">
        <v>274</v>
      </c>
      <c r="W327" s="49" t="s">
        <v>123</v>
      </c>
      <c r="X327" s="51" t="s">
        <v>2160</v>
      </c>
      <c r="Y327" s="51" t="s">
        <v>72</v>
      </c>
      <c r="Z327" s="51" t="s">
        <v>2161</v>
      </c>
      <c r="AA327" s="29"/>
      <c r="AB327" s="30"/>
      <c r="AC327" s="38"/>
      <c r="AD327" s="29"/>
      <c r="AE327" s="39">
        <v>1</v>
      </c>
      <c r="AF327" s="40">
        <v>1</v>
      </c>
      <c r="AG327" s="32"/>
      <c r="AH327" s="33"/>
      <c r="AI327" s="32"/>
      <c r="AJ327" s="33"/>
      <c r="AK327" s="32"/>
      <c r="AL327" s="33"/>
      <c r="AM327" s="32"/>
      <c r="AN327" s="33"/>
      <c r="AO327" s="34"/>
      <c r="AP327" s="35"/>
      <c r="AQ327" s="34"/>
      <c r="AR327" s="35"/>
      <c r="AS327" s="34"/>
      <c r="AT327" s="35"/>
      <c r="AU327" s="36">
        <v>1</v>
      </c>
      <c r="AV327" s="37">
        <v>1</v>
      </c>
      <c r="AW327" s="36"/>
      <c r="AX327" s="52">
        <f t="shared" si="7"/>
        <v>1</v>
      </c>
      <c r="AY327" s="52"/>
      <c r="AZ327" s="52"/>
    </row>
    <row r="328" spans="1:147" ht="110.25" customHeight="1" x14ac:dyDescent="0.25">
      <c r="A328" s="46" t="s">
        <v>2149</v>
      </c>
      <c r="B328" s="46" t="s">
        <v>2162</v>
      </c>
      <c r="C328" s="46" t="s">
        <v>2151</v>
      </c>
      <c r="D328" s="46">
        <v>2019</v>
      </c>
      <c r="E328" s="47" t="s">
        <v>2163</v>
      </c>
      <c r="F328" s="46">
        <v>3782956</v>
      </c>
      <c r="G328" s="46">
        <v>3786842</v>
      </c>
      <c r="H328" s="46" t="s">
        <v>2153</v>
      </c>
      <c r="I328" s="46" t="s">
        <v>2149</v>
      </c>
      <c r="J328" s="65">
        <v>7.0428240740740736E-2</v>
      </c>
      <c r="K328" s="46" t="s">
        <v>79</v>
      </c>
      <c r="L328" s="46" t="s">
        <v>2154</v>
      </c>
      <c r="M328" s="46" t="s">
        <v>2155</v>
      </c>
      <c r="N328" s="46" t="s">
        <v>82</v>
      </c>
      <c r="O328" s="46" t="s">
        <v>98</v>
      </c>
      <c r="P328" s="46" t="s">
        <v>120</v>
      </c>
      <c r="Q328" s="46">
        <v>1</v>
      </c>
      <c r="R328" s="46" t="s">
        <v>83</v>
      </c>
      <c r="S328" s="46" t="s">
        <v>66</v>
      </c>
      <c r="T328" s="46" t="s">
        <v>85</v>
      </c>
      <c r="U328" s="46" t="s">
        <v>121</v>
      </c>
      <c r="V328" s="46" t="s">
        <v>274</v>
      </c>
      <c r="W328" s="46" t="s">
        <v>123</v>
      </c>
      <c r="X328" s="48" t="s">
        <v>2164</v>
      </c>
      <c r="Y328" s="48" t="s">
        <v>72</v>
      </c>
      <c r="Z328" s="48" t="s">
        <v>2165</v>
      </c>
      <c r="AA328" s="29">
        <v>1</v>
      </c>
      <c r="AB328" s="30"/>
      <c r="AC328" s="38"/>
      <c r="AD328" s="29"/>
      <c r="AE328" s="39"/>
      <c r="AF328" s="40"/>
      <c r="AG328" s="32"/>
      <c r="AH328" s="33"/>
      <c r="AI328" s="32"/>
      <c r="AJ328" s="33"/>
      <c r="AK328" s="32"/>
      <c r="AL328" s="33"/>
      <c r="AM328" s="32"/>
      <c r="AN328" s="33"/>
      <c r="AO328" s="34"/>
      <c r="AP328" s="35"/>
      <c r="AQ328" s="34"/>
      <c r="AR328" s="35"/>
      <c r="AS328" s="34"/>
      <c r="AT328" s="35"/>
      <c r="AU328" s="36"/>
      <c r="AV328" s="37"/>
      <c r="AW328" s="36"/>
      <c r="AX328" s="52">
        <f t="shared" si="7"/>
        <v>0</v>
      </c>
      <c r="AY328" s="52"/>
      <c r="AZ328" s="52"/>
    </row>
    <row r="329" spans="1:147" ht="110.25" customHeight="1" x14ac:dyDescent="0.25">
      <c r="A329" s="49" t="s">
        <v>2149</v>
      </c>
      <c r="B329" s="49" t="s">
        <v>2166</v>
      </c>
      <c r="C329" s="49" t="s">
        <v>2151</v>
      </c>
      <c r="D329" s="49">
        <v>2019</v>
      </c>
      <c r="E329" s="50" t="s">
        <v>2167</v>
      </c>
      <c r="F329" s="49">
        <v>6051839</v>
      </c>
      <c r="G329" s="49">
        <v>6054617</v>
      </c>
      <c r="H329" s="49" t="s">
        <v>2153</v>
      </c>
      <c r="I329" s="49" t="s">
        <v>2149</v>
      </c>
      <c r="J329" s="64">
        <v>7.0428240740740736E-2</v>
      </c>
      <c r="K329" s="49" t="s">
        <v>79</v>
      </c>
      <c r="L329" s="49" t="s">
        <v>2154</v>
      </c>
      <c r="M329" s="49" t="s">
        <v>2155</v>
      </c>
      <c r="N329" s="49" t="s">
        <v>82</v>
      </c>
      <c r="O329" s="49" t="s">
        <v>98</v>
      </c>
      <c r="P329" s="49" t="s">
        <v>120</v>
      </c>
      <c r="Q329" s="49">
        <v>1</v>
      </c>
      <c r="R329" s="49" t="s">
        <v>83</v>
      </c>
      <c r="S329" s="49" t="s">
        <v>66</v>
      </c>
      <c r="T329" s="49" t="s">
        <v>85</v>
      </c>
      <c r="U329" s="49" t="s">
        <v>121</v>
      </c>
      <c r="V329" s="49" t="s">
        <v>274</v>
      </c>
      <c r="W329" s="49" t="s">
        <v>123</v>
      </c>
      <c r="X329" s="51" t="s">
        <v>2168</v>
      </c>
      <c r="Y329" s="51" t="s">
        <v>72</v>
      </c>
      <c r="Z329" s="51" t="s">
        <v>2169</v>
      </c>
      <c r="AA329" s="29">
        <v>1</v>
      </c>
      <c r="AB329" s="30"/>
      <c r="AC329" s="38"/>
      <c r="AD329" s="29"/>
      <c r="AE329" s="39"/>
      <c r="AF329" s="40"/>
      <c r="AG329" s="32"/>
      <c r="AH329" s="33"/>
      <c r="AI329" s="32"/>
      <c r="AJ329" s="33"/>
      <c r="AK329" s="32"/>
      <c r="AL329" s="33"/>
      <c r="AM329" s="32"/>
      <c r="AN329" s="33"/>
      <c r="AO329" s="34"/>
      <c r="AP329" s="35"/>
      <c r="AQ329" s="34"/>
      <c r="AR329" s="35"/>
      <c r="AS329" s="34"/>
      <c r="AT329" s="35"/>
      <c r="AU329" s="36"/>
      <c r="AV329" s="37"/>
      <c r="AW329" s="36"/>
      <c r="AX329" s="52">
        <f t="shared" si="7"/>
        <v>0</v>
      </c>
      <c r="AY329" s="52"/>
      <c r="AZ329" s="52"/>
    </row>
    <row r="330" spans="1:147" ht="110.25" customHeight="1" x14ac:dyDescent="0.25">
      <c r="A330" s="46" t="s">
        <v>2170</v>
      </c>
      <c r="B330" s="46" t="s">
        <v>2171</v>
      </c>
      <c r="C330" s="46" t="s">
        <v>2172</v>
      </c>
      <c r="D330" s="46">
        <v>2021</v>
      </c>
      <c r="E330" s="47" t="s">
        <v>2173</v>
      </c>
      <c r="F330" s="46">
        <v>49770</v>
      </c>
      <c r="G330" s="46">
        <v>50139</v>
      </c>
      <c r="H330" s="46" t="s">
        <v>2174</v>
      </c>
      <c r="I330" s="46" t="s">
        <v>2170</v>
      </c>
      <c r="J330" s="65">
        <v>2.2442129629629631E-2</v>
      </c>
      <c r="K330" s="46" t="s">
        <v>79</v>
      </c>
      <c r="L330" s="46" t="s">
        <v>2175</v>
      </c>
      <c r="M330" s="46" t="s">
        <v>2176</v>
      </c>
      <c r="N330" s="46" t="s">
        <v>1399</v>
      </c>
      <c r="O330" s="46" t="s">
        <v>98</v>
      </c>
      <c r="P330" s="46" t="s">
        <v>64</v>
      </c>
      <c r="Q330" s="46">
        <v>3</v>
      </c>
      <c r="R330" s="46" t="s">
        <v>65</v>
      </c>
      <c r="S330" s="46" t="s">
        <v>84</v>
      </c>
      <c r="T330" s="46" t="s">
        <v>85</v>
      </c>
      <c r="U330" s="46" t="s">
        <v>68</v>
      </c>
      <c r="V330" s="46" t="s">
        <v>86</v>
      </c>
      <c r="W330" s="46" t="s">
        <v>377</v>
      </c>
      <c r="X330" s="48" t="s">
        <v>2177</v>
      </c>
      <c r="Y330" s="48" t="s">
        <v>72</v>
      </c>
      <c r="Z330" s="48" t="s">
        <v>2178</v>
      </c>
      <c r="AA330" s="29">
        <v>1</v>
      </c>
      <c r="AB330" s="30"/>
      <c r="AC330" s="38"/>
      <c r="AD330" s="29"/>
      <c r="AE330" s="39"/>
      <c r="AF330" s="40"/>
      <c r="AG330" s="32"/>
      <c r="AH330" s="33"/>
      <c r="AI330" s="32"/>
      <c r="AJ330" s="33"/>
      <c r="AK330" s="32"/>
      <c r="AL330" s="33"/>
      <c r="AM330" s="32"/>
      <c r="AN330" s="33"/>
      <c r="AO330" s="34"/>
      <c r="AP330" s="35"/>
      <c r="AQ330" s="34"/>
      <c r="AR330" s="35"/>
      <c r="AS330" s="34"/>
      <c r="AT330" s="35"/>
      <c r="AU330" s="36"/>
      <c r="AV330" s="37"/>
      <c r="AW330" s="36"/>
      <c r="AX330" s="52">
        <f t="shared" si="7"/>
        <v>0</v>
      </c>
      <c r="AY330" s="52"/>
      <c r="AZ330" s="52"/>
    </row>
    <row r="331" spans="1:147" ht="110.25" customHeight="1" x14ac:dyDescent="0.25">
      <c r="A331" s="49" t="s">
        <v>2170</v>
      </c>
      <c r="B331" s="49" t="s">
        <v>2179</v>
      </c>
      <c r="C331" s="49" t="s">
        <v>2172</v>
      </c>
      <c r="D331" s="49">
        <v>2021</v>
      </c>
      <c r="E331" s="50" t="s">
        <v>2180</v>
      </c>
      <c r="F331" s="49">
        <v>140920</v>
      </c>
      <c r="G331" s="49">
        <v>146240</v>
      </c>
      <c r="H331" s="49" t="s">
        <v>2181</v>
      </c>
      <c r="I331" s="49" t="s">
        <v>2170</v>
      </c>
      <c r="J331" s="64">
        <v>2.2442129629629631E-2</v>
      </c>
      <c r="K331" s="49" t="s">
        <v>79</v>
      </c>
      <c r="L331" s="49" t="s">
        <v>2175</v>
      </c>
      <c r="M331" s="49" t="s">
        <v>2176</v>
      </c>
      <c r="N331" s="49" t="s">
        <v>1320</v>
      </c>
      <c r="O331" s="49" t="s">
        <v>63</v>
      </c>
      <c r="P331" s="49" t="s">
        <v>64</v>
      </c>
      <c r="Q331" s="49">
        <v>3</v>
      </c>
      <c r="R331" s="49" t="s">
        <v>65</v>
      </c>
      <c r="S331" s="49" t="s">
        <v>84</v>
      </c>
      <c r="T331" s="49" t="s">
        <v>85</v>
      </c>
      <c r="U331" s="49" t="s">
        <v>68</v>
      </c>
      <c r="V331" s="49" t="s">
        <v>86</v>
      </c>
      <c r="W331" s="49" t="s">
        <v>398</v>
      </c>
      <c r="X331" s="51" t="s">
        <v>2182</v>
      </c>
      <c r="Y331" s="51" t="s">
        <v>72</v>
      </c>
      <c r="Z331" s="51" t="s">
        <v>2183</v>
      </c>
      <c r="AA331" s="29">
        <v>1</v>
      </c>
      <c r="AB331" s="30"/>
      <c r="AC331" s="38"/>
      <c r="AD331" s="29"/>
      <c r="AE331" s="39"/>
      <c r="AF331" s="40"/>
      <c r="AG331" s="32"/>
      <c r="AH331" s="33"/>
      <c r="AI331" s="32"/>
      <c r="AJ331" s="33"/>
      <c r="AK331" s="32"/>
      <c r="AL331" s="33"/>
      <c r="AM331" s="32"/>
      <c r="AN331" s="33"/>
      <c r="AO331" s="34"/>
      <c r="AP331" s="35"/>
      <c r="AQ331" s="34"/>
      <c r="AR331" s="35"/>
      <c r="AS331" s="34"/>
      <c r="AT331" s="35"/>
      <c r="AU331" s="36"/>
      <c r="AV331" s="37"/>
      <c r="AW331" s="36"/>
      <c r="AX331" s="52">
        <f t="shared" si="7"/>
        <v>0</v>
      </c>
      <c r="AY331" s="52"/>
      <c r="AZ331" s="52"/>
    </row>
    <row r="332" spans="1:147" ht="110.25" customHeight="1" x14ac:dyDescent="0.25">
      <c r="A332" s="46" t="s">
        <v>2170</v>
      </c>
      <c r="B332" s="46" t="s">
        <v>2184</v>
      </c>
      <c r="C332" s="46" t="s">
        <v>2172</v>
      </c>
      <c r="D332" s="46">
        <v>2021</v>
      </c>
      <c r="E332" s="47" t="s">
        <v>2185</v>
      </c>
      <c r="F332" s="46">
        <v>1087650</v>
      </c>
      <c r="G332" s="46">
        <v>1091180</v>
      </c>
      <c r="H332" s="46" t="s">
        <v>2181</v>
      </c>
      <c r="I332" s="46" t="s">
        <v>2170</v>
      </c>
      <c r="J332" s="65">
        <v>2.2442129629629631E-2</v>
      </c>
      <c r="K332" s="46" t="s">
        <v>79</v>
      </c>
      <c r="L332" s="46" t="s">
        <v>2175</v>
      </c>
      <c r="M332" s="46" t="s">
        <v>2176</v>
      </c>
      <c r="N332" s="46" t="s">
        <v>1320</v>
      </c>
      <c r="O332" s="46" t="s">
        <v>63</v>
      </c>
      <c r="P332" s="46" t="s">
        <v>64</v>
      </c>
      <c r="Q332" s="46">
        <v>3</v>
      </c>
      <c r="R332" s="46" t="s">
        <v>65</v>
      </c>
      <c r="S332" s="46" t="s">
        <v>84</v>
      </c>
      <c r="T332" s="46" t="s">
        <v>85</v>
      </c>
      <c r="U332" s="46" t="s">
        <v>68</v>
      </c>
      <c r="V332" s="46" t="s">
        <v>86</v>
      </c>
      <c r="W332" s="46" t="s">
        <v>398</v>
      </c>
      <c r="X332" s="48" t="s">
        <v>2186</v>
      </c>
      <c r="Y332" s="48" t="s">
        <v>72</v>
      </c>
      <c r="Z332" s="48" t="s">
        <v>2187</v>
      </c>
      <c r="AA332" s="29"/>
      <c r="AB332" s="30"/>
      <c r="AC332" s="38"/>
      <c r="AD332" s="29"/>
      <c r="AE332" s="39">
        <v>1</v>
      </c>
      <c r="AF332" s="40"/>
      <c r="AG332" s="32">
        <v>1</v>
      </c>
      <c r="AH332" s="33"/>
      <c r="AI332" s="32"/>
      <c r="AJ332" s="33"/>
      <c r="AK332" s="32"/>
      <c r="AL332" s="33"/>
      <c r="AM332" s="32"/>
      <c r="AN332" s="33">
        <v>1</v>
      </c>
      <c r="AO332" s="34"/>
      <c r="AP332" s="35"/>
      <c r="AQ332" s="34"/>
      <c r="AR332" s="35"/>
      <c r="AS332" s="34"/>
      <c r="AT332" s="35"/>
      <c r="AU332" s="36"/>
      <c r="AV332" s="37">
        <v>1</v>
      </c>
      <c r="AW332" s="36"/>
      <c r="AX332" s="52">
        <f t="shared" si="7"/>
        <v>1</v>
      </c>
      <c r="AY332" s="52"/>
      <c r="AZ332" s="52"/>
    </row>
    <row r="333" spans="1:147" ht="110.25" customHeight="1" x14ac:dyDescent="0.25">
      <c r="A333" s="49" t="s">
        <v>2188</v>
      </c>
      <c r="B333" s="49" t="s">
        <v>2189</v>
      </c>
      <c r="C333" s="49" t="s">
        <v>2190</v>
      </c>
      <c r="D333" s="49">
        <v>2023</v>
      </c>
      <c r="E333" s="50" t="s">
        <v>2191</v>
      </c>
      <c r="F333" s="49">
        <v>1556207</v>
      </c>
      <c r="G333" s="49">
        <v>1564669</v>
      </c>
      <c r="H333" s="49" t="s">
        <v>2192</v>
      </c>
      <c r="I333" s="49" t="s">
        <v>2188</v>
      </c>
      <c r="J333" s="64">
        <v>2.5868055555555554E-2</v>
      </c>
      <c r="K333" s="49" t="s">
        <v>79</v>
      </c>
      <c r="L333" s="49" t="s">
        <v>2193</v>
      </c>
      <c r="M333" s="49" t="s">
        <v>2194</v>
      </c>
      <c r="N333" s="49" t="s">
        <v>643</v>
      </c>
      <c r="O333" s="49" t="s">
        <v>63</v>
      </c>
      <c r="P333" s="49" t="s">
        <v>64</v>
      </c>
      <c r="Q333" s="49">
        <v>2</v>
      </c>
      <c r="R333" s="49" t="s">
        <v>473</v>
      </c>
      <c r="S333" s="49" t="s">
        <v>84</v>
      </c>
      <c r="T333" s="49" t="s">
        <v>85</v>
      </c>
      <c r="U333" s="49" t="s">
        <v>68</v>
      </c>
      <c r="V333" s="49" t="s">
        <v>86</v>
      </c>
      <c r="W333" s="49" t="s">
        <v>70</v>
      </c>
      <c r="X333" s="51" t="s">
        <v>2195</v>
      </c>
      <c r="Y333" s="51" t="s">
        <v>72</v>
      </c>
      <c r="Z333" s="51" t="s">
        <v>2196</v>
      </c>
      <c r="AA333" s="29"/>
      <c r="AB333" s="30"/>
      <c r="AC333" s="38"/>
      <c r="AD333" s="29"/>
      <c r="AE333" s="39">
        <v>1</v>
      </c>
      <c r="AF333" s="40"/>
      <c r="AG333" s="32"/>
      <c r="AH333" s="33"/>
      <c r="AI333" s="32"/>
      <c r="AJ333" s="33"/>
      <c r="AK333" s="32"/>
      <c r="AL333" s="33"/>
      <c r="AM333" s="32"/>
      <c r="AN333" s="33"/>
      <c r="AO333" s="34"/>
      <c r="AP333" s="35"/>
      <c r="AQ333" s="34"/>
      <c r="AR333" s="35"/>
      <c r="AS333" s="34"/>
      <c r="AT333" s="35"/>
      <c r="AU333" s="36"/>
      <c r="AV333" s="37">
        <v>1</v>
      </c>
      <c r="AW333" s="36"/>
      <c r="AX333" s="52">
        <f t="shared" si="7"/>
        <v>0</v>
      </c>
      <c r="AY333" s="52"/>
      <c r="AZ333" s="52"/>
    </row>
    <row r="334" spans="1:147" ht="110.25" customHeight="1" x14ac:dyDescent="0.25">
      <c r="A334" s="46" t="s">
        <v>2188</v>
      </c>
      <c r="B334" s="46" t="s">
        <v>2197</v>
      </c>
      <c r="C334" s="46" t="s">
        <v>2190</v>
      </c>
      <c r="D334" s="46">
        <v>2023</v>
      </c>
      <c r="E334" s="47" t="s">
        <v>2198</v>
      </c>
      <c r="F334" s="46">
        <v>1745595</v>
      </c>
      <c r="G334" s="46">
        <v>1753274</v>
      </c>
      <c r="H334" s="46" t="s">
        <v>2192</v>
      </c>
      <c r="I334" s="46" t="s">
        <v>2188</v>
      </c>
      <c r="J334" s="65">
        <v>2.5868055555555554E-2</v>
      </c>
      <c r="K334" s="46" t="s">
        <v>79</v>
      </c>
      <c r="L334" s="46" t="s">
        <v>2193</v>
      </c>
      <c r="M334" s="46" t="s">
        <v>2194</v>
      </c>
      <c r="N334" s="46" t="s">
        <v>643</v>
      </c>
      <c r="O334" s="46" t="s">
        <v>63</v>
      </c>
      <c r="P334" s="46" t="s">
        <v>64</v>
      </c>
      <c r="Q334" s="46">
        <v>2</v>
      </c>
      <c r="R334" s="46" t="s">
        <v>473</v>
      </c>
      <c r="S334" s="46" t="s">
        <v>84</v>
      </c>
      <c r="T334" s="46" t="s">
        <v>85</v>
      </c>
      <c r="U334" s="46" t="s">
        <v>68</v>
      </c>
      <c r="V334" s="46" t="s">
        <v>86</v>
      </c>
      <c r="W334" s="46" t="s">
        <v>70</v>
      </c>
      <c r="X334" s="48" t="s">
        <v>2199</v>
      </c>
      <c r="Y334" s="48" t="s">
        <v>72</v>
      </c>
      <c r="Z334" s="48" t="s">
        <v>2200</v>
      </c>
      <c r="AA334" s="29">
        <v>1</v>
      </c>
      <c r="AB334" s="30"/>
      <c r="AC334" s="38"/>
      <c r="AD334" s="29"/>
      <c r="AE334" s="39"/>
      <c r="AF334" s="40"/>
      <c r="AG334" s="32"/>
      <c r="AH334" s="33"/>
      <c r="AI334" s="32"/>
      <c r="AJ334" s="33"/>
      <c r="AK334" s="32"/>
      <c r="AL334" s="33"/>
      <c r="AM334" s="32"/>
      <c r="AN334" s="33"/>
      <c r="AO334" s="34"/>
      <c r="AP334" s="35"/>
      <c r="AQ334" s="34"/>
      <c r="AR334" s="35"/>
      <c r="AS334" s="34"/>
      <c r="AT334" s="35"/>
      <c r="AU334" s="36"/>
      <c r="AV334" s="37"/>
      <c r="AW334" s="36"/>
      <c r="AX334" s="52">
        <f t="shared" si="7"/>
        <v>0</v>
      </c>
      <c r="AY334" s="52"/>
      <c r="AZ334" s="52" t="s">
        <v>2309</v>
      </c>
    </row>
    <row r="335" spans="1:147" ht="110.25" customHeight="1" x14ac:dyDescent="0.25">
      <c r="A335" s="49" t="s">
        <v>2188</v>
      </c>
      <c r="B335" s="49" t="s">
        <v>2201</v>
      </c>
      <c r="C335" s="49" t="s">
        <v>2190</v>
      </c>
      <c r="D335" s="49">
        <v>2023</v>
      </c>
      <c r="E335" s="50" t="s">
        <v>2202</v>
      </c>
      <c r="F335" s="49">
        <v>2175131</v>
      </c>
      <c r="G335" s="49">
        <v>2180154</v>
      </c>
      <c r="H335" s="49" t="s">
        <v>2192</v>
      </c>
      <c r="I335" s="49" t="s">
        <v>2188</v>
      </c>
      <c r="J335" s="64">
        <v>2.5868055555555554E-2</v>
      </c>
      <c r="K335" s="49" t="s">
        <v>79</v>
      </c>
      <c r="L335" s="49" t="s">
        <v>2193</v>
      </c>
      <c r="M335" s="49" t="s">
        <v>2194</v>
      </c>
      <c r="N335" s="49" t="s">
        <v>643</v>
      </c>
      <c r="O335" s="49" t="s">
        <v>63</v>
      </c>
      <c r="P335" s="49" t="s">
        <v>64</v>
      </c>
      <c r="Q335" s="49">
        <v>2</v>
      </c>
      <c r="R335" s="49" t="s">
        <v>473</v>
      </c>
      <c r="S335" s="49" t="s">
        <v>84</v>
      </c>
      <c r="T335" s="49" t="s">
        <v>85</v>
      </c>
      <c r="U335" s="49" t="s">
        <v>68</v>
      </c>
      <c r="V335" s="49" t="s">
        <v>86</v>
      </c>
      <c r="W335" s="49" t="s">
        <v>70</v>
      </c>
      <c r="X335" s="51" t="s">
        <v>2203</v>
      </c>
      <c r="Y335" s="51" t="s">
        <v>72</v>
      </c>
      <c r="Z335" s="51" t="s">
        <v>2204</v>
      </c>
      <c r="AA335" s="29">
        <v>1</v>
      </c>
      <c r="AB335" s="30"/>
      <c r="AC335" s="38"/>
      <c r="AD335" s="29"/>
      <c r="AE335" s="39"/>
      <c r="AF335" s="40"/>
      <c r="AG335" s="32"/>
      <c r="AH335" s="33"/>
      <c r="AI335" s="32"/>
      <c r="AJ335" s="33"/>
      <c r="AK335" s="32"/>
      <c r="AL335" s="33"/>
      <c r="AM335" s="32"/>
      <c r="AN335" s="33"/>
      <c r="AO335" s="34"/>
      <c r="AP335" s="35"/>
      <c r="AQ335" s="34"/>
      <c r="AR335" s="35"/>
      <c r="AS335" s="34"/>
      <c r="AT335" s="35"/>
      <c r="AU335" s="36"/>
      <c r="AV335" s="37"/>
      <c r="AW335" s="36"/>
      <c r="AX335" s="52">
        <f t="shared" si="7"/>
        <v>0</v>
      </c>
      <c r="AY335" s="52"/>
      <c r="AZ335" s="52"/>
    </row>
    <row r="336" spans="1:147" ht="110.25" customHeight="1" x14ac:dyDescent="0.25">
      <c r="A336" s="46" t="s">
        <v>2205</v>
      </c>
      <c r="B336" s="46" t="s">
        <v>2206</v>
      </c>
      <c r="C336" s="46" t="s">
        <v>2207</v>
      </c>
      <c r="D336" s="46" t="s">
        <v>114</v>
      </c>
      <c r="E336" s="47" t="s">
        <v>2208</v>
      </c>
      <c r="F336" s="46">
        <v>861686</v>
      </c>
      <c r="G336" s="46">
        <v>862720</v>
      </c>
      <c r="H336" s="46" t="s">
        <v>2209</v>
      </c>
      <c r="I336" s="46" t="s">
        <v>2205</v>
      </c>
      <c r="J336" s="65">
        <v>2.224537037037037E-2</v>
      </c>
      <c r="K336" s="46" t="s">
        <v>79</v>
      </c>
      <c r="L336" s="46" t="s">
        <v>2210</v>
      </c>
      <c r="M336" s="46" t="s">
        <v>2211</v>
      </c>
      <c r="N336" s="46" t="s">
        <v>97</v>
      </c>
      <c r="O336" s="46" t="s">
        <v>98</v>
      </c>
      <c r="P336" s="46" t="s">
        <v>64</v>
      </c>
      <c r="Q336" s="46">
        <v>2</v>
      </c>
      <c r="R336" s="46" t="s">
        <v>99</v>
      </c>
      <c r="S336" s="46" t="s">
        <v>84</v>
      </c>
      <c r="T336" s="46" t="s">
        <v>67</v>
      </c>
      <c r="U336" s="46" t="s">
        <v>631</v>
      </c>
      <c r="V336" s="46" t="s">
        <v>86</v>
      </c>
      <c r="W336" s="46" t="s">
        <v>100</v>
      </c>
      <c r="X336" s="48" t="s">
        <v>2212</v>
      </c>
      <c r="Y336" s="48" t="s">
        <v>72</v>
      </c>
      <c r="Z336" s="48" t="s">
        <v>2213</v>
      </c>
      <c r="AA336" s="29"/>
      <c r="AB336" s="30"/>
      <c r="AC336" s="38"/>
      <c r="AD336" s="29"/>
      <c r="AE336" s="39">
        <v>1</v>
      </c>
      <c r="AF336" s="40"/>
      <c r="AG336" s="32"/>
      <c r="AH336" s="33"/>
      <c r="AI336" s="32"/>
      <c r="AJ336" s="33"/>
      <c r="AK336" s="32"/>
      <c r="AL336" s="33"/>
      <c r="AM336" s="32"/>
      <c r="AN336" s="33"/>
      <c r="AO336" s="34"/>
      <c r="AP336" s="35">
        <v>1</v>
      </c>
      <c r="AQ336" s="34"/>
      <c r="AR336" s="35"/>
      <c r="AS336" s="34"/>
      <c r="AT336" s="35">
        <v>1</v>
      </c>
      <c r="AU336" s="36"/>
      <c r="AV336" s="37">
        <v>1</v>
      </c>
      <c r="AW336" s="36"/>
      <c r="AX336" s="52">
        <f t="shared" si="7"/>
        <v>1</v>
      </c>
      <c r="AY336" s="52"/>
      <c r="AZ336" s="52"/>
    </row>
    <row r="337" spans="1:52" ht="110.25" customHeight="1" x14ac:dyDescent="0.25">
      <c r="A337" s="49" t="s">
        <v>2205</v>
      </c>
      <c r="B337" s="49" t="s">
        <v>2214</v>
      </c>
      <c r="C337" s="49" t="s">
        <v>2207</v>
      </c>
      <c r="D337" s="49" t="s">
        <v>114</v>
      </c>
      <c r="E337" s="50" t="s">
        <v>2215</v>
      </c>
      <c r="F337" s="49">
        <v>1238280</v>
      </c>
      <c r="G337" s="49">
        <v>1239146</v>
      </c>
      <c r="H337" s="49" t="s">
        <v>2209</v>
      </c>
      <c r="I337" s="49" t="s">
        <v>2205</v>
      </c>
      <c r="J337" s="64">
        <v>2.224537037037037E-2</v>
      </c>
      <c r="K337" s="49" t="s">
        <v>79</v>
      </c>
      <c r="L337" s="49" t="s">
        <v>2210</v>
      </c>
      <c r="M337" s="49" t="s">
        <v>2211</v>
      </c>
      <c r="N337" s="49" t="s">
        <v>97</v>
      </c>
      <c r="O337" s="49" t="s">
        <v>98</v>
      </c>
      <c r="P337" s="49" t="s">
        <v>64</v>
      </c>
      <c r="Q337" s="49">
        <v>2</v>
      </c>
      <c r="R337" s="49" t="s">
        <v>99</v>
      </c>
      <c r="S337" s="49" t="s">
        <v>84</v>
      </c>
      <c r="T337" s="49" t="s">
        <v>67</v>
      </c>
      <c r="U337" s="49" t="s">
        <v>631</v>
      </c>
      <c r="V337" s="49" t="s">
        <v>86</v>
      </c>
      <c r="W337" s="49" t="s">
        <v>100</v>
      </c>
      <c r="X337" s="51" t="s">
        <v>2216</v>
      </c>
      <c r="Y337" s="51" t="s">
        <v>72</v>
      </c>
      <c r="Z337" s="51" t="s">
        <v>2217</v>
      </c>
      <c r="AA337" s="29"/>
      <c r="AB337" s="30"/>
      <c r="AC337" s="38"/>
      <c r="AD337" s="29"/>
      <c r="AE337" s="39">
        <v>1</v>
      </c>
      <c r="AF337" s="40"/>
      <c r="AG337" s="32"/>
      <c r="AH337" s="33"/>
      <c r="AI337" s="32"/>
      <c r="AJ337" s="33"/>
      <c r="AK337" s="32"/>
      <c r="AL337" s="33"/>
      <c r="AM337" s="32"/>
      <c r="AN337" s="33"/>
      <c r="AO337" s="34"/>
      <c r="AP337" s="35"/>
      <c r="AQ337" s="34"/>
      <c r="AR337" s="35"/>
      <c r="AS337" s="34"/>
      <c r="AT337" s="35"/>
      <c r="AU337" s="36"/>
      <c r="AV337" s="37">
        <v>1</v>
      </c>
      <c r="AW337" s="36">
        <v>1</v>
      </c>
      <c r="AX337" s="52">
        <f t="shared" si="7"/>
        <v>1</v>
      </c>
      <c r="AY337" s="52"/>
      <c r="AZ337" s="52"/>
    </row>
    <row r="338" spans="1:52" ht="110.25" customHeight="1" x14ac:dyDescent="0.25">
      <c r="A338" s="46" t="s">
        <v>2205</v>
      </c>
      <c r="B338" s="46" t="s">
        <v>2218</v>
      </c>
      <c r="C338" s="46" t="s">
        <v>2207</v>
      </c>
      <c r="D338" s="46" t="s">
        <v>114</v>
      </c>
      <c r="E338" s="47" t="s">
        <v>2219</v>
      </c>
      <c r="F338" s="46">
        <v>1957311</v>
      </c>
      <c r="G338" s="46">
        <v>1959974</v>
      </c>
      <c r="H338" s="46" t="s">
        <v>1896</v>
      </c>
      <c r="I338" s="46" t="s">
        <v>2205</v>
      </c>
      <c r="J338" s="65">
        <v>2.224537037037037E-2</v>
      </c>
      <c r="K338" s="46" t="s">
        <v>79</v>
      </c>
      <c r="L338" s="46" t="s">
        <v>2210</v>
      </c>
      <c r="M338" s="46" t="s">
        <v>2211</v>
      </c>
      <c r="N338" s="46" t="s">
        <v>97</v>
      </c>
      <c r="O338" s="46" t="s">
        <v>63</v>
      </c>
      <c r="P338" s="46" t="s">
        <v>64</v>
      </c>
      <c r="Q338" s="46">
        <v>2</v>
      </c>
      <c r="R338" s="46" t="s">
        <v>99</v>
      </c>
      <c r="S338" s="46" t="s">
        <v>84</v>
      </c>
      <c r="T338" s="46" t="s">
        <v>67</v>
      </c>
      <c r="U338" s="46" t="s">
        <v>631</v>
      </c>
      <c r="V338" s="46" t="s">
        <v>86</v>
      </c>
      <c r="W338" s="46" t="s">
        <v>100</v>
      </c>
      <c r="X338" s="48" t="s">
        <v>2220</v>
      </c>
      <c r="Y338" s="48" t="s">
        <v>72</v>
      </c>
      <c r="Z338" s="48" t="s">
        <v>2221</v>
      </c>
      <c r="AA338" s="29"/>
      <c r="AB338" s="30"/>
      <c r="AC338" s="38"/>
      <c r="AD338" s="29"/>
      <c r="AE338" s="39">
        <v>1</v>
      </c>
      <c r="AF338" s="40"/>
      <c r="AG338" s="32"/>
      <c r="AH338" s="33"/>
      <c r="AI338" s="32"/>
      <c r="AJ338" s="33"/>
      <c r="AK338" s="32"/>
      <c r="AL338" s="33"/>
      <c r="AM338" s="32"/>
      <c r="AN338" s="33">
        <v>1</v>
      </c>
      <c r="AO338" s="34"/>
      <c r="AP338" s="35"/>
      <c r="AQ338" s="34"/>
      <c r="AR338" s="35"/>
      <c r="AS338" s="34"/>
      <c r="AT338" s="35"/>
      <c r="AU338" s="36"/>
      <c r="AV338" s="37">
        <v>1</v>
      </c>
      <c r="AW338" s="36"/>
      <c r="AX338" s="52">
        <f t="shared" si="7"/>
        <v>1</v>
      </c>
      <c r="AY338" s="52"/>
      <c r="AZ338" s="52"/>
    </row>
    <row r="339" spans="1:52" ht="110.25" customHeight="1" x14ac:dyDescent="0.25">
      <c r="A339" s="49" t="s">
        <v>2222</v>
      </c>
      <c r="B339" s="49" t="s">
        <v>2223</v>
      </c>
      <c r="C339" s="49" t="s">
        <v>2224</v>
      </c>
      <c r="D339" s="49">
        <v>2022</v>
      </c>
      <c r="E339" s="50" t="s">
        <v>2225</v>
      </c>
      <c r="F339" s="49">
        <v>58207</v>
      </c>
      <c r="G339" s="49">
        <v>60262</v>
      </c>
      <c r="H339" s="49" t="s">
        <v>2226</v>
      </c>
      <c r="I339" s="49" t="s">
        <v>2222</v>
      </c>
      <c r="J339" s="64">
        <v>2.5439814814814814E-2</v>
      </c>
      <c r="K339" s="49" t="s">
        <v>79</v>
      </c>
      <c r="L339" s="49" t="s">
        <v>2227</v>
      </c>
      <c r="M339" s="49" t="s">
        <v>2228</v>
      </c>
      <c r="N339" s="49" t="s">
        <v>1399</v>
      </c>
      <c r="O339" s="49" t="s">
        <v>63</v>
      </c>
      <c r="P339" s="49" t="s">
        <v>64</v>
      </c>
      <c r="Q339" s="49">
        <v>2</v>
      </c>
      <c r="R339" s="49" t="s">
        <v>160</v>
      </c>
      <c r="S339" s="49" t="s">
        <v>84</v>
      </c>
      <c r="T339" s="49" t="s">
        <v>85</v>
      </c>
      <c r="U339" s="49" t="s">
        <v>68</v>
      </c>
      <c r="V339" s="49" t="s">
        <v>86</v>
      </c>
      <c r="W339" s="49" t="s">
        <v>161</v>
      </c>
      <c r="X339" s="51" t="s">
        <v>2229</v>
      </c>
      <c r="Y339" s="51" t="s">
        <v>72</v>
      </c>
      <c r="Z339" s="51" t="s">
        <v>2230</v>
      </c>
      <c r="AA339" s="29">
        <v>1</v>
      </c>
      <c r="AB339" s="30"/>
      <c r="AC339" s="38"/>
      <c r="AD339" s="29"/>
      <c r="AE339" s="39"/>
      <c r="AF339" s="40"/>
      <c r="AG339" s="32"/>
      <c r="AH339" s="33"/>
      <c r="AI339" s="32"/>
      <c r="AJ339" s="33"/>
      <c r="AK339" s="32"/>
      <c r="AL339" s="33"/>
      <c r="AM339" s="32"/>
      <c r="AN339" s="33"/>
      <c r="AO339" s="34"/>
      <c r="AP339" s="35"/>
      <c r="AQ339" s="34"/>
      <c r="AR339" s="35"/>
      <c r="AS339" s="34"/>
      <c r="AT339" s="35"/>
      <c r="AU339" s="36"/>
      <c r="AV339" s="37"/>
      <c r="AW339" s="36"/>
      <c r="AX339" s="52">
        <f t="shared" si="7"/>
        <v>0</v>
      </c>
      <c r="AY339" s="52"/>
      <c r="AZ339" s="52"/>
    </row>
    <row r="340" spans="1:52" ht="110.25" customHeight="1" x14ac:dyDescent="0.25">
      <c r="A340" s="46" t="s">
        <v>2222</v>
      </c>
      <c r="B340" s="46" t="s">
        <v>2231</v>
      </c>
      <c r="C340" s="46" t="s">
        <v>2224</v>
      </c>
      <c r="D340" s="46">
        <v>2022</v>
      </c>
      <c r="E340" s="47" t="s">
        <v>2232</v>
      </c>
      <c r="F340" s="46">
        <v>2188660</v>
      </c>
      <c r="G340" s="46">
        <v>2189660</v>
      </c>
      <c r="H340" s="46" t="s">
        <v>2233</v>
      </c>
      <c r="I340" s="46" t="s">
        <v>2222</v>
      </c>
      <c r="J340" s="65">
        <v>2.5439814814814814E-2</v>
      </c>
      <c r="K340" s="46" t="s">
        <v>79</v>
      </c>
      <c r="L340" s="46" t="s">
        <v>2227</v>
      </c>
      <c r="M340" s="46" t="s">
        <v>2228</v>
      </c>
      <c r="N340" s="46" t="s">
        <v>97</v>
      </c>
      <c r="O340" s="46" t="s">
        <v>63</v>
      </c>
      <c r="P340" s="46" t="s">
        <v>64</v>
      </c>
      <c r="Q340" s="46">
        <v>2</v>
      </c>
      <c r="R340" s="46" t="s">
        <v>99</v>
      </c>
      <c r="S340" s="46" t="s">
        <v>84</v>
      </c>
      <c r="T340" s="46" t="s">
        <v>85</v>
      </c>
      <c r="U340" s="46" t="s">
        <v>68</v>
      </c>
      <c r="V340" s="46" t="s">
        <v>86</v>
      </c>
      <c r="W340" s="46" t="s">
        <v>87</v>
      </c>
      <c r="X340" s="48" t="s">
        <v>2234</v>
      </c>
      <c r="Y340" s="48" t="s">
        <v>72</v>
      </c>
      <c r="Z340" s="48" t="s">
        <v>2235</v>
      </c>
      <c r="AA340" s="29"/>
      <c r="AB340" s="30"/>
      <c r="AC340" s="38"/>
      <c r="AD340" s="29"/>
      <c r="AE340" s="39">
        <v>1</v>
      </c>
      <c r="AF340" s="40"/>
      <c r="AG340" s="32"/>
      <c r="AH340" s="33"/>
      <c r="AI340" s="32"/>
      <c r="AJ340" s="33"/>
      <c r="AK340" s="32"/>
      <c r="AL340" s="33"/>
      <c r="AM340" s="32"/>
      <c r="AN340" s="33">
        <v>1</v>
      </c>
      <c r="AO340" s="34"/>
      <c r="AP340" s="35"/>
      <c r="AQ340" s="34"/>
      <c r="AR340" s="35"/>
      <c r="AS340" s="34"/>
      <c r="AT340" s="35"/>
      <c r="AU340" s="36"/>
      <c r="AV340" s="37">
        <v>1</v>
      </c>
      <c r="AW340" s="36"/>
      <c r="AX340" s="52"/>
      <c r="AY340" s="52"/>
      <c r="AZ340" s="52"/>
    </row>
    <row r="341" spans="1:52" ht="110.25" customHeight="1" x14ac:dyDescent="0.25">
      <c r="A341" s="49" t="s">
        <v>2236</v>
      </c>
      <c r="B341" s="49" t="s">
        <v>2237</v>
      </c>
      <c r="C341" s="49" t="s">
        <v>2238</v>
      </c>
      <c r="D341" s="49">
        <v>2022</v>
      </c>
      <c r="E341" s="50" t="s">
        <v>2239</v>
      </c>
      <c r="F341" s="49">
        <v>153681</v>
      </c>
      <c r="G341" s="49">
        <v>162780</v>
      </c>
      <c r="H341" s="49" t="s">
        <v>2240</v>
      </c>
      <c r="I341" s="49" t="s">
        <v>2236</v>
      </c>
      <c r="J341" s="64">
        <v>3.5034722222222224E-2</v>
      </c>
      <c r="K341" s="49" t="s">
        <v>79</v>
      </c>
      <c r="L341" s="49" t="s">
        <v>2241</v>
      </c>
      <c r="M341" s="49" t="s">
        <v>2242</v>
      </c>
      <c r="N341" s="49" t="s">
        <v>1320</v>
      </c>
      <c r="O341" s="49" t="s">
        <v>98</v>
      </c>
      <c r="P341" s="49" t="s">
        <v>64</v>
      </c>
      <c r="Q341" s="49">
        <v>3</v>
      </c>
      <c r="R341" s="49" t="s">
        <v>160</v>
      </c>
      <c r="S341" s="49" t="s">
        <v>84</v>
      </c>
      <c r="T341" s="49" t="s">
        <v>85</v>
      </c>
      <c r="U341" s="49" t="s">
        <v>68</v>
      </c>
      <c r="V341" s="49" t="s">
        <v>86</v>
      </c>
      <c r="W341" s="49" t="s">
        <v>377</v>
      </c>
      <c r="X341" s="51" t="s">
        <v>2243</v>
      </c>
      <c r="Y341" s="51" t="s">
        <v>72</v>
      </c>
      <c r="Z341" s="51" t="s">
        <v>2244</v>
      </c>
      <c r="AA341" s="29"/>
      <c r="AB341" s="30"/>
      <c r="AC341" s="38"/>
      <c r="AD341" s="29"/>
      <c r="AE341" s="39">
        <v>1</v>
      </c>
      <c r="AF341" s="40"/>
      <c r="AG341" s="32"/>
      <c r="AH341" s="33"/>
      <c r="AI341" s="32"/>
      <c r="AJ341" s="33"/>
      <c r="AK341" s="32"/>
      <c r="AL341" s="33"/>
      <c r="AM341" s="32"/>
      <c r="AN341" s="33"/>
      <c r="AO341" s="34"/>
      <c r="AP341" s="35"/>
      <c r="AQ341" s="34"/>
      <c r="AR341" s="35">
        <v>1</v>
      </c>
      <c r="AS341" s="34"/>
      <c r="AT341" s="35"/>
      <c r="AU341" s="36"/>
      <c r="AV341" s="37"/>
      <c r="AW341" s="36"/>
      <c r="AX341" s="52"/>
      <c r="AY341" s="52"/>
      <c r="AZ341" s="52"/>
    </row>
    <row r="342" spans="1:52" ht="110.25" customHeight="1" x14ac:dyDescent="0.25">
      <c r="A342" s="46" t="s">
        <v>2236</v>
      </c>
      <c r="B342" s="46" t="s">
        <v>2245</v>
      </c>
      <c r="C342" s="46" t="s">
        <v>2238</v>
      </c>
      <c r="D342" s="46">
        <v>2022</v>
      </c>
      <c r="E342" s="47" t="s">
        <v>2246</v>
      </c>
      <c r="F342" s="46">
        <v>468946</v>
      </c>
      <c r="G342" s="46">
        <v>472181</v>
      </c>
      <c r="H342" s="46" t="s">
        <v>463</v>
      </c>
      <c r="I342" s="46" t="s">
        <v>2236</v>
      </c>
      <c r="J342" s="65">
        <v>3.5034722222222224E-2</v>
      </c>
      <c r="K342" s="46" t="s">
        <v>79</v>
      </c>
      <c r="L342" s="46" t="s">
        <v>2241</v>
      </c>
      <c r="M342" s="46" t="s">
        <v>2242</v>
      </c>
      <c r="N342" s="46" t="s">
        <v>97</v>
      </c>
      <c r="O342" s="46" t="s">
        <v>98</v>
      </c>
      <c r="P342" s="46" t="s">
        <v>64</v>
      </c>
      <c r="Q342" s="46">
        <v>3</v>
      </c>
      <c r="R342" s="46" t="s">
        <v>99</v>
      </c>
      <c r="S342" s="46" t="s">
        <v>84</v>
      </c>
      <c r="T342" s="46" t="s">
        <v>85</v>
      </c>
      <c r="U342" s="46" t="s">
        <v>68</v>
      </c>
      <c r="V342" s="46" t="s">
        <v>86</v>
      </c>
      <c r="W342" s="46" t="s">
        <v>100</v>
      </c>
      <c r="X342" s="48" t="s">
        <v>2247</v>
      </c>
      <c r="Y342" s="48" t="s">
        <v>72</v>
      </c>
      <c r="Z342" s="48" t="s">
        <v>2248</v>
      </c>
      <c r="AA342" s="29">
        <v>1</v>
      </c>
      <c r="AB342" s="30"/>
      <c r="AC342" s="38"/>
      <c r="AD342" s="29"/>
      <c r="AE342" s="39"/>
      <c r="AF342" s="40"/>
      <c r="AG342" s="32"/>
      <c r="AH342" s="33"/>
      <c r="AI342" s="32"/>
      <c r="AJ342" s="33"/>
      <c r="AK342" s="32"/>
      <c r="AL342" s="33"/>
      <c r="AM342" s="32"/>
      <c r="AN342" s="33"/>
      <c r="AO342" s="34"/>
      <c r="AP342" s="35"/>
      <c r="AQ342" s="34"/>
      <c r="AR342" s="35"/>
      <c r="AS342" s="34"/>
      <c r="AT342" s="35"/>
      <c r="AU342" s="36"/>
      <c r="AV342" s="37"/>
      <c r="AW342" s="36"/>
      <c r="AX342" s="52"/>
      <c r="AY342" s="52"/>
      <c r="AZ342" s="52"/>
    </row>
    <row r="343" spans="1:52" ht="110.25" customHeight="1" x14ac:dyDescent="0.25">
      <c r="A343" s="49" t="s">
        <v>2236</v>
      </c>
      <c r="B343" s="49" t="s">
        <v>2249</v>
      </c>
      <c r="C343" s="49" t="s">
        <v>2238</v>
      </c>
      <c r="D343" s="49">
        <v>2022</v>
      </c>
      <c r="E343" s="50" t="s">
        <v>2250</v>
      </c>
      <c r="F343" s="49">
        <v>1056524</v>
      </c>
      <c r="G343" s="49">
        <v>1059061</v>
      </c>
      <c r="H343" s="49" t="s">
        <v>2240</v>
      </c>
      <c r="I343" s="49" t="s">
        <v>2236</v>
      </c>
      <c r="J343" s="64">
        <v>3.5034722222222224E-2</v>
      </c>
      <c r="K343" s="49" t="s">
        <v>79</v>
      </c>
      <c r="L343" s="49" t="s">
        <v>2241</v>
      </c>
      <c r="M343" s="49" t="s">
        <v>2242</v>
      </c>
      <c r="N343" s="49" t="s">
        <v>1320</v>
      </c>
      <c r="O343" s="49" t="s">
        <v>98</v>
      </c>
      <c r="P343" s="49" t="s">
        <v>64</v>
      </c>
      <c r="Q343" s="49">
        <v>3</v>
      </c>
      <c r="R343" s="49" t="s">
        <v>160</v>
      </c>
      <c r="S343" s="49" t="s">
        <v>84</v>
      </c>
      <c r="T343" s="49" t="s">
        <v>85</v>
      </c>
      <c r="U343" s="49" t="s">
        <v>68</v>
      </c>
      <c r="V343" s="49" t="s">
        <v>86</v>
      </c>
      <c r="W343" s="49" t="s">
        <v>377</v>
      </c>
      <c r="X343" s="51" t="s">
        <v>2251</v>
      </c>
      <c r="Y343" s="51" t="s">
        <v>72</v>
      </c>
      <c r="Z343" s="51" t="s">
        <v>2252</v>
      </c>
      <c r="AA343" s="29"/>
      <c r="AB343" s="30"/>
      <c r="AC343" s="38"/>
      <c r="AD343" s="29"/>
      <c r="AE343" s="39">
        <v>1</v>
      </c>
      <c r="AF343" s="40"/>
      <c r="AG343" s="32"/>
      <c r="AH343" s="33"/>
      <c r="AI343" s="32"/>
      <c r="AJ343" s="33"/>
      <c r="AK343" s="32"/>
      <c r="AL343" s="33"/>
      <c r="AM343" s="32"/>
      <c r="AN343" s="33"/>
      <c r="AO343" s="34"/>
      <c r="AP343" s="35"/>
      <c r="AQ343" s="34"/>
      <c r="AR343" s="35"/>
      <c r="AS343" s="34"/>
      <c r="AT343" s="35"/>
      <c r="AU343" s="36"/>
      <c r="AV343" s="37">
        <v>1</v>
      </c>
      <c r="AW343" s="36"/>
      <c r="AX343" s="52"/>
      <c r="AY343" s="52"/>
      <c r="AZ343" s="52"/>
    </row>
    <row r="344" spans="1:52" ht="110.25" customHeight="1" x14ac:dyDescent="0.25">
      <c r="A344" s="46" t="s">
        <v>2236</v>
      </c>
      <c r="B344" s="46" t="s">
        <v>2253</v>
      </c>
      <c r="C344" s="46" t="s">
        <v>2238</v>
      </c>
      <c r="D344" s="46">
        <v>2022</v>
      </c>
      <c r="E344" s="46" t="s">
        <v>2254</v>
      </c>
      <c r="F344" s="46">
        <v>1061549</v>
      </c>
      <c r="G344" s="46">
        <v>1063688</v>
      </c>
      <c r="H344" s="46" t="s">
        <v>2240</v>
      </c>
      <c r="I344" s="46" t="s">
        <v>2236</v>
      </c>
      <c r="J344" s="65">
        <v>3.5034722222222224E-2</v>
      </c>
      <c r="K344" s="46" t="s">
        <v>79</v>
      </c>
      <c r="L344" s="46" t="s">
        <v>2241</v>
      </c>
      <c r="M344" s="46" t="s">
        <v>2242</v>
      </c>
      <c r="N344" s="46" t="s">
        <v>1320</v>
      </c>
      <c r="O344" s="46" t="s">
        <v>98</v>
      </c>
      <c r="P344" s="46" t="s">
        <v>64</v>
      </c>
      <c r="Q344" s="46">
        <v>3</v>
      </c>
      <c r="R344" s="46" t="s">
        <v>160</v>
      </c>
      <c r="S344" s="46" t="s">
        <v>84</v>
      </c>
      <c r="T344" s="46" t="s">
        <v>85</v>
      </c>
      <c r="U344" s="46" t="s">
        <v>68</v>
      </c>
      <c r="V344" s="46" t="s">
        <v>86</v>
      </c>
      <c r="W344" s="46" t="s">
        <v>377</v>
      </c>
      <c r="X344" s="48" t="s">
        <v>2255</v>
      </c>
      <c r="Y344" s="48" t="s">
        <v>72</v>
      </c>
      <c r="Z344" s="48" t="s">
        <v>2256</v>
      </c>
      <c r="AA344" s="29"/>
      <c r="AB344" s="30"/>
      <c r="AC344" s="38"/>
      <c r="AD344" s="29"/>
      <c r="AE344" s="39">
        <v>1</v>
      </c>
      <c r="AF344" s="40"/>
      <c r="AG344" s="32"/>
      <c r="AH344" s="33"/>
      <c r="AI344" s="32"/>
      <c r="AJ344" s="33"/>
      <c r="AK344" s="32"/>
      <c r="AL344" s="33"/>
      <c r="AM344" s="32"/>
      <c r="AN344" s="33"/>
      <c r="AO344" s="34"/>
      <c r="AP344" s="35"/>
      <c r="AQ344" s="34"/>
      <c r="AR344" s="35"/>
      <c r="AS344" s="34"/>
      <c r="AT344" s="35"/>
      <c r="AU344" s="36"/>
      <c r="AV344" s="37"/>
      <c r="AW344" s="36">
        <v>1</v>
      </c>
      <c r="AX344" s="52"/>
      <c r="AY344" s="52"/>
      <c r="AZ344" s="52"/>
    </row>
    <row r="345" spans="1:52" ht="110.25" customHeight="1" x14ac:dyDescent="0.25">
      <c r="A345" s="49" t="s">
        <v>2257</v>
      </c>
      <c r="B345" s="49" t="s">
        <v>2258</v>
      </c>
      <c r="C345" s="49" t="s">
        <v>2259</v>
      </c>
      <c r="D345" s="49">
        <v>2019</v>
      </c>
      <c r="E345" s="50" t="s">
        <v>2260</v>
      </c>
      <c r="F345" s="49">
        <v>29347</v>
      </c>
      <c r="G345" s="49">
        <v>29898</v>
      </c>
      <c r="H345" s="49" t="s">
        <v>2261</v>
      </c>
      <c r="I345" s="49" t="s">
        <v>2257</v>
      </c>
      <c r="J345" s="64">
        <v>1.9016203703703705E-2</v>
      </c>
      <c r="K345" s="49" t="s">
        <v>79</v>
      </c>
      <c r="L345" s="49" t="s">
        <v>2262</v>
      </c>
      <c r="M345" s="49" t="s">
        <v>2263</v>
      </c>
      <c r="N345" s="49" t="s">
        <v>711</v>
      </c>
      <c r="O345" s="49" t="s">
        <v>63</v>
      </c>
      <c r="P345" s="49" t="s">
        <v>120</v>
      </c>
      <c r="Q345" s="49">
        <v>2</v>
      </c>
      <c r="R345" s="49" t="s">
        <v>83</v>
      </c>
      <c r="S345" s="49" t="s">
        <v>84</v>
      </c>
      <c r="T345" s="49" t="s">
        <v>85</v>
      </c>
      <c r="U345" s="49" t="s">
        <v>121</v>
      </c>
      <c r="V345" s="49" t="s">
        <v>86</v>
      </c>
      <c r="W345" s="49" t="s">
        <v>87</v>
      </c>
      <c r="X345" s="51" t="s">
        <v>2264</v>
      </c>
      <c r="Y345" s="51" t="s">
        <v>72</v>
      </c>
      <c r="Z345" s="51" t="s">
        <v>2265</v>
      </c>
      <c r="AA345" s="29"/>
      <c r="AB345" s="30"/>
      <c r="AC345" s="38"/>
      <c r="AD345" s="29"/>
      <c r="AE345" s="39">
        <v>1</v>
      </c>
      <c r="AF345" s="40"/>
      <c r="AG345" s="32"/>
      <c r="AH345" s="33"/>
      <c r="AI345" s="32"/>
      <c r="AJ345" s="33"/>
      <c r="AK345" s="32"/>
      <c r="AL345" s="33"/>
      <c r="AM345" s="32"/>
      <c r="AN345" s="33"/>
      <c r="AO345" s="34"/>
      <c r="AP345" s="35"/>
      <c r="AQ345" s="34"/>
      <c r="AR345" s="35"/>
      <c r="AS345" s="34"/>
      <c r="AT345" s="35"/>
      <c r="AU345" s="36"/>
      <c r="AV345" s="37">
        <v>1</v>
      </c>
      <c r="AW345" s="36"/>
      <c r="AX345" s="52"/>
      <c r="AY345" s="52"/>
      <c r="AZ345" s="52"/>
    </row>
    <row r="346" spans="1:52" ht="110.25" customHeight="1" x14ac:dyDescent="0.25">
      <c r="A346" s="66" t="s">
        <v>2257</v>
      </c>
      <c r="B346" s="66" t="s">
        <v>2266</v>
      </c>
      <c r="C346" s="66" t="s">
        <v>2259</v>
      </c>
      <c r="D346" s="66">
        <v>2019</v>
      </c>
      <c r="E346" s="66" t="s">
        <v>2267</v>
      </c>
      <c r="F346" s="66">
        <v>30825</v>
      </c>
      <c r="G346" s="66">
        <v>31305</v>
      </c>
      <c r="H346" s="66" t="s">
        <v>2261</v>
      </c>
      <c r="I346" s="66" t="s">
        <v>2257</v>
      </c>
      <c r="J346" s="67">
        <v>1.9016203703703705E-2</v>
      </c>
      <c r="K346" s="66" t="s">
        <v>79</v>
      </c>
      <c r="L346" s="66" t="s">
        <v>2262</v>
      </c>
      <c r="M346" s="66" t="s">
        <v>2263</v>
      </c>
      <c r="N346" s="66" t="s">
        <v>711</v>
      </c>
      <c r="O346" s="66" t="s">
        <v>63</v>
      </c>
      <c r="P346" s="66" t="s">
        <v>120</v>
      </c>
      <c r="Q346" s="66">
        <v>2</v>
      </c>
      <c r="R346" s="66" t="s">
        <v>83</v>
      </c>
      <c r="S346" s="66" t="s">
        <v>84</v>
      </c>
      <c r="T346" s="66" t="s">
        <v>85</v>
      </c>
      <c r="U346" s="66" t="s">
        <v>121</v>
      </c>
      <c r="V346" s="66" t="s">
        <v>86</v>
      </c>
      <c r="W346" s="66" t="s">
        <v>87</v>
      </c>
      <c r="X346" s="68" t="s">
        <v>2268</v>
      </c>
      <c r="Y346" s="68" t="s">
        <v>72</v>
      </c>
      <c r="Z346" s="68" t="s">
        <v>2269</v>
      </c>
      <c r="AA346" s="29"/>
      <c r="AB346" s="30"/>
      <c r="AC346" s="38"/>
      <c r="AD346" s="29"/>
      <c r="AE346" s="39">
        <v>1</v>
      </c>
      <c r="AF346" s="40"/>
      <c r="AG346" s="32"/>
      <c r="AH346" s="33"/>
      <c r="AI346" s="32"/>
      <c r="AJ346" s="33"/>
      <c r="AK346" s="32"/>
      <c r="AL346" s="33"/>
      <c r="AM346" s="32"/>
      <c r="AN346" s="33"/>
      <c r="AO346" s="34"/>
      <c r="AP346" s="35"/>
      <c r="AQ346" s="34"/>
      <c r="AR346" s="35"/>
      <c r="AS346" s="34"/>
      <c r="AT346" s="35"/>
      <c r="AU346" s="36"/>
      <c r="AV346" s="37">
        <v>1</v>
      </c>
      <c r="AW346" s="36"/>
      <c r="AX346" s="52"/>
      <c r="AY346" s="52"/>
      <c r="AZ346" s="52"/>
    </row>
    <row r="347" spans="1:52" ht="110.25" customHeight="1" x14ac:dyDescent="0.25">
      <c r="AA347" s="56">
        <f>SUM(AA3:AA346)</f>
        <v>84</v>
      </c>
      <c r="AB347" s="45">
        <f t="shared" ref="AB347:AE347" si="8">SUM(AB3:AB346)</f>
        <v>0</v>
      </c>
      <c r="AC347" s="45">
        <f t="shared" si="8"/>
        <v>0</v>
      </c>
      <c r="AD347" s="45">
        <f t="shared" si="8"/>
        <v>0</v>
      </c>
      <c r="AE347" s="57">
        <f t="shared" si="8"/>
        <v>254</v>
      </c>
    </row>
  </sheetData>
  <autoFilter ref="A1:AZ347" xr:uid="{F68DD5FA-2FF9-2842-92E8-3C24DAC88B1F}">
    <filterColumn colId="32" showButton="0"/>
    <filterColumn colId="33" showButton="0"/>
    <filterColumn colId="34" showButton="0"/>
    <filterColumn colId="35" showButton="0"/>
    <filterColumn colId="36" showButton="0"/>
    <filterColumn colId="37" showButton="0"/>
    <filterColumn colId="38" showButton="0"/>
    <filterColumn colId="40" showButton="0"/>
    <filterColumn colId="41" showButton="0"/>
    <filterColumn colId="42" showButton="0"/>
    <filterColumn colId="43" showButton="0"/>
    <filterColumn colId="44" showButton="0"/>
    <filterColumn colId="46" showButton="0"/>
    <filterColumn colId="47" showButton="0"/>
  </autoFilter>
  <mergeCells count="5">
    <mergeCell ref="AZ283:AZ285"/>
    <mergeCell ref="AZ308:AZ310"/>
    <mergeCell ref="AG1:AN1"/>
    <mergeCell ref="AO1:AT1"/>
    <mergeCell ref="AU1:AW1"/>
  </mergeCells>
  <dataValidations count="4">
    <dataValidation type="custom" allowBlank="1" showDropDown="1" showInputMessage="1" showErrorMessage="1" sqref="AV2:AW2 AE1:AF2 AO1:AO2 AP2:AT2 AU1:AU2 AB1:AD346 AB348:AD1048576 AB347:AE347 AA1:AA11 AA13:AA1048576 AE62:AF62 AE85:AF85" xr:uid="{BDC54D72-2703-B14F-A1E6-C37432636AB2}">
      <formula1>1</formula1>
    </dataValidation>
    <dataValidation type="whole" allowBlank="1" showDropDown="1" showInputMessage="1" showErrorMessage="1" sqref="AG1:AG2 AH2:AN2" xr:uid="{664893A1-3C9B-4EEB-976F-9B0AB5F340E1}">
      <formula1>0</formula1>
      <formula2>1</formula2>
    </dataValidation>
    <dataValidation type="custom" allowBlank="1" showInputMessage="1" showErrorMessage="1" sqref="AX2" xr:uid="{26EFA75F-5A3F-4B0F-8AB7-8BD045B4AEAE}">
      <formula1>IF((COUNTA(AG3:AN3)&gt;0)+(COUNTA(AO3:AT3)&gt;0)+(COUNTA(AU3:AW3)&gt;0)&gt;1, TRUE, FALSE)</formula1>
    </dataValidation>
    <dataValidation type="whole" allowBlank="1" showInputMessage="1" showErrorMessage="1" errorTitle="Errore" error="Scegliere un valore tra: 0 e 1" sqref="AE3:AX51 AU52:AV52 AE52:AT53 AV52:AX53 AE86:AE346 AE348:AE1048576 AF86:AF1048576 AE54:AF61 AE63:AF84 AG54:AX1048576" xr:uid="{201539F4-C3C3-477A-8E0C-5C3A82B30BF0}">
      <formula1>0</formula1>
      <formula2>1</formula2>
    </dataValidation>
  </dataValidations>
  <hyperlinks>
    <hyperlink ref="L3" r:id="rId1" xr:uid="{A144D72C-CF9A-4777-B25B-2F012437BE15}"/>
    <hyperlink ref="M3" r:id="rId2" xr:uid="{8D800269-C2B7-4991-A1F1-EC7176D5F6DA}"/>
    <hyperlink ref="E3" r:id="rId3" xr:uid="{F196A5B2-677B-45A4-B9D3-F70D8E88B237}"/>
    <hyperlink ref="E4" r:id="rId4" xr:uid="{6DCB9D23-F2FA-4032-9015-2EA77D764989}"/>
    <hyperlink ref="L4" r:id="rId5" xr:uid="{E422C800-FA01-4C2B-92A1-6CD332D6F5DB}"/>
    <hyperlink ref="E5" r:id="rId6" xr:uid="{0C8BF107-D627-4322-975F-EB0F42C877EF}"/>
    <hyperlink ref="E6" r:id="rId7" xr:uid="{5863FFBE-2A12-485A-8A8D-1502E5C2241C}"/>
    <hyperlink ref="L6" r:id="rId8" xr:uid="{5D59EAA6-7831-46B4-AFFA-A81ECEBEF29B}"/>
    <hyperlink ref="E7" r:id="rId9" xr:uid="{5CAB3D24-7129-4FEA-8694-3CA088944E22}"/>
    <hyperlink ref="E9" r:id="rId10" xr:uid="{8E2F5EFE-2162-42D7-8BFA-63962390A80C}"/>
    <hyperlink ref="L9" r:id="rId11" xr:uid="{0427D698-5AAA-4241-9672-65657A5AB6F3}"/>
    <hyperlink ref="E12" r:id="rId12" xr:uid="{2649C00E-62D4-4C68-B5AD-EF2A35AA1BDE}"/>
    <hyperlink ref="E13" r:id="rId13" xr:uid="{A66C61A1-86C8-4B22-AC30-1E6FDC217B5B}"/>
    <hyperlink ref="E14" r:id="rId14" xr:uid="{C17BACB4-2920-4A2C-9761-2EAA869E0123}"/>
    <hyperlink ref="E15" r:id="rId15" xr:uid="{0314AEDF-A2AF-4A70-8B05-D83C5EA500F9}"/>
    <hyperlink ref="E16" r:id="rId16" xr:uid="{E2E78928-0625-45F9-89DA-055F808B7946}"/>
    <hyperlink ref="E17" r:id="rId17" xr:uid="{73B34231-6BD5-4375-9F31-3368E0562877}"/>
    <hyperlink ref="E18" r:id="rId18" xr:uid="{3E6BBC35-281D-43A5-8403-A10507BB380D}"/>
    <hyperlink ref="E19" r:id="rId19" xr:uid="{D19BF28F-6AF6-46FC-90DE-5A452D29DC37}"/>
    <hyperlink ref="E20" r:id="rId20" xr:uid="{725ADC70-32E6-49A0-8CDB-102C3225E4C0}"/>
    <hyperlink ref="E21" r:id="rId21" xr:uid="{5F2195B1-74E3-482B-9F81-BB241B28121E}"/>
    <hyperlink ref="E25" r:id="rId22" xr:uid="{438DDC20-73E3-4F08-ADCC-1ACB7B48B0CC}"/>
    <hyperlink ref="E26" r:id="rId23" xr:uid="{4F5FCD1B-7B24-443E-8688-2276F4DC38F1}"/>
    <hyperlink ref="E27" r:id="rId24" xr:uid="{6F685342-CF2B-435D-826D-FD1DA7224FE9}"/>
    <hyperlink ref="E28" r:id="rId25" xr:uid="{54857D67-31E0-4D6F-9559-4F9237AC9CB3}"/>
    <hyperlink ref="E30" r:id="rId26" xr:uid="{8E7ABDCC-8B04-4327-A863-CC74FA228A17}"/>
    <hyperlink ref="E31" r:id="rId27" xr:uid="{D418BFF2-5C86-469B-B8B8-E3A12E4AC1CA}"/>
    <hyperlink ref="E32" r:id="rId28" xr:uid="{55B52AE8-4B0C-49EC-953B-AF4B2234284C}"/>
    <hyperlink ref="E33" r:id="rId29" xr:uid="{ED91FC0C-0018-466F-99D0-3B021524CE67}"/>
    <hyperlink ref="L35" r:id="rId30" xr:uid="{D7D209E0-77AA-41E3-A6BD-1FD07D729B68}"/>
    <hyperlink ref="E35" r:id="rId31" xr:uid="{E14C4609-3A19-4A49-9C07-5D6426A7794D}"/>
    <hyperlink ref="E36" r:id="rId32" xr:uid="{F2A40625-BB31-4DAD-98B6-606A8E07DF2F}"/>
    <hyperlink ref="E38" r:id="rId33" xr:uid="{06499D8E-E0F3-43EA-BC55-9D0D409ED538}"/>
    <hyperlink ref="E39" r:id="rId34" xr:uid="{4F9A80AD-0931-42B0-A836-6BE3036B68CC}"/>
    <hyperlink ref="E40" r:id="rId35" xr:uid="{26894175-64BF-46C9-BA84-7725C27AA225}"/>
    <hyperlink ref="E41" r:id="rId36" xr:uid="{BD930DB5-826F-44C8-97D2-9BD9BC944019}"/>
    <hyperlink ref="E43" r:id="rId37" xr:uid="{EA620DF0-4581-4D55-8730-B7BEBBD8E00C}"/>
    <hyperlink ref="E44" r:id="rId38" xr:uid="{EC47A55E-6185-4897-B1A9-F7D6C4E8B140}"/>
    <hyperlink ref="E45" r:id="rId39" xr:uid="{16141128-BD02-4B2E-A96A-93A157540F9A}"/>
    <hyperlink ref="E46" r:id="rId40" xr:uid="{5847F8DC-0910-400C-ABB7-3636D6E86243}"/>
    <hyperlink ref="E47" r:id="rId41" xr:uid="{53052A9B-BFF2-4DD7-B789-E44670A74272}"/>
    <hyperlink ref="E48" r:id="rId42" xr:uid="{A0043F7D-7D13-4CC5-A55B-9B6192BC1006}"/>
    <hyperlink ref="E49" r:id="rId43" xr:uid="{2594791C-B0F0-46FB-928A-4BC3546649D9}"/>
    <hyperlink ref="E50" r:id="rId44" xr:uid="{7A984A3F-A496-4F8D-B58A-B3B320B3AB70}"/>
    <hyperlink ref="E51" r:id="rId45" xr:uid="{7CC8833B-F5B3-46AF-B2A7-BD7E8AB97212}"/>
    <hyperlink ref="E52" r:id="rId46" xr:uid="{5848A675-B07A-4F58-B5B5-BD11F96D2E25}"/>
    <hyperlink ref="E54" r:id="rId47" xr:uid="{734165A7-F502-46BA-BA17-41FBA944A9CF}"/>
    <hyperlink ref="E55" r:id="rId48" xr:uid="{13516294-45A1-4135-8AE4-8B9ED3E7090B}"/>
    <hyperlink ref="E56" r:id="rId49" xr:uid="{C04A0A5C-D857-4F0B-A760-57508A644305}"/>
    <hyperlink ref="E57" r:id="rId50" xr:uid="{217EAE6F-8CEB-4E2F-9CD9-A5F00F35AF2B}"/>
    <hyperlink ref="E58" r:id="rId51" xr:uid="{A681059F-376D-4B83-B5C1-19FE774CA127}"/>
    <hyperlink ref="E59" r:id="rId52" xr:uid="{2C25A045-9117-449D-AD07-B37966BFBF5C}"/>
    <hyperlink ref="E60" r:id="rId53" xr:uid="{F86926AD-1428-499E-905D-EEE0CA4D8A97}"/>
    <hyperlink ref="E61" r:id="rId54" xr:uid="{5186D4F7-41A1-4E20-8267-59A8CA1D478C}"/>
    <hyperlink ref="E62" r:id="rId55" xr:uid="{FA8A3F27-5EA9-4FD3-BC4C-19BD226A0AEA}"/>
    <hyperlink ref="E63" r:id="rId56" xr:uid="{8049A88D-D9BB-4AE6-AAA2-64255F5CCEDD}"/>
    <hyperlink ref="E64" r:id="rId57" xr:uid="{F4892616-2A93-4F79-9652-70F90855E2E5}"/>
    <hyperlink ref="E65" r:id="rId58" xr:uid="{01850E1D-0B29-4560-9F39-2A4080690367}"/>
    <hyperlink ref="E66" r:id="rId59" xr:uid="{DA6EEBAF-D9CB-457A-9C4C-28D99F4096A9}"/>
    <hyperlink ref="E67" r:id="rId60" xr:uid="{FAFEC86B-12F9-4865-A1BA-FC36489500A7}"/>
    <hyperlink ref="E68" r:id="rId61" xr:uid="{37A05C7F-CF4E-431D-8AE0-4CFF900228D2}"/>
    <hyperlink ref="E72" r:id="rId62" xr:uid="{ADDA80A2-7F53-4060-ADE2-B7CC049F6139}"/>
    <hyperlink ref="E73" r:id="rId63" xr:uid="{1ED726F8-1494-43BA-ABED-FBBE181A8005}"/>
    <hyperlink ref="E74" r:id="rId64" xr:uid="{010793D7-1EB1-4D7E-BDEB-EE9CA8DBFD9F}"/>
    <hyperlink ref="E75" r:id="rId65" xr:uid="{E9210F0E-625A-49FA-84B4-8091062878C7}"/>
    <hyperlink ref="E76" r:id="rId66" xr:uid="{72F4A9F6-B4C3-402D-9143-681C78628846}"/>
    <hyperlink ref="E77" r:id="rId67" xr:uid="{443A7506-3F75-475B-840E-0E48BDA60F00}"/>
    <hyperlink ref="E78" r:id="rId68" xr:uid="{4D39D2BA-2CE8-4E38-8A7D-38D4BB21E0F0}"/>
    <hyperlink ref="E80" r:id="rId69" xr:uid="{75FDF1BE-8453-4949-B441-FF71C9C3A767}"/>
    <hyperlink ref="E81" r:id="rId70" xr:uid="{1856E689-6821-4F59-B758-7B941A05DBA6}"/>
    <hyperlink ref="E82" r:id="rId71" xr:uid="{7D19B22C-3FED-47FE-B100-BACDB0501A18}"/>
    <hyperlink ref="E83" r:id="rId72" xr:uid="{E72E3344-CADA-4E71-BF15-BFAD2A8E57F4}"/>
    <hyperlink ref="E84" r:id="rId73" xr:uid="{D881C7BA-43B7-4AC6-AD5B-F1B1A40ED84A}"/>
    <hyperlink ref="E85" r:id="rId74" xr:uid="{7140497F-C579-4F19-B855-7D0971F67AAC}"/>
    <hyperlink ref="E86" r:id="rId75" xr:uid="{8FFA0789-7871-478E-92CB-653B39965934}"/>
    <hyperlink ref="E87" r:id="rId76" xr:uid="{9FB60DEA-9616-4925-9127-0FF3B6C194B5}"/>
    <hyperlink ref="E88" r:id="rId77" xr:uid="{F65C7059-09E8-48B8-AC50-D377FBD9DE68}"/>
    <hyperlink ref="E89" r:id="rId78" xr:uid="{385237B0-3D6D-4374-8CB1-66BECE89A325}"/>
    <hyperlink ref="E90" r:id="rId79" xr:uid="{DB3A1C76-0C88-4CBD-B472-826A3F90651F}"/>
    <hyperlink ref="E91" r:id="rId80" xr:uid="{90E0DC4B-8497-40FF-90C2-9F44031031FB}"/>
    <hyperlink ref="E92" r:id="rId81" xr:uid="{7B8A52F1-A73C-4B78-841D-7FF0FD35C7B3}"/>
    <hyperlink ref="E94" r:id="rId82" xr:uid="{F644E5AC-3165-418B-A38A-1BF7A2EE20EF}"/>
    <hyperlink ref="E95" r:id="rId83" xr:uid="{1EC8F8E7-7DB4-4DEB-948C-864AD142D95C}"/>
    <hyperlink ref="E96" r:id="rId84" xr:uid="{FDE00FCE-B90A-455A-8E9F-4DCA03278BD1}"/>
    <hyperlink ref="E97" r:id="rId85" xr:uid="{5410D865-863E-49C6-824B-78E553EE6B0C}"/>
    <hyperlink ref="E98" r:id="rId86" xr:uid="{DFFCD03B-0994-4C86-A2A7-43D6C3FF4359}"/>
    <hyperlink ref="E99" r:id="rId87" xr:uid="{322F9D67-D495-47CF-9673-01348A548934}"/>
    <hyperlink ref="E100" r:id="rId88" xr:uid="{4E94C2EE-6B90-4DBC-A947-D5620E13CCCA}"/>
    <hyperlink ref="E101" r:id="rId89" xr:uid="{908E20D4-B649-4154-A4FC-B8D26A202764}"/>
    <hyperlink ref="E102" r:id="rId90" xr:uid="{2A782149-2536-474B-876F-D6A6914B555C}"/>
    <hyperlink ref="E103" r:id="rId91" xr:uid="{B3D6BD3E-1B7E-48D3-8C5C-58383DD1A425}"/>
    <hyperlink ref="E104" r:id="rId92" xr:uid="{B630CEA2-D219-4E4B-9C51-37F6D39011E2}"/>
    <hyperlink ref="E105" r:id="rId93" xr:uid="{06C4B04C-0053-4F52-8F72-2C06DA730877}"/>
    <hyperlink ref="E106" r:id="rId94" xr:uid="{9185BF2A-EB62-4304-BE46-ECA6994F9435}"/>
    <hyperlink ref="E107" r:id="rId95" xr:uid="{0C041DAA-01BB-43FB-959F-77027E01C7A8}"/>
    <hyperlink ref="E108" r:id="rId96" xr:uid="{B84C172D-4923-4597-B8D5-391BB23338AF}"/>
    <hyperlink ref="E109" r:id="rId97" xr:uid="{8E487998-3585-4973-B236-A63D42FF2C12}"/>
    <hyperlink ref="E110" r:id="rId98" xr:uid="{417D8827-F27A-4DF2-8CDA-73BB2AB0BB3E}"/>
    <hyperlink ref="L111" r:id="rId99" xr:uid="{C89CC00F-36BE-485B-AC0A-043A12BAD67C}"/>
    <hyperlink ref="E111" r:id="rId100" xr:uid="{BBB2A315-A4C6-454B-9E46-8CA9369D534B}"/>
    <hyperlink ref="E112" r:id="rId101" xr:uid="{3354D0BF-1FB7-4D5C-AA4F-B28B5B93E312}"/>
    <hyperlink ref="E113" r:id="rId102" xr:uid="{87CB5089-779F-4F3D-9344-C7A1CAE750E1}"/>
    <hyperlink ref="E114" r:id="rId103" xr:uid="{9FA156B6-E36B-4F52-AAC9-D262AB939563}"/>
    <hyperlink ref="E115" r:id="rId104" xr:uid="{13AF93D0-DB68-41AA-9169-BD61E90B22E2}"/>
    <hyperlink ref="E116" r:id="rId105" xr:uid="{C118923E-ECAD-4A2E-9E5D-90DD4F07345E}"/>
    <hyperlink ref="E117" r:id="rId106" xr:uid="{B0296379-143E-4C57-827E-16451E844127}"/>
    <hyperlink ref="E118" r:id="rId107" xr:uid="{619F1BE4-D284-46DA-ABA4-30AF230B9117}"/>
    <hyperlink ref="E119" r:id="rId108" xr:uid="{86ADE935-6641-4799-8DD0-83E583203E1B}"/>
    <hyperlink ref="L119" r:id="rId109" xr:uid="{7AC2CC0B-D038-4722-B0F9-9F06C0A514E8}"/>
    <hyperlink ref="E120" r:id="rId110" xr:uid="{ED531947-8293-4C15-9D04-6292785E9680}"/>
    <hyperlink ref="E121" r:id="rId111" xr:uid="{A62748D8-4C12-40CC-B57F-7BF7B2714B89}"/>
    <hyperlink ref="E122" r:id="rId112" xr:uid="{34CF006F-1F0D-4DAF-809F-B7F1EB7526A6}"/>
    <hyperlink ref="E123" r:id="rId113" xr:uid="{4B967F82-3875-4854-9491-D5517BE1B422}"/>
    <hyperlink ref="E124" r:id="rId114" xr:uid="{17B1C966-5FED-4403-9B83-9BF770E399BD}"/>
    <hyperlink ref="E125" r:id="rId115" xr:uid="{E2773605-B611-4EC3-9CFB-BDDEE23CECB6}"/>
    <hyperlink ref="E126" r:id="rId116" xr:uid="{C7A1381F-1975-48CB-B0B3-EA6B89C97C38}"/>
    <hyperlink ref="E127" r:id="rId117" xr:uid="{292BB0D3-1DA7-4AFE-A8B9-A77CD83890F4}"/>
    <hyperlink ref="E128" r:id="rId118" xr:uid="{2A28D749-61D5-496E-84FA-72F4C5F75229}"/>
    <hyperlink ref="E129" r:id="rId119" xr:uid="{B8D72FB6-FA06-49EA-B8A4-8E5F13EE4AFD}"/>
    <hyperlink ref="E131" r:id="rId120" xr:uid="{8CD1F642-5B74-4BC4-BD33-C27605723A3E}"/>
    <hyperlink ref="E132" r:id="rId121" xr:uid="{1FCB3424-7AD4-48AD-A958-D0B5D24CF76A}"/>
    <hyperlink ref="E133" r:id="rId122" xr:uid="{62ED694A-4F07-46D4-BADD-28F0AEF1916D}"/>
    <hyperlink ref="E134" r:id="rId123" xr:uid="{9E50A9E2-6D70-423D-A5E5-129799D09BAF}"/>
    <hyperlink ref="E135" r:id="rId124" xr:uid="{8B959442-0485-4E49-9FA8-75EF2C62B924}"/>
    <hyperlink ref="E136" r:id="rId125" xr:uid="{85BB5BFC-1F26-4CBB-B2A3-AFBD01A655F5}"/>
    <hyperlink ref="E137" r:id="rId126" xr:uid="{17D69A08-66C4-4666-BB55-A295048B66A5}"/>
    <hyperlink ref="E138" r:id="rId127" xr:uid="{22B04370-4060-46C9-97A8-7F3A670F6762}"/>
    <hyperlink ref="E139" r:id="rId128" xr:uid="{B914A715-95D9-4392-8C29-AE50C83268FA}"/>
    <hyperlink ref="E140" r:id="rId129" xr:uid="{651387D5-9DAA-43BA-9A2C-27950B1D530E}"/>
    <hyperlink ref="E141" r:id="rId130" xr:uid="{2AF4275F-2529-4DD9-81BB-38ABC830EB0E}"/>
    <hyperlink ref="E142" r:id="rId131" xr:uid="{50DCEA6B-72F4-4126-8A27-F6E9CA1AE3D4}"/>
    <hyperlink ref="E144" r:id="rId132" xr:uid="{6339B141-77AA-4C51-A8CF-3D2E2CF50C6E}"/>
    <hyperlink ref="E145" r:id="rId133" xr:uid="{BDC809D8-40E3-40C8-ADDF-775A79BE1375}"/>
    <hyperlink ref="E146" r:id="rId134" xr:uid="{F1C4CE05-C712-46DD-B724-AE357183134F}"/>
    <hyperlink ref="E147" r:id="rId135" xr:uid="{3A8A7F70-30A2-44F4-9486-53A600A188B4}"/>
    <hyperlink ref="E149" r:id="rId136" xr:uid="{95C7DF5C-AF76-4C4C-B62F-6E7C66F1D4F0}"/>
    <hyperlink ref="E150" r:id="rId137" xr:uid="{6C0ACE99-89BA-4513-BC43-10BAFEEEEC09}"/>
    <hyperlink ref="E151" r:id="rId138" xr:uid="{46A8AD02-8C4D-4F5C-9E79-C31DE8195028}"/>
    <hyperlink ref="E152" r:id="rId139" xr:uid="{3BEB9E53-314C-47B7-8E31-C77D13A0B2D9}"/>
    <hyperlink ref="E153" r:id="rId140" xr:uid="{CA8391EE-530B-4406-8CF6-814FC0FDEBBB}"/>
    <hyperlink ref="E154" r:id="rId141" xr:uid="{9B36C60F-5BA2-4C86-973C-6B4ECDA971B3}"/>
    <hyperlink ref="E155" r:id="rId142" xr:uid="{269F79B2-82C5-49EE-8EB2-AE2BC54AB524}"/>
    <hyperlink ref="E156" r:id="rId143" xr:uid="{B24F5808-52CD-45CE-961C-511606034780}"/>
    <hyperlink ref="E157" r:id="rId144" xr:uid="{082FF38B-154F-41CA-8EA2-70D23EC5894B}"/>
    <hyperlink ref="E158" r:id="rId145" xr:uid="{6D0CF478-429A-48BB-99ED-AF3CC3D84384}"/>
    <hyperlink ref="E159" r:id="rId146" xr:uid="{BC9C4E84-DD7C-40B7-82B1-074EBF026BC3}"/>
    <hyperlink ref="E160" r:id="rId147" xr:uid="{7948338F-46AF-45F4-9BFD-DC5B83D22169}"/>
    <hyperlink ref="E161" r:id="rId148" xr:uid="{5D55CA68-E15B-4A56-95CF-3D149C040B86}"/>
    <hyperlink ref="E163" r:id="rId149" xr:uid="{09B29DE1-22ED-4126-BE89-3D587444D086}"/>
    <hyperlink ref="E164" r:id="rId150" xr:uid="{E44FDE45-C942-4B2D-ABD0-9A88CE671AA6}"/>
    <hyperlink ref="E260" r:id="rId151" xr:uid="{6523356D-2648-40B4-B6E9-354C099CB391}"/>
    <hyperlink ref="E313" r:id="rId152" xr:uid="{80C2B7AE-FEA2-4D87-94A1-EE8733218AF0}"/>
    <hyperlink ref="E193" r:id="rId153" xr:uid="{EEAD9978-92E3-44A5-A8C6-E61F9613AB7B}"/>
    <hyperlink ref="E279" r:id="rId154" xr:uid="{D81A7FE5-E4DB-4B62-820A-0399AA6FAD54}"/>
    <hyperlink ref="E312" r:id="rId155" xr:uid="{9747F4D8-80DD-4B82-BE83-B1CEACF4CE18}"/>
    <hyperlink ref="E206" r:id="rId156" xr:uid="{923CF026-4B1D-4B65-AF7E-6AAA828E3BDD}"/>
    <hyperlink ref="E275" r:id="rId157" xr:uid="{82195A15-F937-4DB9-BBCD-28C59F1EF337}"/>
    <hyperlink ref="E303" r:id="rId158" xr:uid="{D47A6627-7207-4EBF-92A4-9FCB7BA0408B}"/>
    <hyperlink ref="E310" r:id="rId159" xr:uid="{5A9DB8F0-CBFC-4842-BA96-EF96E5EA7D0C}"/>
    <hyperlink ref="E165" r:id="rId160" xr:uid="{260CCAA6-3E5D-4B20-9E20-EE4E5AEF3A95}"/>
    <hyperlink ref="E166" r:id="rId161" xr:uid="{EEF183DD-EAA6-497E-B054-375E742FE4B4}"/>
    <hyperlink ref="L166" r:id="rId162" xr:uid="{40A810FD-C8B0-4F54-8085-549DD28C615E}"/>
    <hyperlink ref="E167" r:id="rId163" xr:uid="{D9149CF6-F765-453F-8DEE-EDBAD97F9042}"/>
    <hyperlink ref="E168" r:id="rId164" xr:uid="{DF82FDE2-3327-40A7-B9DF-61D061DADF68}"/>
    <hyperlink ref="E169" r:id="rId165" xr:uid="{379E04A4-5FE2-4DF0-826D-D6A157A0A28B}"/>
    <hyperlink ref="E172" r:id="rId166" xr:uid="{BB5A7107-166E-45FF-AACE-20CA9F0009EA}"/>
    <hyperlink ref="E173" r:id="rId167" xr:uid="{16650C35-559D-4D9F-9781-D27677AD0609}"/>
    <hyperlink ref="E174" r:id="rId168" xr:uid="{72DE8829-C952-4146-B083-E9F0D8829213}"/>
    <hyperlink ref="E175" r:id="rId169" xr:uid="{28F199FC-1FEF-4FF1-BC56-FD667E2B3E2A}"/>
    <hyperlink ref="E176" r:id="rId170" xr:uid="{B7067293-D6C4-480B-A63E-88AB84840EBD}"/>
    <hyperlink ref="E177" r:id="rId171" xr:uid="{B4A1E19D-8F9A-4A00-8CB2-1793F9472AB5}"/>
    <hyperlink ref="E178" r:id="rId172" xr:uid="{F998A7E9-BEE5-4D54-BF84-387F322B3502}"/>
    <hyperlink ref="E179" r:id="rId173" xr:uid="{58382393-C78F-4211-85BC-7ACB0F3FAA2E}"/>
    <hyperlink ref="E180" r:id="rId174" xr:uid="{90926664-9E60-4F40-81A0-0903889573F4}"/>
    <hyperlink ref="L180" r:id="rId175" xr:uid="{9118FAA5-B1D1-4C61-BC34-591EB31D1CF2}"/>
    <hyperlink ref="E181" r:id="rId176" xr:uid="{42CE714F-325B-442A-AB1E-759CFD9E9CEE}"/>
    <hyperlink ref="E183" r:id="rId177" xr:uid="{3CBFFA73-24F9-4D68-95AA-F4AEDCB2F39F}"/>
    <hyperlink ref="E184" r:id="rId178" xr:uid="{371121DE-AAC3-42C2-A82F-E30C7506A87B}"/>
    <hyperlink ref="E186" r:id="rId179" xr:uid="{236E980A-EB9A-4889-BF8F-1D5B2F20CE3F}"/>
    <hyperlink ref="E188" r:id="rId180" xr:uid="{AB264AAE-BB3F-406C-BA61-51AB243C301D}"/>
    <hyperlink ref="E189" r:id="rId181" xr:uid="{46D9DFB7-D6CC-4A65-B181-5900E3B2F4CC}"/>
    <hyperlink ref="E190" r:id="rId182" xr:uid="{158E72AD-B0F7-45AA-968E-771F43372F79}"/>
    <hyperlink ref="E191" r:id="rId183" xr:uid="{194632CA-ECA2-4F29-91EC-6A689605BD63}"/>
    <hyperlink ref="E192" r:id="rId184" xr:uid="{956410F5-B851-4DF9-BCBD-6D101E8C505F}"/>
    <hyperlink ref="E194" r:id="rId185" xr:uid="{6F6F27EF-CC3E-464D-9CC0-DF2DC0F32B32}"/>
    <hyperlink ref="E195" r:id="rId186" xr:uid="{BB97F891-934B-44B5-8148-9698476FB444}"/>
    <hyperlink ref="E196" r:id="rId187" xr:uid="{79F6D8CC-B216-42F4-9847-01CF519D368C}"/>
    <hyperlink ref="E197" r:id="rId188" xr:uid="{1D29CD78-7403-466E-AFA9-35B1D58EC3DD}"/>
    <hyperlink ref="E198" r:id="rId189" xr:uid="{9966869C-9B00-4F72-992F-979A1F6F1055}"/>
    <hyperlink ref="E199" r:id="rId190" xr:uid="{B049BCE4-D475-4BDD-B100-F6996BDAD9AE}"/>
    <hyperlink ref="E200" r:id="rId191" xr:uid="{2AD3577F-2A33-494B-9229-EC9544011DDC}"/>
    <hyperlink ref="E201" r:id="rId192" xr:uid="{5CD9DF33-6D88-4CA2-B812-897886372063}"/>
    <hyperlink ref="E202" r:id="rId193" xr:uid="{9AD403B8-0DD1-4801-80B6-F5FC237A99C6}"/>
    <hyperlink ref="L202" r:id="rId194" xr:uid="{1029468E-460D-49B7-9380-E53BBBA04BFF}"/>
    <hyperlink ref="E203" r:id="rId195" xr:uid="{256C735C-009F-4AFE-94D0-21BE37B40315}"/>
    <hyperlink ref="E204" r:id="rId196" xr:uid="{54B5AEB4-F16F-461B-A5F5-1F5AE434E4DD}"/>
    <hyperlink ref="E205" r:id="rId197" xr:uid="{6C73EE52-AAA7-4BEF-B5FD-36814ACD9110}"/>
    <hyperlink ref="E207" r:id="rId198" xr:uid="{26B81943-6518-4D3C-AA5F-9BCB90274334}"/>
    <hyperlink ref="E208" r:id="rId199" xr:uid="{FC31B59D-0FF9-4355-8E27-563AD7A3868E}"/>
    <hyperlink ref="E209" r:id="rId200" xr:uid="{8617AB8D-A96B-41C3-968D-D57C024DA987}"/>
    <hyperlink ref="E210" r:id="rId201" xr:uid="{6961EA2E-505E-4EC7-AA9D-7DA8DDA79B98}"/>
    <hyperlink ref="E211" r:id="rId202" xr:uid="{EF77305A-F98C-4A79-97C5-5B689B0CC7F2}"/>
    <hyperlink ref="E212" r:id="rId203" xr:uid="{12BB07B4-A30A-480A-A69F-37092FEA0034}"/>
    <hyperlink ref="E213" r:id="rId204" xr:uid="{68CAEB9E-7F39-450E-AAE4-29556DE32CB1}"/>
    <hyperlink ref="E214" r:id="rId205" xr:uid="{96359DF4-2BE5-4D4A-A657-053B5B268C84}"/>
    <hyperlink ref="E215" r:id="rId206" xr:uid="{83371A31-2640-4937-8242-51E9340D280C}"/>
    <hyperlink ref="E216" r:id="rId207" xr:uid="{15510D2A-D7F3-4929-9133-BFF9A71F7A07}"/>
    <hyperlink ref="E217" r:id="rId208" xr:uid="{FF2BAD7C-DE50-45B2-85F7-A0B37245E160}"/>
    <hyperlink ref="E218" r:id="rId209" xr:uid="{A051C207-251C-40D8-8376-8E4944E4B8F1}"/>
    <hyperlink ref="E219" r:id="rId210" xr:uid="{3D434521-7828-48CA-8381-6CBC5C3502DE}"/>
    <hyperlink ref="E220" r:id="rId211" xr:uid="{83DD910C-7E05-49FB-8EB6-D81D6C015A89}"/>
    <hyperlink ref="E221" r:id="rId212" xr:uid="{9CAF4047-D080-4098-923D-72814D9C725E}"/>
    <hyperlink ref="E222" r:id="rId213" xr:uid="{53ADD093-5C58-4120-90D1-87906C302ADC}"/>
    <hyperlink ref="E223" r:id="rId214" xr:uid="{8E931182-1250-4C06-B599-E26B92619F04}"/>
    <hyperlink ref="E224" r:id="rId215" xr:uid="{146B05DF-95BE-4265-85B8-0343AACAB025}"/>
    <hyperlink ref="E225" r:id="rId216" xr:uid="{A5B8E50F-D7A1-4DE3-B957-B11C21A93A42}"/>
    <hyperlink ref="E226" r:id="rId217" xr:uid="{DF794B61-72F5-41FC-91E8-EF3FA3E42409}"/>
    <hyperlink ref="E227" r:id="rId218" xr:uid="{99BB9AB0-8B53-4AEF-AE88-014C0581B92C}"/>
    <hyperlink ref="E228" r:id="rId219" xr:uid="{6FD8DE1E-3B36-4101-94B2-680A4FDC9783}"/>
    <hyperlink ref="E229" r:id="rId220" xr:uid="{2535AC3B-4AA3-4DF3-83A7-B4805331722F}"/>
    <hyperlink ref="E230" r:id="rId221" xr:uid="{E3CC4C1F-2443-4407-A8E9-DF20C9BB74EA}"/>
    <hyperlink ref="E231" r:id="rId222" xr:uid="{1D29C8DF-6074-4C14-A8EC-AA67CFE090E8}"/>
    <hyperlink ref="E232" r:id="rId223" xr:uid="{3A5C235F-5C5E-4E06-80A1-3E3B991FFE4E}"/>
    <hyperlink ref="E233" r:id="rId224" xr:uid="{CC0EDAE1-8B3E-4148-98B5-A525C85FA460}"/>
    <hyperlink ref="E234" r:id="rId225" xr:uid="{5DB5606D-CB57-4E49-BB14-6DD3EBA1BD8D}"/>
    <hyperlink ref="E235" r:id="rId226" xr:uid="{47E5F199-72E1-4A97-8D63-86AFAE15B6B0}"/>
    <hyperlink ref="E236" r:id="rId227" xr:uid="{FD4054AF-CF72-4F84-9AAC-4C070DF1CF9D}"/>
    <hyperlink ref="E237" r:id="rId228" xr:uid="{83CA1B80-0C8E-4039-8FF4-EDBD4224920C}"/>
    <hyperlink ref="E238" r:id="rId229" xr:uid="{05BA5693-A951-46B3-8282-D86DA63CDF00}"/>
    <hyperlink ref="E239" r:id="rId230" xr:uid="{B51EE35C-A85A-4FA3-A115-E1A991981B25}"/>
    <hyperlink ref="E240" r:id="rId231" xr:uid="{E05BC78D-9A0A-4847-BF30-2641576EF95C}"/>
    <hyperlink ref="E241" r:id="rId232" xr:uid="{CB627D32-6844-4637-9953-B3A8727C1DAE}"/>
    <hyperlink ref="E242" r:id="rId233" xr:uid="{FAF36CF9-89EC-44ED-A165-6FBEF6D1591B}"/>
    <hyperlink ref="E243" r:id="rId234" xr:uid="{61F9EF9D-5700-4E53-A236-7D7121A38F8C}"/>
    <hyperlink ref="E244" r:id="rId235" xr:uid="{C3360B68-8570-4E1C-B45F-952011E8C0F4}"/>
    <hyperlink ref="E245" r:id="rId236" xr:uid="{4E3E2720-A8D2-4938-9028-D13BF3FBE38A}"/>
    <hyperlink ref="E246" r:id="rId237" xr:uid="{0B843679-5866-4F70-941C-7E628083FE0F}"/>
    <hyperlink ref="E247" r:id="rId238" xr:uid="{E33CF962-E218-47BC-8ABF-9825D3888E37}"/>
    <hyperlink ref="E248" r:id="rId239" xr:uid="{E1BD5EB9-5A81-4586-B4B4-E03FD72F339F}"/>
    <hyperlink ref="E249" r:id="rId240" xr:uid="{D3295E72-C5F9-4DE5-89D9-B9D76229174F}"/>
    <hyperlink ref="E250" r:id="rId241" xr:uid="{1AAC0757-6CC7-476A-8284-DDE205AC600F}"/>
    <hyperlink ref="E252" r:id="rId242" xr:uid="{1B1F09C8-F96B-43A8-9E2E-8393382E2F39}"/>
    <hyperlink ref="E253" r:id="rId243" xr:uid="{AE84C9D5-4A94-4D2D-92ED-A88B441F9C1D}"/>
    <hyperlink ref="E254" r:id="rId244" xr:uid="{DCFC5A01-5354-45A5-AD5B-F5BD772250F0}"/>
    <hyperlink ref="E255" r:id="rId245" xr:uid="{D2EB64D6-1FE5-422D-AA76-30A149850930}"/>
    <hyperlink ref="E256" r:id="rId246" xr:uid="{51F95C72-A1BF-4D48-9F80-16A2F2056706}"/>
    <hyperlink ref="E257" r:id="rId247" xr:uid="{C1DBD6DD-2622-4AA8-A1F1-39EAE1DF2588}"/>
    <hyperlink ref="E258" r:id="rId248" xr:uid="{11E35F9C-CE15-4D35-8973-6E1D8E842764}"/>
    <hyperlink ref="E259" r:id="rId249" xr:uid="{217BE74B-7CCE-444F-BADC-E1AF012C1621}"/>
    <hyperlink ref="E263" r:id="rId250" xr:uid="{0EA89CA1-8D2A-4C5B-A094-B34085A7EEBF}"/>
    <hyperlink ref="E264" r:id="rId251" xr:uid="{E0A6B3C4-40F4-4B70-AE71-354A420096D4}"/>
    <hyperlink ref="E265" r:id="rId252" xr:uid="{9E9C4D5D-2DFB-4F1F-A5A9-4282D7AB7DB4}"/>
    <hyperlink ref="E266" r:id="rId253" xr:uid="{4415C2AC-88D3-42A7-B1AA-8AE361980432}"/>
    <hyperlink ref="E267" r:id="rId254" xr:uid="{FEA5DBFE-CAFD-43AA-97D0-916E172EB7B4}"/>
    <hyperlink ref="E268" r:id="rId255" xr:uid="{F8094B2E-7CF1-43D9-BE71-40A48155CA4C}"/>
    <hyperlink ref="E269" r:id="rId256" xr:uid="{2032B125-9BE4-44C8-88A4-6969B9916796}"/>
    <hyperlink ref="E270" r:id="rId257" xr:uid="{EC3904C2-30EB-41F6-A5F5-C8A9DC3057A2}"/>
    <hyperlink ref="E271" r:id="rId258" xr:uid="{A40F9C39-F08C-4A5F-976C-B589A7CFC9DD}"/>
    <hyperlink ref="E272" r:id="rId259" xr:uid="{92CE66B6-3BD9-4677-A66E-5EA68CF47A2E}"/>
    <hyperlink ref="E273" r:id="rId260" xr:uid="{34C2A6CE-3798-4F56-8136-C84018707E39}"/>
    <hyperlink ref="E274" r:id="rId261" xr:uid="{C338B429-272D-4CED-8B06-48F34C8F6674}"/>
    <hyperlink ref="E276" r:id="rId262" xr:uid="{B4CBBBD2-75A5-4802-BC29-15202FD56604}"/>
    <hyperlink ref="E277" r:id="rId263" xr:uid="{5349FD08-4799-49DD-A2F8-05EA47610E75}"/>
    <hyperlink ref="E278" r:id="rId264" xr:uid="{D1D41CBD-5F91-4850-9E27-2837EFAB673C}"/>
    <hyperlink ref="E280" r:id="rId265" xr:uid="{41786AEF-ACFF-4E8C-99E7-EE11C2B36BCC}"/>
    <hyperlink ref="E281" r:id="rId266" xr:uid="{49316B53-13F5-4E87-A86F-B1C1221AB5E4}"/>
    <hyperlink ref="E282" r:id="rId267" xr:uid="{0E8800EC-882C-44AC-BD14-72205DCDB317}"/>
    <hyperlink ref="E283" r:id="rId268" xr:uid="{037A2985-A6A5-4F27-8553-F6DF3AC3CAB0}"/>
    <hyperlink ref="E287" r:id="rId269" xr:uid="{1988FEBB-D827-4939-9F93-4F4078F29ABD}"/>
    <hyperlink ref="E288" r:id="rId270" xr:uid="{3FDDAE74-0481-4D6B-9787-910706275941}"/>
    <hyperlink ref="E289" r:id="rId271" xr:uid="{36191559-91E7-40CF-BBA6-5439F198FFEC}"/>
    <hyperlink ref="E290" r:id="rId272" xr:uid="{8262DCFC-DD48-407A-B71C-1EEA4F64CE9A}"/>
    <hyperlink ref="E291" r:id="rId273" xr:uid="{111F4676-596C-4FD6-8A5C-4C7929C5F434}"/>
    <hyperlink ref="E292" r:id="rId274" xr:uid="{9FE20474-6DEC-4F7A-BB4F-7C02E50CFD0C}"/>
    <hyperlink ref="E293" r:id="rId275" xr:uid="{89DE5D06-4F8A-4A16-A789-9C0AD3ED9349}"/>
    <hyperlink ref="E294" r:id="rId276" xr:uid="{72035A3B-3E72-4174-8C81-5448C3D74ED4}"/>
    <hyperlink ref="E295" r:id="rId277" xr:uid="{701D55B2-5E66-496C-AA12-A831F5895DC2}"/>
    <hyperlink ref="E296" r:id="rId278" xr:uid="{D1DD4025-C30A-41FF-9972-00137E60D2CE}"/>
    <hyperlink ref="E297" r:id="rId279" xr:uid="{59088E6C-480A-47D3-BD74-B338AB60CCAE}"/>
    <hyperlink ref="E298" r:id="rId280" xr:uid="{0BAEB151-7D0C-47F8-9570-49F491563EEE}"/>
    <hyperlink ref="E299" r:id="rId281" xr:uid="{6F36CB63-2CCB-41D6-9EBB-14E145ADE0D7}"/>
    <hyperlink ref="E300" r:id="rId282" xr:uid="{CA8D3D20-A74F-4312-9432-9E9770193CAA}"/>
    <hyperlink ref="E301" r:id="rId283" xr:uid="{5B3D1B1F-84D0-4BCA-9012-8E0A3CEDC13C}"/>
    <hyperlink ref="E302" r:id="rId284" xr:uid="{73C22F48-7659-4EE2-A5A4-8C00ED091365}"/>
    <hyperlink ref="E304" r:id="rId285" xr:uid="{D88EA7D0-D053-452E-A757-240987D18918}"/>
    <hyperlink ref="E306" r:id="rId286" xr:uid="{C4F3DB0D-9DD0-40DD-B2F8-AB9789960D96}"/>
    <hyperlink ref="E307" r:id="rId287" xr:uid="{3DFEC366-B3CB-45F4-BBC1-0ABE41A826B5}"/>
    <hyperlink ref="E308" r:id="rId288" xr:uid="{E523C9CC-2246-48BE-8469-8A84425B68F8}"/>
    <hyperlink ref="E309" r:id="rId289" xr:uid="{F1D446B1-EE33-4ECC-AD3B-51534172CFBA}"/>
    <hyperlink ref="E311" r:id="rId290" xr:uid="{FF20E894-4457-4325-AA0D-8CF8B0EB5674}"/>
    <hyperlink ref="E314" r:id="rId291" xr:uid="{96D264F0-84BA-4A2B-883B-44AF0C8BA58E}"/>
    <hyperlink ref="E316" r:id="rId292" xr:uid="{F9DEEA3C-25B8-4DE7-AEC2-6A60B1D42B25}"/>
    <hyperlink ref="E317" r:id="rId293" xr:uid="{095DDCBE-95E3-4D83-A8CC-1207B39AA580}"/>
    <hyperlink ref="E318" r:id="rId294" xr:uid="{8C2D8DAA-A9C5-4CB7-85E5-4101E8FFE88B}"/>
    <hyperlink ref="E319" r:id="rId295" xr:uid="{112599CA-1692-4F4D-91C7-70EA205072E4}"/>
    <hyperlink ref="E320" r:id="rId296" xr:uid="{168C67B5-771A-4828-8569-D6EB3F69E2C9}"/>
    <hyperlink ref="E321" r:id="rId297" xr:uid="{0B7A3CDA-586F-4B89-8AB8-F4A581BC7033}"/>
    <hyperlink ref="E322" r:id="rId298" xr:uid="{32FABF08-A648-447F-89E4-2D04377E1D62}"/>
    <hyperlink ref="E323" r:id="rId299" xr:uid="{ED786971-0F2F-4586-90D2-5DC23134D3EF}"/>
    <hyperlink ref="E324" r:id="rId300" xr:uid="{418B0221-DB5B-49C9-BF3B-86F971C15361}"/>
    <hyperlink ref="E325" r:id="rId301" xr:uid="{60344BBD-F357-4C8D-B824-BBAAE1C7840C}"/>
    <hyperlink ref="E326" r:id="rId302" xr:uid="{8045C4B2-5F67-4734-A74D-3D21B747F64A}"/>
    <hyperlink ref="E327" r:id="rId303" xr:uid="{DFC84F37-EE92-4692-AB33-B6B2C9FE6D98}"/>
    <hyperlink ref="E328" r:id="rId304" xr:uid="{CB5F364F-323F-463C-9472-A8049963433F}"/>
    <hyperlink ref="E329" r:id="rId305" xr:uid="{CFB6FF85-CF87-4E72-914A-81EB29259FAB}"/>
    <hyperlink ref="E330" r:id="rId306" xr:uid="{586C65ED-D29B-4267-90B7-3B073098D90D}"/>
    <hyperlink ref="E331" r:id="rId307" xr:uid="{539D1B7B-5D7C-42D7-9CA6-9DCF3A5C4EAD}"/>
    <hyperlink ref="E332" r:id="rId308" xr:uid="{67856941-8A71-4349-B41F-AE9ED29401E5}"/>
    <hyperlink ref="E333" r:id="rId309" xr:uid="{BC155DB4-8DDB-41E6-8A29-035C1178A214}"/>
    <hyperlink ref="E334" r:id="rId310" xr:uid="{EC50FFDA-90E8-4C81-8759-D39EC320BB39}"/>
    <hyperlink ref="E335" r:id="rId311" xr:uid="{092B2096-C82D-4A0C-8E54-FAE974368B86}"/>
    <hyperlink ref="E336" r:id="rId312" xr:uid="{E904F1A1-0B5B-4F25-9E17-07CB947DC612}"/>
    <hyperlink ref="E337" r:id="rId313" xr:uid="{2C60AA88-DAEF-4DF7-864F-F3E7E9581874}"/>
    <hyperlink ref="E338" r:id="rId314" xr:uid="{0AAD2D35-1F55-4217-8BEC-C5593D47511C}"/>
    <hyperlink ref="E339" r:id="rId315" xr:uid="{AA608217-1FD7-48F5-9ED8-33D9E73206B3}"/>
    <hyperlink ref="E340" r:id="rId316" xr:uid="{3CB8DA73-2238-41CF-A3D9-C58BD1B11BB9}"/>
    <hyperlink ref="E341" r:id="rId317" xr:uid="{2BD2AD22-04D4-4100-8A64-755CEA3FD5EC}"/>
    <hyperlink ref="E342" r:id="rId318" xr:uid="{764F5F86-C605-4132-B104-DF42F17764FB}"/>
    <hyperlink ref="E343" r:id="rId319" xr:uid="{D4BE02A7-5E62-4C0C-AD6A-30D1C3159298}"/>
    <hyperlink ref="E345" r:id="rId320" xr:uid="{653A2EFF-32D1-4D84-B218-BF6386D9B490}"/>
  </hyperlinks>
  <pageMargins left="0.7" right="0.7" top="0.75" bottom="0.75" header="0.3" footer="0.3"/>
  <pageSetup paperSize="9" orientation="portrait" r:id="rId32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vt:i4>
      </vt:variant>
    </vt:vector>
  </HeadingPairs>
  <TitlesOfParts>
    <vt:vector size="1" baseType="lpstr">
      <vt:lpstr>Foglio1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Luisa TRONCONE</dc:creator>
  <cp:lastModifiedBy>Giovanni DI PAOLA</cp:lastModifiedBy>
  <dcterms:created xsi:type="dcterms:W3CDTF">2025-03-28T16:58:43Z</dcterms:created>
  <dcterms:modified xsi:type="dcterms:W3CDTF">2025-05-02T16:14:36Z</dcterms:modified>
</cp:coreProperties>
</file>