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richPivotRecords1.xml" ContentType="application/vnd.openxmlformats-officedocument.spreadsheetml.richPivot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fpisc\Downloads\drive-download-20260422T180420Z-3-001\data\xlsm\"/>
    </mc:Choice>
  </mc:AlternateContent>
  <xr:revisionPtr revIDLastSave="0" documentId="13_ncr:1_{C4236ACA-DBCD-4392-A1F5-5AEA3195B2EA}" xr6:coauthVersionLast="47" xr6:coauthVersionMax="47" xr10:uidLastSave="{00000000-0000-0000-0000-000000000000}"/>
  <bookViews>
    <workbookView xWindow="-108" yWindow="-108" windowWidth="23256" windowHeight="12456" xr2:uid="{29CEB88F-AC1C-6B4B-96CA-FDA1103A0668}"/>
  </bookViews>
  <sheets>
    <sheet name="Annotazione" sheetId="1" r:id="rId1"/>
    <sheet name="Conteggio Macro e Microfunzioni" sheetId="3" r:id="rId2"/>
    <sheet name="domande_legenda" sheetId="2" r:id="rId3"/>
  </sheets>
  <definedNames>
    <definedName name="_xlnm._FilterDatabase" localSheetId="0" hidden="1">Annotazione!$AM$3:$AM$802</definedName>
  </definedNames>
  <calcPr calcId="191028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4" i="1" l="1" a="1"/>
  <c r="BH4" i="1" s="1"/>
  <c r="BH5" i="1" a="1"/>
  <c r="BH5" i="1" s="1"/>
  <c r="BH6" i="1" a="1"/>
  <c r="BH6" i="1"/>
  <c r="BH7" i="1" a="1"/>
  <c r="BH7" i="1" s="1"/>
  <c r="BH8" i="1" a="1"/>
  <c r="BH8" i="1" s="1"/>
  <c r="BH9" i="1" a="1"/>
  <c r="BH9" i="1" s="1"/>
  <c r="BH10" i="1" a="1"/>
  <c r="BH10" i="1" s="1"/>
  <c r="BH11" i="1" a="1"/>
  <c r="BH11" i="1" s="1"/>
  <c r="BH12" i="1" a="1"/>
  <c r="BH12" i="1" s="1"/>
  <c r="BH13" i="1" a="1"/>
  <c r="BH13" i="1" s="1"/>
  <c r="BH14" i="1" a="1"/>
  <c r="BH14" i="1" s="1"/>
  <c r="BH15" i="1" a="1"/>
  <c r="BH15" i="1" s="1"/>
  <c r="BH16" i="1" a="1"/>
  <c r="BH16" i="1" s="1"/>
  <c r="BH17" i="1" a="1"/>
  <c r="BH17" i="1" s="1"/>
  <c r="BH18" i="1" a="1"/>
  <c r="BH18" i="1" s="1"/>
  <c r="BH19" i="1" a="1"/>
  <c r="BH19" i="1" s="1"/>
  <c r="BH20" i="1" a="1"/>
  <c r="BH20" i="1" s="1"/>
  <c r="BH21" i="1" a="1"/>
  <c r="BH21" i="1" s="1"/>
  <c r="BH22" i="1" a="1"/>
  <c r="BH22" i="1" s="1"/>
  <c r="BH23" i="1" a="1"/>
  <c r="BH23" i="1" s="1"/>
  <c r="BH24" i="1" a="1"/>
  <c r="BH24" i="1" s="1"/>
  <c r="BH25" i="1" a="1"/>
  <c r="BH25" i="1" s="1"/>
  <c r="BH26" i="1" a="1"/>
  <c r="BH26" i="1" s="1"/>
  <c r="BH27" i="1" a="1"/>
  <c r="BH27" i="1" s="1"/>
  <c r="BH28" i="1" a="1"/>
  <c r="BH28" i="1" s="1"/>
  <c r="BH29" i="1" a="1"/>
  <c r="BH29" i="1" s="1"/>
  <c r="BH30" i="1" a="1"/>
  <c r="BH30" i="1"/>
  <c r="BH31" i="1" a="1"/>
  <c r="BH31" i="1" s="1"/>
  <c r="BH32" i="1" a="1"/>
  <c r="BH32" i="1" s="1"/>
  <c r="BH33" i="1" a="1"/>
  <c r="BH33" i="1" s="1"/>
  <c r="BH34" i="1" a="1"/>
  <c r="BH34" i="1" s="1"/>
  <c r="BH35" i="1" a="1"/>
  <c r="BH35" i="1" s="1"/>
  <c r="BH36" i="1" a="1"/>
  <c r="BH36" i="1" s="1"/>
  <c r="BH37" i="1" a="1"/>
  <c r="BH37" i="1" s="1"/>
  <c r="BH38" i="1" a="1"/>
  <c r="BH38" i="1" s="1"/>
  <c r="BH39" i="1" a="1"/>
  <c r="BH39" i="1" s="1"/>
  <c r="BH40" i="1" a="1"/>
  <c r="BH40" i="1" s="1"/>
  <c r="BH41" i="1" a="1"/>
  <c r="BH41" i="1" s="1"/>
  <c r="BH42" i="1" a="1"/>
  <c r="BH42" i="1" s="1"/>
  <c r="BH43" i="1" a="1"/>
  <c r="BH43" i="1" s="1"/>
  <c r="BH44" i="1" a="1"/>
  <c r="BH44" i="1" s="1"/>
  <c r="BH45" i="1" a="1"/>
  <c r="BH45" i="1" s="1"/>
  <c r="BH46" i="1" a="1"/>
  <c r="BH46" i="1" s="1"/>
  <c r="BH47" i="1" a="1"/>
  <c r="BH47" i="1" s="1"/>
  <c r="BH48" i="1" a="1"/>
  <c r="BH48" i="1" s="1"/>
  <c r="BH49" i="1" a="1"/>
  <c r="BH49" i="1" s="1"/>
  <c r="BH50" i="1" a="1"/>
  <c r="BH50" i="1" s="1"/>
  <c r="BH51" i="1" a="1"/>
  <c r="BH51" i="1" s="1"/>
  <c r="BH52" i="1" a="1"/>
  <c r="BH52" i="1" s="1"/>
  <c r="BH53" i="1" a="1"/>
  <c r="BH53" i="1" s="1"/>
  <c r="BH54" i="1" a="1"/>
  <c r="BH54" i="1"/>
  <c r="BH55" i="1" a="1"/>
  <c r="BH55" i="1" s="1"/>
  <c r="BH56" i="1" a="1"/>
  <c r="BH56" i="1" s="1"/>
  <c r="BH57" i="1" a="1"/>
  <c r="BH57" i="1" s="1"/>
  <c r="BH58" i="1" a="1"/>
  <c r="BH58" i="1" s="1"/>
  <c r="BH59" i="1" a="1"/>
  <c r="BH59" i="1" s="1"/>
  <c r="BH60" i="1" a="1"/>
  <c r="BH60" i="1" s="1"/>
  <c r="BH61" i="1" a="1"/>
  <c r="BH61" i="1" s="1"/>
  <c r="BH62" i="1" a="1"/>
  <c r="BH62" i="1" s="1"/>
  <c r="BH63" i="1" a="1"/>
  <c r="BH63" i="1" s="1"/>
  <c r="BH64" i="1" a="1"/>
  <c r="BH64" i="1" s="1"/>
  <c r="BH65" i="1" a="1"/>
  <c r="BH65" i="1" s="1"/>
  <c r="BH66" i="1" a="1"/>
  <c r="BH66" i="1" s="1"/>
  <c r="BH67" i="1" a="1"/>
  <c r="BH67" i="1" s="1"/>
  <c r="BH68" i="1" a="1"/>
  <c r="BH68" i="1" s="1"/>
  <c r="BH69" i="1" a="1"/>
  <c r="BH69" i="1" s="1"/>
  <c r="BH70" i="1" a="1"/>
  <c r="BH70" i="1" s="1"/>
  <c r="BH71" i="1" a="1"/>
  <c r="BH71" i="1" s="1"/>
  <c r="BH72" i="1" a="1"/>
  <c r="BH72" i="1" s="1"/>
  <c r="BH73" i="1" a="1"/>
  <c r="BH73" i="1" s="1"/>
  <c r="BH74" i="1" a="1"/>
  <c r="BH74" i="1" s="1"/>
  <c r="BH75" i="1" a="1"/>
  <c r="BH75" i="1" s="1"/>
  <c r="BH76" i="1" a="1"/>
  <c r="BH76" i="1" s="1"/>
  <c r="BH77" i="1" a="1"/>
  <c r="BH77" i="1" s="1"/>
  <c r="BH78" i="1" a="1"/>
  <c r="BH78" i="1" s="1"/>
  <c r="BH79" i="1" a="1"/>
  <c r="BH79" i="1" s="1"/>
  <c r="BH80" i="1" a="1"/>
  <c r="BH80" i="1" s="1"/>
  <c r="BH81" i="1" a="1"/>
  <c r="BH81" i="1" s="1"/>
  <c r="BH82" i="1" a="1"/>
  <c r="BH82" i="1" s="1"/>
  <c r="BH83" i="1" a="1"/>
  <c r="BH83" i="1" s="1"/>
  <c r="BH84" i="1" a="1"/>
  <c r="BH84" i="1" s="1"/>
  <c r="BH85" i="1" a="1"/>
  <c r="BH85" i="1" s="1"/>
  <c r="BH86" i="1" a="1"/>
  <c r="BH86" i="1"/>
  <c r="BH87" i="1" a="1"/>
  <c r="BH87" i="1" s="1"/>
  <c r="BH88" i="1" a="1"/>
  <c r="BH88" i="1" s="1"/>
  <c r="BH89" i="1" a="1"/>
  <c r="BH89" i="1" s="1"/>
  <c r="BH90" i="1" a="1"/>
  <c r="BH90" i="1" s="1"/>
  <c r="BH91" i="1" a="1"/>
  <c r="BH91" i="1" s="1"/>
  <c r="BH92" i="1" a="1"/>
  <c r="BH92" i="1" s="1"/>
  <c r="BH93" i="1" a="1"/>
  <c r="BH93" i="1" s="1"/>
  <c r="BH94" i="1" a="1"/>
  <c r="BH94" i="1"/>
  <c r="BH95" i="1" a="1"/>
  <c r="BH95" i="1" s="1"/>
  <c r="BH96" i="1" a="1"/>
  <c r="BH96" i="1" s="1"/>
  <c r="BH97" i="1" a="1"/>
  <c r="BH97" i="1" s="1"/>
  <c r="BH98" i="1" a="1"/>
  <c r="BH98" i="1" s="1"/>
  <c r="BH99" i="1" a="1"/>
  <c r="BH99" i="1" s="1"/>
  <c r="BH100" i="1" a="1"/>
  <c r="BH100" i="1" s="1"/>
  <c r="BH101" i="1" a="1"/>
  <c r="BH101" i="1" s="1"/>
  <c r="BH102" i="1" a="1"/>
  <c r="BH102" i="1" s="1"/>
  <c r="BH103" i="1" a="1"/>
  <c r="BH103" i="1" s="1"/>
  <c r="BH104" i="1" a="1"/>
  <c r="BH104" i="1" s="1"/>
  <c r="BH105" i="1" a="1"/>
  <c r="BH105" i="1" s="1"/>
  <c r="BH106" i="1" a="1"/>
  <c r="BH106" i="1" s="1"/>
  <c r="BH107" i="1" a="1"/>
  <c r="BH107" i="1" s="1"/>
  <c r="BH108" i="1" a="1"/>
  <c r="BH108" i="1" s="1"/>
  <c r="BH109" i="1" a="1"/>
  <c r="BH109" i="1" s="1"/>
  <c r="BH110" i="1" a="1"/>
  <c r="BH110" i="1" s="1"/>
  <c r="BH111" i="1" a="1"/>
  <c r="BH111" i="1" s="1"/>
  <c r="BH112" i="1" a="1"/>
  <c r="BH112" i="1" s="1"/>
  <c r="BH113" i="1" a="1"/>
  <c r="BH113" i="1" s="1"/>
  <c r="BH114" i="1" a="1"/>
  <c r="BH114" i="1" s="1"/>
  <c r="BH115" i="1" a="1"/>
  <c r="BH115" i="1" s="1"/>
  <c r="BH116" i="1" a="1"/>
  <c r="BH116" i="1" s="1"/>
  <c r="BH117" i="1" a="1"/>
  <c r="BH117" i="1" s="1"/>
  <c r="BH118" i="1" a="1"/>
  <c r="BH118" i="1" s="1"/>
  <c r="BH119" i="1" a="1"/>
  <c r="BH119" i="1" s="1"/>
  <c r="BH120" i="1" a="1"/>
  <c r="BH120" i="1" s="1"/>
  <c r="BH121" i="1" a="1"/>
  <c r="BH121" i="1" s="1"/>
  <c r="BH122" i="1" a="1"/>
  <c r="BH122" i="1" s="1"/>
  <c r="BH123" i="1" a="1"/>
  <c r="BH123" i="1" s="1"/>
  <c r="BH124" i="1" a="1"/>
  <c r="BH124" i="1" s="1"/>
  <c r="BH125" i="1" a="1"/>
  <c r="BH125" i="1" s="1"/>
  <c r="BH126" i="1" a="1"/>
  <c r="BH126" i="1" s="1"/>
  <c r="BH127" i="1" a="1"/>
  <c r="BH127" i="1" s="1"/>
  <c r="BH128" i="1" a="1"/>
  <c r="BH128" i="1" s="1"/>
  <c r="BH129" i="1" a="1"/>
  <c r="BH129" i="1" s="1"/>
  <c r="BH130" i="1" a="1"/>
  <c r="BH130" i="1" s="1"/>
  <c r="BH131" i="1" a="1"/>
  <c r="BH131" i="1" s="1"/>
  <c r="BH132" i="1" a="1"/>
  <c r="BH132" i="1" s="1"/>
  <c r="BH133" i="1" a="1"/>
  <c r="BH133" i="1" s="1"/>
  <c r="BH134" i="1" a="1"/>
  <c r="BH134" i="1"/>
  <c r="BH135" i="1" a="1"/>
  <c r="BH135" i="1" s="1"/>
  <c r="BH136" i="1" a="1"/>
  <c r="BH136" i="1" s="1"/>
  <c r="BH137" i="1" a="1"/>
  <c r="BH137" i="1" s="1"/>
  <c r="BH138" i="1" a="1"/>
  <c r="BH138" i="1" s="1"/>
  <c r="BH139" i="1" a="1"/>
  <c r="BH139" i="1" s="1"/>
  <c r="BH140" i="1" a="1"/>
  <c r="BH140" i="1" s="1"/>
  <c r="BH141" i="1" a="1"/>
  <c r="BH141" i="1" s="1"/>
  <c r="BH142" i="1" a="1"/>
  <c r="BH142" i="1" s="1"/>
  <c r="BH143" i="1" a="1"/>
  <c r="BH143" i="1" s="1"/>
  <c r="BH144" i="1" a="1"/>
  <c r="BH144" i="1" s="1"/>
  <c r="BH145" i="1" a="1"/>
  <c r="BH145" i="1" s="1"/>
  <c r="BH146" i="1" a="1"/>
  <c r="BH146" i="1" s="1"/>
  <c r="BH147" i="1" a="1"/>
  <c r="BH147" i="1" s="1"/>
  <c r="BH148" i="1" a="1"/>
  <c r="BH148" i="1" s="1"/>
  <c r="BH149" i="1" a="1"/>
  <c r="BH149" i="1" s="1"/>
  <c r="BH150" i="1" a="1"/>
  <c r="BH150" i="1" s="1"/>
  <c r="BH151" i="1" a="1"/>
  <c r="BH151" i="1" s="1"/>
  <c r="BH152" i="1" a="1"/>
  <c r="BH152" i="1" s="1"/>
  <c r="BH153" i="1" a="1"/>
  <c r="BH153" i="1" s="1"/>
  <c r="BH154" i="1" a="1"/>
  <c r="BH154" i="1" s="1"/>
  <c r="BH155" i="1" a="1"/>
  <c r="BH155" i="1" s="1"/>
  <c r="BH156" i="1" a="1"/>
  <c r="BH156" i="1" s="1"/>
  <c r="BH157" i="1" a="1"/>
  <c r="BH157" i="1" s="1"/>
  <c r="BH158" i="1" a="1"/>
  <c r="BH158" i="1"/>
  <c r="BH159" i="1" a="1"/>
  <c r="BH159" i="1" s="1"/>
  <c r="BH160" i="1" a="1"/>
  <c r="BH160" i="1" s="1"/>
  <c r="BH161" i="1" a="1"/>
  <c r="BH161" i="1" s="1"/>
  <c r="BH162" i="1" a="1"/>
  <c r="BH162" i="1" s="1"/>
  <c r="BH163" i="1" a="1"/>
  <c r="BH163" i="1" s="1"/>
  <c r="BH164" i="1" a="1"/>
  <c r="BH164" i="1" s="1"/>
  <c r="BH165" i="1" a="1"/>
  <c r="BH165" i="1" s="1"/>
  <c r="BH166" i="1" a="1"/>
  <c r="BH166" i="1" s="1"/>
  <c r="BH167" i="1" a="1"/>
  <c r="BH167" i="1" s="1"/>
  <c r="BH168" i="1" a="1"/>
  <c r="BH168" i="1" s="1"/>
  <c r="BH169" i="1" a="1"/>
  <c r="BH169" i="1" s="1"/>
  <c r="BH170" i="1" a="1"/>
  <c r="BH170" i="1" s="1"/>
  <c r="BH171" i="1" a="1"/>
  <c r="BH171" i="1" s="1"/>
  <c r="BH172" i="1" a="1"/>
  <c r="BH172" i="1" s="1"/>
  <c r="BH173" i="1" a="1"/>
  <c r="BH173" i="1" s="1"/>
  <c r="BH174" i="1" a="1"/>
  <c r="BH174" i="1" s="1"/>
  <c r="BH175" i="1" a="1"/>
  <c r="BH175" i="1" s="1"/>
  <c r="BH176" i="1" a="1"/>
  <c r="BH176" i="1" s="1"/>
  <c r="BH177" i="1" a="1"/>
  <c r="BH177" i="1"/>
  <c r="BH178" i="1" a="1"/>
  <c r="BH178" i="1" s="1"/>
  <c r="BH179" i="1" a="1"/>
  <c r="BH179" i="1" s="1"/>
  <c r="BH180" i="1" a="1"/>
  <c r="BH180" i="1" s="1"/>
  <c r="BH181" i="1" a="1"/>
  <c r="BH181" i="1" s="1"/>
  <c r="BH182" i="1" a="1"/>
  <c r="BH182" i="1" s="1"/>
  <c r="BH183" i="1" a="1"/>
  <c r="BH183" i="1" s="1"/>
  <c r="BH184" i="1" a="1"/>
  <c r="BH184" i="1" s="1"/>
  <c r="BH185" i="1" a="1"/>
  <c r="BH185" i="1"/>
  <c r="BH186" i="1" a="1"/>
  <c r="BH186" i="1" s="1"/>
  <c r="BH187" i="1" a="1"/>
  <c r="BH187" i="1" s="1"/>
  <c r="BH188" i="1" a="1"/>
  <c r="BH188" i="1" s="1"/>
  <c r="BH189" i="1" a="1"/>
  <c r="BH189" i="1" s="1"/>
  <c r="BH190" i="1" a="1"/>
  <c r="BH190" i="1" s="1"/>
  <c r="BH191" i="1" a="1"/>
  <c r="BH191" i="1" s="1"/>
  <c r="BH192" i="1" a="1"/>
  <c r="BH192" i="1" s="1"/>
  <c r="BH193" i="1" a="1"/>
  <c r="BH193" i="1"/>
  <c r="BH194" i="1" a="1"/>
  <c r="BH194" i="1" s="1"/>
  <c r="BH195" i="1" a="1"/>
  <c r="BH195" i="1" s="1"/>
  <c r="BH196" i="1" a="1"/>
  <c r="BH196" i="1" s="1"/>
  <c r="BH197" i="1" a="1"/>
  <c r="BH197" i="1" s="1"/>
  <c r="BH198" i="1" a="1"/>
  <c r="BH198" i="1" s="1"/>
  <c r="BH199" i="1" a="1"/>
  <c r="BH199" i="1" s="1"/>
  <c r="BH200" i="1" a="1"/>
  <c r="BH200" i="1" s="1"/>
  <c r="BH201" i="1" a="1"/>
  <c r="BH201" i="1"/>
  <c r="BH202" i="1" a="1"/>
  <c r="BH202" i="1" s="1"/>
  <c r="BH203" i="1" a="1"/>
  <c r="BH203" i="1" s="1"/>
  <c r="BH204" i="1" a="1"/>
  <c r="BH204" i="1" s="1"/>
  <c r="BH205" i="1" a="1"/>
  <c r="BH205" i="1" s="1"/>
  <c r="BH206" i="1" a="1"/>
  <c r="BH206" i="1" s="1"/>
  <c r="BH207" i="1" a="1"/>
  <c r="BH207" i="1" s="1"/>
  <c r="BH208" i="1" a="1"/>
  <c r="BH208" i="1" s="1"/>
  <c r="BH209" i="1" a="1"/>
  <c r="BH209" i="1"/>
  <c r="BH210" i="1" a="1"/>
  <c r="BH210" i="1" s="1"/>
  <c r="BH211" i="1" a="1"/>
  <c r="BH211" i="1" s="1"/>
  <c r="BH212" i="1" a="1"/>
  <c r="BH212" i="1" s="1"/>
  <c r="BH213" i="1" a="1"/>
  <c r="BH213" i="1" s="1"/>
  <c r="BH214" i="1" a="1"/>
  <c r="BH214" i="1" s="1"/>
  <c r="BH215" i="1" a="1"/>
  <c r="BH215" i="1" s="1"/>
  <c r="BH216" i="1" a="1"/>
  <c r="BH216" i="1" s="1"/>
  <c r="BH217" i="1" a="1"/>
  <c r="BH217" i="1"/>
  <c r="BH218" i="1" a="1"/>
  <c r="BH218" i="1" s="1"/>
  <c r="BH219" i="1" a="1"/>
  <c r="BH219" i="1" s="1"/>
  <c r="BH220" i="1" a="1"/>
  <c r="BH220" i="1" s="1"/>
  <c r="BH221" i="1" a="1"/>
  <c r="BH221" i="1" s="1"/>
  <c r="BH222" i="1" a="1"/>
  <c r="BH222" i="1" s="1"/>
  <c r="BH223" i="1" a="1"/>
  <c r="BH223" i="1" s="1"/>
  <c r="BH224" i="1" a="1"/>
  <c r="BH224" i="1" s="1"/>
  <c r="BH225" i="1" a="1"/>
  <c r="BH225" i="1"/>
  <c r="BH226" i="1" a="1"/>
  <c r="BH226" i="1" s="1"/>
  <c r="BH227" i="1" a="1"/>
  <c r="BH227" i="1" s="1"/>
  <c r="BH228" i="1" a="1"/>
  <c r="BH228" i="1" s="1"/>
  <c r="BH229" i="1" a="1"/>
  <c r="BH229" i="1" s="1"/>
  <c r="BH230" i="1" a="1"/>
  <c r="BH230" i="1" s="1"/>
  <c r="BH231" i="1" a="1"/>
  <c r="BH231" i="1" s="1"/>
  <c r="BH232" i="1" a="1"/>
  <c r="BH232" i="1" s="1"/>
  <c r="BH233" i="1" a="1"/>
  <c r="BH233" i="1"/>
  <c r="BH234" i="1" a="1"/>
  <c r="BH234" i="1" s="1"/>
  <c r="BH235" i="1" a="1"/>
  <c r="BH235" i="1" s="1"/>
  <c r="BH236" i="1" a="1"/>
  <c r="BH236" i="1" s="1"/>
  <c r="BH237" i="1" a="1"/>
  <c r="BH237" i="1"/>
  <c r="BH238" i="1" a="1"/>
  <c r="BH238" i="1" s="1"/>
  <c r="BH239" i="1" a="1"/>
  <c r="BH239" i="1" s="1"/>
  <c r="BH240" i="1" a="1"/>
  <c r="BH240" i="1" s="1"/>
  <c r="BH241" i="1" a="1"/>
  <c r="BH241" i="1" s="1"/>
  <c r="BH242" i="1" a="1"/>
  <c r="BH242" i="1" s="1"/>
  <c r="BH243" i="1" a="1"/>
  <c r="BH243" i="1" s="1"/>
  <c r="BH244" i="1" a="1"/>
  <c r="BH244" i="1" s="1"/>
  <c r="BH245" i="1" a="1"/>
  <c r="BH245" i="1"/>
  <c r="BH246" i="1" a="1"/>
  <c r="BH246" i="1" s="1"/>
  <c r="BH247" i="1" a="1"/>
  <c r="BH247" i="1" s="1"/>
  <c r="BH248" i="1" a="1"/>
  <c r="BH248" i="1" s="1"/>
  <c r="BH249" i="1" a="1"/>
  <c r="BH249" i="1" s="1"/>
  <c r="BH250" i="1" a="1"/>
  <c r="BH250" i="1" s="1"/>
  <c r="BH251" i="1" a="1"/>
  <c r="BH251" i="1" s="1"/>
  <c r="BH252" i="1" a="1"/>
  <c r="BH252" i="1" s="1"/>
  <c r="BH253" i="1" a="1"/>
  <c r="BH253" i="1"/>
  <c r="BH254" i="1" a="1"/>
  <c r="BH254" i="1" s="1"/>
  <c r="BH255" i="1" a="1"/>
  <c r="BH255" i="1" s="1"/>
  <c r="BH256" i="1" a="1"/>
  <c r="BH256" i="1" s="1"/>
  <c r="BH257" i="1" a="1"/>
  <c r="BH257" i="1" s="1"/>
  <c r="BH258" i="1" a="1"/>
  <c r="BH258" i="1" s="1"/>
  <c r="BH259" i="1" a="1"/>
  <c r="BH259" i="1" s="1"/>
  <c r="BH260" i="1" a="1"/>
  <c r="BH260" i="1" s="1"/>
  <c r="BH261" i="1" a="1"/>
  <c r="BH261" i="1"/>
  <c r="BH262" i="1" a="1"/>
  <c r="BH262" i="1" s="1"/>
  <c r="BH263" i="1" a="1"/>
  <c r="BH263" i="1" s="1"/>
  <c r="BH264" i="1" a="1"/>
  <c r="BH264" i="1" s="1"/>
  <c r="BH265" i="1" a="1"/>
  <c r="BH265" i="1" s="1"/>
  <c r="BH266" i="1" a="1"/>
  <c r="BH266" i="1" s="1"/>
  <c r="BH267" i="1" a="1"/>
  <c r="BH267" i="1"/>
  <c r="BH268" i="1" a="1"/>
  <c r="BH268" i="1" s="1"/>
  <c r="BH269" i="1" a="1"/>
  <c r="BH269" i="1" s="1"/>
  <c r="BH270" i="1" a="1"/>
  <c r="BH270" i="1" s="1"/>
  <c r="BH271" i="1" a="1"/>
  <c r="BH271" i="1" s="1"/>
  <c r="BH272" i="1" a="1"/>
  <c r="BH272" i="1" s="1"/>
  <c r="BH273" i="1" a="1"/>
  <c r="BH273" i="1"/>
  <c r="BH274" i="1" a="1"/>
  <c r="BH274" i="1" s="1"/>
  <c r="BH275" i="1" a="1"/>
  <c r="BH275" i="1" s="1"/>
  <c r="BH276" i="1" a="1"/>
  <c r="BH276" i="1" s="1"/>
  <c r="BH277" i="1" a="1"/>
  <c r="BH277" i="1"/>
  <c r="BH278" i="1" a="1"/>
  <c r="BH278" i="1" s="1"/>
  <c r="BH279" i="1" a="1"/>
  <c r="BH279" i="1" s="1"/>
  <c r="BH280" i="1" a="1"/>
  <c r="BH280" i="1" s="1"/>
  <c r="BH281" i="1" a="1"/>
  <c r="BH281" i="1" s="1"/>
  <c r="BH282" i="1" a="1"/>
  <c r="BH282" i="1" s="1"/>
  <c r="BH283" i="1" a="1"/>
  <c r="BH283" i="1"/>
  <c r="BH284" i="1" a="1"/>
  <c r="BH284" i="1" s="1"/>
  <c r="BH285" i="1" a="1"/>
  <c r="BH285" i="1" s="1"/>
  <c r="BH286" i="1" a="1"/>
  <c r="BH286" i="1" s="1"/>
  <c r="BH287" i="1" a="1"/>
  <c r="BH287" i="1" s="1"/>
  <c r="BH288" i="1" a="1"/>
  <c r="BH288" i="1" s="1"/>
  <c r="BH289" i="1" a="1"/>
  <c r="BH289" i="1"/>
  <c r="BH290" i="1" a="1"/>
  <c r="BH290" i="1" s="1"/>
  <c r="BH291" i="1" a="1"/>
  <c r="BH291" i="1" s="1"/>
  <c r="BH292" i="1" a="1"/>
  <c r="BH292" i="1" s="1"/>
  <c r="BH293" i="1" a="1"/>
  <c r="BH293" i="1"/>
  <c r="BH294" i="1" a="1"/>
  <c r="BH294" i="1" s="1"/>
  <c r="BH295" i="1" a="1"/>
  <c r="BH295" i="1" s="1"/>
  <c r="BH296" i="1" a="1"/>
  <c r="BH296" i="1" s="1"/>
  <c r="BH297" i="1" a="1"/>
  <c r="BH297" i="1" s="1"/>
  <c r="BH298" i="1" a="1"/>
  <c r="BH298" i="1" s="1"/>
  <c r="BH299" i="1" a="1"/>
  <c r="BH299" i="1"/>
  <c r="BH300" i="1" a="1"/>
  <c r="BH300" i="1" s="1"/>
  <c r="BH301" i="1" a="1"/>
  <c r="BH301" i="1" s="1"/>
  <c r="BH302" i="1" a="1"/>
  <c r="BH302" i="1" s="1"/>
  <c r="BH303" i="1" a="1"/>
  <c r="BH303" i="1" s="1"/>
  <c r="BH304" i="1" a="1"/>
  <c r="BH304" i="1" s="1"/>
  <c r="BH305" i="1" a="1"/>
  <c r="BH305" i="1"/>
  <c r="BH306" i="1" a="1"/>
  <c r="BH306" i="1" s="1"/>
  <c r="BH307" i="1" a="1"/>
  <c r="BH307" i="1" s="1"/>
  <c r="BH308" i="1" a="1"/>
  <c r="BH308" i="1" s="1"/>
  <c r="BH309" i="1" a="1"/>
  <c r="BH309" i="1"/>
  <c r="BH310" i="1" a="1"/>
  <c r="BH310" i="1" s="1"/>
  <c r="BH311" i="1" a="1"/>
  <c r="BH311" i="1" s="1"/>
  <c r="BH312" i="1" a="1"/>
  <c r="BH312" i="1" s="1"/>
  <c r="BH313" i="1" a="1"/>
  <c r="BH313" i="1" s="1"/>
  <c r="BH314" i="1" a="1"/>
  <c r="BH314" i="1" s="1"/>
  <c r="BH315" i="1" a="1"/>
  <c r="BH315" i="1"/>
  <c r="BH316" i="1" a="1"/>
  <c r="BH316" i="1" s="1"/>
  <c r="BH317" i="1" a="1"/>
  <c r="BH317" i="1" s="1"/>
  <c r="BH318" i="1" a="1"/>
  <c r="BH318" i="1" s="1"/>
  <c r="BH319" i="1" a="1"/>
  <c r="BH319" i="1" s="1"/>
  <c r="BH320" i="1" a="1"/>
  <c r="BH320" i="1" s="1"/>
  <c r="BH321" i="1" a="1"/>
  <c r="BH321" i="1" s="1"/>
  <c r="BH322" i="1" a="1"/>
  <c r="BH322" i="1" s="1"/>
  <c r="BH323" i="1" a="1"/>
  <c r="BH323" i="1"/>
  <c r="BH324" i="1" a="1"/>
  <c r="BH324" i="1" s="1"/>
  <c r="BH325" i="1" a="1"/>
  <c r="BH325" i="1" s="1"/>
  <c r="BH326" i="1" a="1"/>
  <c r="BH326" i="1" s="1"/>
  <c r="BH327" i="1" a="1"/>
  <c r="BH327" i="1" s="1"/>
  <c r="BH328" i="1" a="1"/>
  <c r="BH328" i="1" s="1"/>
  <c r="BH329" i="1" a="1"/>
  <c r="BH329" i="1" s="1"/>
  <c r="BH330" i="1" a="1"/>
  <c r="BH330" i="1" s="1"/>
  <c r="BH331" i="1" a="1"/>
  <c r="BH331" i="1"/>
  <c r="BH332" i="1" a="1"/>
  <c r="BH332" i="1" s="1"/>
  <c r="BH333" i="1" a="1"/>
  <c r="BH333" i="1" s="1"/>
  <c r="BH334" i="1" a="1"/>
  <c r="BH334" i="1"/>
  <c r="BH335" i="1" a="1"/>
  <c r="BH335" i="1" s="1"/>
  <c r="BH336" i="1" a="1"/>
  <c r="BH336" i="1" s="1"/>
  <c r="BH337" i="1" a="1"/>
  <c r="BH337" i="1" s="1"/>
  <c r="BH338" i="1" a="1"/>
  <c r="BH338" i="1"/>
  <c r="BH339" i="1" a="1"/>
  <c r="BH339" i="1" s="1"/>
  <c r="BH340" i="1" a="1"/>
  <c r="BH340" i="1" s="1"/>
  <c r="BH341" i="1" a="1"/>
  <c r="BH341" i="1" s="1"/>
  <c r="BH342" i="1" a="1"/>
  <c r="BH342" i="1"/>
  <c r="BH343" i="1" a="1"/>
  <c r="BH343" i="1" s="1"/>
  <c r="BH344" i="1" a="1"/>
  <c r="BH344" i="1" s="1"/>
  <c r="BH345" i="1" a="1"/>
  <c r="BH345" i="1" s="1"/>
  <c r="BH346" i="1" a="1"/>
  <c r="BH346" i="1"/>
  <c r="BH347" i="1" a="1"/>
  <c r="BH347" i="1" s="1"/>
  <c r="BH348" i="1" a="1"/>
  <c r="BH348" i="1" s="1"/>
  <c r="BH349" i="1" a="1"/>
  <c r="BH349" i="1" s="1"/>
  <c r="BH350" i="1" a="1"/>
  <c r="BH350" i="1"/>
  <c r="BH351" i="1" a="1"/>
  <c r="BH351" i="1" s="1"/>
  <c r="BH352" i="1" a="1"/>
  <c r="BH352" i="1" s="1"/>
  <c r="BH353" i="1" a="1"/>
  <c r="BH353" i="1" s="1"/>
  <c r="BH354" i="1" a="1"/>
  <c r="BH354" i="1"/>
  <c r="BH355" i="1" a="1"/>
  <c r="BH355" i="1" s="1"/>
  <c r="BH356" i="1" a="1"/>
  <c r="BH356" i="1" s="1"/>
  <c r="BH357" i="1" a="1"/>
  <c r="BH357" i="1" s="1"/>
  <c r="BH358" i="1" a="1"/>
  <c r="BH358" i="1"/>
  <c r="BH359" i="1" a="1"/>
  <c r="BH359" i="1" s="1"/>
  <c r="BH360" i="1" a="1"/>
  <c r="BH360" i="1" s="1"/>
  <c r="BH361" i="1" a="1"/>
  <c r="BH361" i="1" s="1"/>
  <c r="BH362" i="1" a="1"/>
  <c r="BH362" i="1"/>
  <c r="BH363" i="1" a="1"/>
  <c r="BH363" i="1" s="1"/>
  <c r="BH364" i="1" a="1"/>
  <c r="BH364" i="1" s="1"/>
  <c r="BH365" i="1" a="1"/>
  <c r="BH365" i="1" s="1"/>
  <c r="BH366" i="1" a="1"/>
  <c r="BH366" i="1"/>
  <c r="BH367" i="1" a="1"/>
  <c r="BH367" i="1" s="1"/>
  <c r="BH368" i="1" a="1"/>
  <c r="BH368" i="1" s="1"/>
  <c r="BH369" i="1" a="1"/>
  <c r="BH369" i="1" s="1"/>
  <c r="BH370" i="1" a="1"/>
  <c r="BH370" i="1"/>
  <c r="BH371" i="1" a="1"/>
  <c r="BH371" i="1" s="1"/>
  <c r="BH372" i="1" a="1"/>
  <c r="BH372" i="1" s="1"/>
  <c r="BH373" i="1" a="1"/>
  <c r="BH373" i="1" s="1"/>
  <c r="BH374" i="1" a="1"/>
  <c r="BH374" i="1"/>
  <c r="BH375" i="1" a="1"/>
  <c r="BH375" i="1" s="1"/>
  <c r="BH376" i="1" a="1"/>
  <c r="BH376" i="1" s="1"/>
  <c r="BH377" i="1" a="1"/>
  <c r="BH377" i="1" s="1"/>
  <c r="BH378" i="1" a="1"/>
  <c r="BH378" i="1" s="1"/>
  <c r="BH379" i="1" a="1"/>
  <c r="BH379" i="1"/>
  <c r="BH380" i="1" a="1"/>
  <c r="BH380" i="1" s="1"/>
  <c r="BH381" i="1" a="1"/>
  <c r="BH381" i="1" s="1"/>
  <c r="BH382" i="1" a="1"/>
  <c r="BH382" i="1" s="1"/>
  <c r="BH383" i="1" a="1"/>
  <c r="BH383" i="1" s="1"/>
  <c r="BH384" i="1" a="1"/>
  <c r="BH384" i="1" s="1"/>
  <c r="BH385" i="1" a="1"/>
  <c r="BH385" i="1" s="1"/>
  <c r="BH386" i="1" a="1"/>
  <c r="BH386" i="1" s="1"/>
  <c r="BH387" i="1" a="1"/>
  <c r="BH387" i="1" s="1"/>
  <c r="BH388" i="1" a="1"/>
  <c r="BH388" i="1" s="1"/>
  <c r="BH389" i="1" a="1"/>
  <c r="BH389" i="1" s="1"/>
  <c r="BH390" i="1" a="1"/>
  <c r="BH390" i="1" s="1"/>
  <c r="BH391" i="1" a="1"/>
  <c r="BH391" i="1" s="1"/>
  <c r="BH392" i="1" a="1"/>
  <c r="BH392" i="1" s="1"/>
  <c r="BH393" i="1" a="1"/>
  <c r="BH393" i="1" s="1"/>
  <c r="BH394" i="1" a="1"/>
  <c r="BH394" i="1" s="1"/>
  <c r="BH395" i="1" a="1"/>
  <c r="BH395" i="1" s="1"/>
  <c r="BH396" i="1" a="1"/>
  <c r="BH396" i="1" s="1"/>
  <c r="BH397" i="1" a="1"/>
  <c r="BH397" i="1" s="1"/>
  <c r="BH398" i="1" a="1"/>
  <c r="BH398" i="1" s="1"/>
  <c r="BH399" i="1" a="1"/>
  <c r="BH399" i="1" s="1"/>
  <c r="BH400" i="1" a="1"/>
  <c r="BH400" i="1" s="1"/>
  <c r="BH401" i="1" a="1"/>
  <c r="BH401" i="1" s="1"/>
  <c r="BH402" i="1" a="1"/>
  <c r="BH402" i="1" s="1"/>
  <c r="BH403" i="1" a="1"/>
  <c r="BH403" i="1" s="1"/>
  <c r="BH404" i="1" a="1"/>
  <c r="BH404" i="1" s="1"/>
  <c r="BH405" i="1" a="1"/>
  <c r="BH405" i="1" s="1"/>
  <c r="BH406" i="1" a="1"/>
  <c r="BH406" i="1" s="1"/>
  <c r="BH407" i="1" a="1"/>
  <c r="BH407" i="1" s="1"/>
  <c r="BH408" i="1" a="1"/>
  <c r="BH408" i="1" s="1"/>
  <c r="BH409" i="1" a="1"/>
  <c r="BH409" i="1" s="1"/>
  <c r="BH410" i="1" a="1"/>
  <c r="BH410" i="1" s="1"/>
  <c r="BH411" i="1" a="1"/>
  <c r="BH411" i="1" s="1"/>
  <c r="BH412" i="1" a="1"/>
  <c r="BH412" i="1" s="1"/>
  <c r="BH413" i="1" a="1"/>
  <c r="BH413" i="1" s="1"/>
  <c r="BH414" i="1" a="1"/>
  <c r="BH414" i="1" s="1"/>
  <c r="BH415" i="1" a="1"/>
  <c r="BH415" i="1" s="1"/>
  <c r="BH416" i="1" a="1"/>
  <c r="BH416" i="1" s="1"/>
  <c r="BH417" i="1" a="1"/>
  <c r="BH417" i="1" s="1"/>
  <c r="BH418" i="1" a="1"/>
  <c r="BH418" i="1" s="1"/>
  <c r="BH419" i="1" a="1"/>
  <c r="BH419" i="1" s="1"/>
  <c r="BH420" i="1" a="1"/>
  <c r="BH420" i="1" s="1"/>
  <c r="BH421" i="1" a="1"/>
  <c r="BH421" i="1" s="1"/>
  <c r="BH422" i="1" a="1"/>
  <c r="BH422" i="1" s="1"/>
  <c r="BH423" i="1" a="1"/>
  <c r="BH423" i="1" s="1"/>
  <c r="BH424" i="1" a="1"/>
  <c r="BH424" i="1" s="1"/>
  <c r="BH425" i="1" a="1"/>
  <c r="BH425" i="1" s="1"/>
  <c r="BH426" i="1" a="1"/>
  <c r="BH426" i="1" s="1"/>
  <c r="BH427" i="1" a="1"/>
  <c r="BH427" i="1" s="1"/>
  <c r="BH428" i="1" a="1"/>
  <c r="BH428" i="1" s="1"/>
  <c r="BH429" i="1" a="1"/>
  <c r="BH429" i="1" s="1"/>
  <c r="BH430" i="1" a="1"/>
  <c r="BH430" i="1" s="1"/>
  <c r="BH431" i="1" a="1"/>
  <c r="BH431" i="1" s="1"/>
  <c r="BH432" i="1" a="1"/>
  <c r="BH432" i="1" s="1"/>
  <c r="BH433" i="1" a="1"/>
  <c r="BH433" i="1" s="1"/>
  <c r="BH434" i="1" a="1"/>
  <c r="BH434" i="1" s="1"/>
  <c r="BH435" i="1" a="1"/>
  <c r="BH435" i="1" s="1"/>
  <c r="BH436" i="1" a="1"/>
  <c r="BH436" i="1" s="1"/>
  <c r="BH437" i="1" a="1"/>
  <c r="BH437" i="1" s="1"/>
  <c r="BH438" i="1" a="1"/>
  <c r="BH438" i="1" s="1"/>
  <c r="BH439" i="1" a="1"/>
  <c r="BH439" i="1" s="1"/>
  <c r="BH440" i="1" a="1"/>
  <c r="BH440" i="1" s="1"/>
  <c r="BH441" i="1" a="1"/>
  <c r="BH441" i="1" s="1"/>
  <c r="BH442" i="1" a="1"/>
  <c r="BH442" i="1" s="1"/>
  <c r="BH443" i="1" a="1"/>
  <c r="BH443" i="1" s="1"/>
  <c r="BH444" i="1" a="1"/>
  <c r="BH444" i="1" s="1"/>
  <c r="BH445" i="1" a="1"/>
  <c r="BH445" i="1" s="1"/>
  <c r="BH446" i="1" a="1"/>
  <c r="BH446" i="1" s="1"/>
  <c r="BH447" i="1" a="1"/>
  <c r="BH447" i="1" s="1"/>
  <c r="BH448" i="1" a="1"/>
  <c r="BH448" i="1" s="1"/>
  <c r="BH449" i="1" a="1"/>
  <c r="BH449" i="1" s="1"/>
  <c r="BH450" i="1" a="1"/>
  <c r="BH450" i="1" s="1"/>
  <c r="BH451" i="1" a="1"/>
  <c r="BH451" i="1" s="1"/>
  <c r="BH452" i="1" a="1"/>
  <c r="BH452" i="1" s="1"/>
  <c r="BH453" i="1" a="1"/>
  <c r="BH453" i="1" s="1"/>
  <c r="BH454" i="1" a="1"/>
  <c r="BH454" i="1" s="1"/>
  <c r="BH455" i="1" a="1"/>
  <c r="BH455" i="1" s="1"/>
  <c r="BH456" i="1" a="1"/>
  <c r="BH456" i="1" s="1"/>
  <c r="BH457" i="1" a="1"/>
  <c r="BH457" i="1" s="1"/>
  <c r="BH458" i="1" a="1"/>
  <c r="BH458" i="1" s="1"/>
  <c r="BH459" i="1" a="1"/>
  <c r="BH459" i="1" s="1"/>
  <c r="BH460" i="1" a="1"/>
  <c r="BH460" i="1" s="1"/>
  <c r="BH461" i="1" a="1"/>
  <c r="BH461" i="1" s="1"/>
  <c r="BH462" i="1" a="1"/>
  <c r="BH462" i="1" s="1"/>
  <c r="BH463" i="1" a="1"/>
  <c r="BH463" i="1" s="1"/>
  <c r="BH464" i="1" a="1"/>
  <c r="BH464" i="1" s="1"/>
  <c r="BH465" i="1" a="1"/>
  <c r="BH465" i="1" s="1"/>
  <c r="BH466" i="1" a="1"/>
  <c r="BH466" i="1" s="1"/>
  <c r="BH467" i="1" a="1"/>
  <c r="BH467" i="1" s="1"/>
  <c r="BH468" i="1" a="1"/>
  <c r="BH468" i="1" s="1"/>
  <c r="BH469" i="1" a="1"/>
  <c r="BH469" i="1" s="1"/>
  <c r="BH470" i="1" a="1"/>
  <c r="BH470" i="1" s="1"/>
  <c r="BH471" i="1" a="1"/>
  <c r="BH471" i="1" s="1"/>
  <c r="BH472" i="1" a="1"/>
  <c r="BH472" i="1" s="1"/>
  <c r="BH473" i="1" a="1"/>
  <c r="BH473" i="1" s="1"/>
  <c r="BH474" i="1" a="1"/>
  <c r="BH474" i="1" s="1"/>
  <c r="BH475" i="1" a="1"/>
  <c r="BH475" i="1" s="1"/>
  <c r="BH476" i="1" a="1"/>
  <c r="BH476" i="1" s="1"/>
  <c r="BH477" i="1" a="1"/>
  <c r="BH477" i="1" s="1"/>
  <c r="BH478" i="1" a="1"/>
  <c r="BH478" i="1" s="1"/>
  <c r="BH479" i="1" a="1"/>
  <c r="BH479" i="1" s="1"/>
  <c r="BH480" i="1" a="1"/>
  <c r="BH480" i="1" s="1"/>
  <c r="BH481" i="1" a="1"/>
  <c r="BH481" i="1"/>
  <c r="BH482" i="1" a="1"/>
  <c r="BH482" i="1" s="1"/>
  <c r="BH483" i="1" a="1"/>
  <c r="BH483" i="1" s="1"/>
  <c r="BH484" i="1" a="1"/>
  <c r="BH484" i="1" s="1"/>
  <c r="BH485" i="1" a="1"/>
  <c r="BH485" i="1" s="1"/>
  <c r="BH486" i="1" a="1"/>
  <c r="BH486" i="1" s="1"/>
  <c r="BH487" i="1" a="1"/>
  <c r="BH487" i="1" s="1"/>
  <c r="BH488" i="1" a="1"/>
  <c r="BH488" i="1" s="1"/>
  <c r="BH489" i="1" a="1"/>
  <c r="BH489" i="1" s="1"/>
  <c r="BH490" i="1" a="1"/>
  <c r="BH490" i="1" s="1"/>
  <c r="BH491" i="1" a="1"/>
  <c r="BH491" i="1" s="1"/>
  <c r="BH492" i="1" a="1"/>
  <c r="BH492" i="1" s="1"/>
  <c r="BH493" i="1" a="1"/>
  <c r="BH493" i="1" s="1"/>
  <c r="BH494" i="1" a="1"/>
  <c r="BH494" i="1" s="1"/>
  <c r="BH495" i="1" a="1"/>
  <c r="BH495" i="1" s="1"/>
  <c r="BH496" i="1" a="1"/>
  <c r="BH496" i="1" s="1"/>
  <c r="BH497" i="1" a="1"/>
  <c r="BH497" i="1" s="1"/>
  <c r="BH498" i="1" a="1"/>
  <c r="BH498" i="1" s="1"/>
  <c r="BH499" i="1" a="1"/>
  <c r="BH499" i="1" s="1"/>
  <c r="BH500" i="1" a="1"/>
  <c r="BH500" i="1" s="1"/>
  <c r="BH501" i="1" a="1"/>
  <c r="BH501" i="1" s="1"/>
  <c r="BH502" i="1" a="1"/>
  <c r="BH502" i="1" s="1"/>
  <c r="BH503" i="1" a="1"/>
  <c r="BH503" i="1" s="1"/>
  <c r="BH504" i="1" a="1"/>
  <c r="BH504" i="1" s="1"/>
  <c r="BH505" i="1" a="1"/>
  <c r="BH505" i="1" s="1"/>
  <c r="BH506" i="1" a="1"/>
  <c r="BH506" i="1" s="1"/>
  <c r="BH507" i="1" a="1"/>
  <c r="BH507" i="1" s="1"/>
  <c r="BH508" i="1" a="1"/>
  <c r="BH508" i="1" s="1"/>
  <c r="BH509" i="1" a="1"/>
  <c r="BH509" i="1" s="1"/>
  <c r="BH510" i="1" a="1"/>
  <c r="BH510" i="1" s="1"/>
  <c r="BH511" i="1" a="1"/>
  <c r="BH511" i="1" s="1"/>
  <c r="BH512" i="1" a="1"/>
  <c r="BH512" i="1" s="1"/>
  <c r="BH513" i="1" a="1"/>
  <c r="BH513" i="1" s="1"/>
  <c r="BH514" i="1" a="1"/>
  <c r="BH514" i="1" s="1"/>
  <c r="BH515" i="1" a="1"/>
  <c r="BH515" i="1" s="1"/>
  <c r="BH516" i="1" a="1"/>
  <c r="BH516" i="1" s="1"/>
  <c r="BH517" i="1" a="1"/>
  <c r="BH517" i="1" s="1"/>
  <c r="BH518" i="1" a="1"/>
  <c r="BH518" i="1" s="1"/>
  <c r="BH519" i="1" a="1"/>
  <c r="BH519" i="1" s="1"/>
  <c r="BH520" i="1" a="1"/>
  <c r="BH520" i="1" s="1"/>
  <c r="BH521" i="1" a="1"/>
  <c r="BH521" i="1" s="1"/>
  <c r="BH522" i="1" a="1"/>
  <c r="BH522" i="1" s="1"/>
  <c r="BH523" i="1" a="1"/>
  <c r="BH523" i="1" s="1"/>
  <c r="BH524" i="1" a="1"/>
  <c r="BH524" i="1" s="1"/>
  <c r="BH525" i="1" a="1"/>
  <c r="BH525" i="1" s="1"/>
  <c r="BH526" i="1" a="1"/>
  <c r="BH526" i="1" s="1"/>
  <c r="BH527" i="1" a="1"/>
  <c r="BH527" i="1" s="1"/>
  <c r="BH528" i="1" a="1"/>
  <c r="BH528" i="1" s="1"/>
  <c r="BH529" i="1" a="1"/>
  <c r="BH529" i="1" s="1"/>
  <c r="BH530" i="1" a="1"/>
  <c r="BH530" i="1" s="1"/>
  <c r="BH531" i="1" a="1"/>
  <c r="BH531" i="1" s="1"/>
  <c r="BH532" i="1" a="1"/>
  <c r="BH532" i="1" s="1"/>
  <c r="BH533" i="1" a="1"/>
  <c r="BH533" i="1" s="1"/>
  <c r="BH534" i="1" a="1"/>
  <c r="BH534" i="1" s="1"/>
  <c r="BH535" i="1" a="1"/>
  <c r="BH535" i="1" s="1"/>
  <c r="BH536" i="1" a="1"/>
  <c r="BH536" i="1" s="1"/>
  <c r="BH537" i="1" a="1"/>
  <c r="BH537" i="1" s="1"/>
  <c r="BH538" i="1" a="1"/>
  <c r="BH538" i="1" s="1"/>
  <c r="BH539" i="1" a="1"/>
  <c r="BH539" i="1" s="1"/>
  <c r="BH540" i="1" a="1"/>
  <c r="BH540" i="1" s="1"/>
  <c r="BH541" i="1" a="1"/>
  <c r="BH541" i="1" s="1"/>
  <c r="BH542" i="1" a="1"/>
  <c r="BH542" i="1" s="1"/>
  <c r="BH543" i="1" a="1"/>
  <c r="BH543" i="1" s="1"/>
  <c r="BH544" i="1" a="1"/>
  <c r="BH544" i="1" s="1"/>
  <c r="BH545" i="1" a="1"/>
  <c r="BH545" i="1" s="1"/>
  <c r="BH546" i="1" a="1"/>
  <c r="BH546" i="1" s="1"/>
  <c r="BH547" i="1" a="1"/>
  <c r="BH547" i="1" s="1"/>
  <c r="BH548" i="1" a="1"/>
  <c r="BH548" i="1" s="1"/>
  <c r="BH549" i="1" a="1"/>
  <c r="BH549" i="1" s="1"/>
  <c r="BH550" i="1" a="1"/>
  <c r="BH550" i="1" s="1"/>
  <c r="BH551" i="1" a="1"/>
  <c r="BH551" i="1" s="1"/>
  <c r="BH552" i="1" a="1"/>
  <c r="BH552" i="1" s="1"/>
  <c r="BH553" i="1" a="1"/>
  <c r="BH553" i="1" s="1"/>
  <c r="BH554" i="1" a="1"/>
  <c r="BH554" i="1" s="1"/>
  <c r="BH555" i="1" a="1"/>
  <c r="BH555" i="1" s="1"/>
  <c r="BH556" i="1" a="1"/>
  <c r="BH556" i="1" s="1"/>
  <c r="BH557" i="1" a="1"/>
  <c r="BH557" i="1" s="1"/>
  <c r="BH558" i="1" a="1"/>
  <c r="BH558" i="1" s="1"/>
  <c r="BH559" i="1" a="1"/>
  <c r="BH559" i="1" s="1"/>
  <c r="BH560" i="1" a="1"/>
  <c r="BH560" i="1" s="1"/>
  <c r="BH561" i="1" a="1"/>
  <c r="BH561" i="1" s="1"/>
  <c r="BH562" i="1" a="1"/>
  <c r="BH562" i="1" s="1"/>
  <c r="BH563" i="1" a="1"/>
  <c r="BH563" i="1" s="1"/>
  <c r="BH564" i="1" a="1"/>
  <c r="BH564" i="1" s="1"/>
  <c r="BH565" i="1" a="1"/>
  <c r="BH565" i="1" s="1"/>
  <c r="BH566" i="1" a="1"/>
  <c r="BH566" i="1" s="1"/>
  <c r="BH567" i="1" a="1"/>
  <c r="BH567" i="1" s="1"/>
  <c r="BH568" i="1" a="1"/>
  <c r="BH568" i="1" s="1"/>
  <c r="BH569" i="1" a="1"/>
  <c r="BH569" i="1"/>
  <c r="BH570" i="1" a="1"/>
  <c r="BH570" i="1" s="1"/>
  <c r="BH571" i="1" a="1"/>
  <c r="BH571" i="1" s="1"/>
  <c r="BH572" i="1" a="1"/>
  <c r="BH572" i="1" s="1"/>
  <c r="BH573" i="1" a="1"/>
  <c r="BH573" i="1" s="1"/>
  <c r="BH574" i="1" a="1"/>
  <c r="BH574" i="1" s="1"/>
  <c r="BH575" i="1" a="1"/>
  <c r="BH575" i="1" s="1"/>
  <c r="BH576" i="1" a="1"/>
  <c r="BH576" i="1" s="1"/>
  <c r="BH577" i="1" a="1"/>
  <c r="BH577" i="1" s="1"/>
  <c r="BH578" i="1" a="1"/>
  <c r="BH578" i="1" s="1"/>
  <c r="BH579" i="1" a="1"/>
  <c r="BH579" i="1" s="1"/>
  <c r="BH580" i="1" a="1"/>
  <c r="BH580" i="1" s="1"/>
  <c r="BH581" i="1" a="1"/>
  <c r="BH581" i="1" s="1"/>
  <c r="BH582" i="1" a="1"/>
  <c r="BH582" i="1" s="1"/>
  <c r="BH583" i="1" a="1"/>
  <c r="BH583" i="1" s="1"/>
  <c r="BH584" i="1" a="1"/>
  <c r="BH584" i="1" s="1"/>
  <c r="BH585" i="1" a="1"/>
  <c r="BH585" i="1" s="1"/>
  <c r="BH586" i="1" a="1"/>
  <c r="BH586" i="1" s="1"/>
  <c r="BH587" i="1" a="1"/>
  <c r="BH587" i="1" s="1"/>
  <c r="BH588" i="1" a="1"/>
  <c r="BH588" i="1" s="1"/>
  <c r="BH589" i="1" a="1"/>
  <c r="BH589" i="1" s="1"/>
  <c r="BH590" i="1" a="1"/>
  <c r="BH590" i="1" s="1"/>
  <c r="BH591" i="1" a="1"/>
  <c r="BH591" i="1" s="1"/>
  <c r="BH592" i="1" a="1"/>
  <c r="BH592" i="1" s="1"/>
  <c r="BH593" i="1" a="1"/>
  <c r="BH593" i="1" s="1"/>
  <c r="BH594" i="1" a="1"/>
  <c r="BH594" i="1" s="1"/>
  <c r="BH595" i="1" a="1"/>
  <c r="BH595" i="1" s="1"/>
  <c r="BH596" i="1" a="1"/>
  <c r="BH596" i="1" s="1"/>
  <c r="BH597" i="1" a="1"/>
  <c r="BH597" i="1" s="1"/>
  <c r="BH598" i="1" a="1"/>
  <c r="BH598" i="1" s="1"/>
  <c r="BH599" i="1" a="1"/>
  <c r="BH599" i="1" s="1"/>
  <c r="BH600" i="1" a="1"/>
  <c r="BH600" i="1" s="1"/>
  <c r="BH601" i="1" a="1"/>
  <c r="BH601" i="1" s="1"/>
  <c r="BH602" i="1" a="1"/>
  <c r="BH602" i="1" s="1"/>
  <c r="BH603" i="1" a="1"/>
  <c r="BH603" i="1" s="1"/>
  <c r="BH604" i="1" a="1"/>
  <c r="BH604" i="1" s="1"/>
  <c r="BH605" i="1" a="1"/>
  <c r="BH605" i="1" s="1"/>
  <c r="BH606" i="1" a="1"/>
  <c r="BH606" i="1" s="1"/>
  <c r="BH607" i="1" a="1"/>
  <c r="BH607" i="1" s="1"/>
  <c r="BH608" i="1" a="1"/>
  <c r="BH608" i="1" s="1"/>
  <c r="BH609" i="1" a="1"/>
  <c r="BH609" i="1" s="1"/>
  <c r="BH610" i="1" a="1"/>
  <c r="BH610" i="1" s="1"/>
  <c r="BH611" i="1" a="1"/>
  <c r="BH611" i="1" s="1"/>
  <c r="BH612" i="1" a="1"/>
  <c r="BH612" i="1" s="1"/>
  <c r="BH613" i="1" a="1"/>
  <c r="BH613" i="1" s="1"/>
  <c r="BH614" i="1" a="1"/>
  <c r="BH614" i="1" s="1"/>
  <c r="BH615" i="1" a="1"/>
  <c r="BH615" i="1" s="1"/>
  <c r="BH616" i="1" a="1"/>
  <c r="BH616" i="1" s="1"/>
  <c r="BH617" i="1" a="1"/>
  <c r="BH617" i="1" s="1"/>
  <c r="BH618" i="1" a="1"/>
  <c r="BH618" i="1" s="1"/>
  <c r="BH619" i="1" a="1"/>
  <c r="BH619" i="1" s="1"/>
  <c r="BH620" i="1" a="1"/>
  <c r="BH620" i="1" s="1"/>
  <c r="BH621" i="1" a="1"/>
  <c r="BH621" i="1" s="1"/>
  <c r="BH622" i="1" a="1"/>
  <c r="BH622" i="1" s="1"/>
  <c r="BH623" i="1" a="1"/>
  <c r="BH623" i="1" s="1"/>
  <c r="BH624" i="1" a="1"/>
  <c r="BH624" i="1" s="1"/>
  <c r="BH625" i="1" a="1"/>
  <c r="BH625" i="1" s="1"/>
  <c r="BH626" i="1" a="1"/>
  <c r="BH626" i="1" s="1"/>
  <c r="BH627" i="1" a="1"/>
  <c r="BH627" i="1" s="1"/>
  <c r="BH628" i="1" a="1"/>
  <c r="BH628" i="1" s="1"/>
  <c r="BH629" i="1" a="1"/>
  <c r="BH629" i="1" s="1"/>
  <c r="BH630" i="1" a="1"/>
  <c r="BH630" i="1" s="1"/>
  <c r="BH631" i="1" a="1"/>
  <c r="BH631" i="1" s="1"/>
  <c r="BH632" i="1" a="1"/>
  <c r="BH632" i="1" s="1"/>
  <c r="BH633" i="1" a="1"/>
  <c r="BH633" i="1" s="1"/>
  <c r="BH634" i="1" a="1"/>
  <c r="BH634" i="1" s="1"/>
  <c r="BH635" i="1" a="1"/>
  <c r="BH635" i="1" s="1"/>
  <c r="BH636" i="1" a="1"/>
  <c r="BH636" i="1" s="1"/>
  <c r="BH637" i="1" a="1"/>
  <c r="BH637" i="1" s="1"/>
  <c r="BH638" i="1" a="1"/>
  <c r="BH638" i="1" s="1"/>
  <c r="BH639" i="1" a="1"/>
  <c r="BH639" i="1" s="1"/>
  <c r="BH640" i="1" a="1"/>
  <c r="BH640" i="1" s="1"/>
  <c r="BH641" i="1" a="1"/>
  <c r="BH641" i="1" s="1"/>
  <c r="BH642" i="1" a="1"/>
  <c r="BH642" i="1" s="1"/>
  <c r="BH643" i="1" a="1"/>
  <c r="BH643" i="1" s="1"/>
  <c r="BH644" i="1" a="1"/>
  <c r="BH644" i="1" s="1"/>
  <c r="BH645" i="1" a="1"/>
  <c r="BH645" i="1" s="1"/>
  <c r="BH646" i="1" a="1"/>
  <c r="BH646" i="1" s="1"/>
  <c r="BH647" i="1" a="1"/>
  <c r="BH647" i="1" s="1"/>
  <c r="BH648" i="1" a="1"/>
  <c r="BH648" i="1" s="1"/>
  <c r="BH649" i="1" a="1"/>
  <c r="BH649" i="1" s="1"/>
  <c r="BH650" i="1" a="1"/>
  <c r="BH650" i="1" s="1"/>
  <c r="BH651" i="1" a="1"/>
  <c r="BH651" i="1"/>
  <c r="BH652" i="1" a="1"/>
  <c r="BH652" i="1" s="1"/>
  <c r="BH653" i="1" a="1"/>
  <c r="BH653" i="1" s="1"/>
  <c r="BH654" i="1" a="1"/>
  <c r="BH654" i="1" s="1"/>
  <c r="BH655" i="1" a="1"/>
  <c r="BH655" i="1" s="1"/>
  <c r="BH656" i="1" a="1"/>
  <c r="BH656" i="1" s="1"/>
  <c r="BH657" i="1" a="1"/>
  <c r="BH657" i="1" s="1"/>
  <c r="BH658" i="1" a="1"/>
  <c r="BH658" i="1" s="1"/>
  <c r="BH659" i="1" a="1"/>
  <c r="BH659" i="1" s="1"/>
  <c r="BH660" i="1" a="1"/>
  <c r="BH660" i="1" s="1"/>
  <c r="BH661" i="1" a="1"/>
  <c r="BH661" i="1" s="1"/>
  <c r="BH662" i="1" a="1"/>
  <c r="BH662" i="1" s="1"/>
  <c r="BH663" i="1" a="1"/>
  <c r="BH663" i="1" s="1"/>
  <c r="BH664" i="1" a="1"/>
  <c r="BH664" i="1" s="1"/>
  <c r="BH665" i="1" a="1"/>
  <c r="BH665" i="1" s="1"/>
  <c r="BH666" i="1" a="1"/>
  <c r="BH666" i="1" s="1"/>
  <c r="BH667" i="1" a="1"/>
  <c r="BH667" i="1" s="1"/>
  <c r="BH668" i="1" a="1"/>
  <c r="BH668" i="1" s="1"/>
  <c r="BH669" i="1" a="1"/>
  <c r="BH669" i="1" s="1"/>
  <c r="BH670" i="1" a="1"/>
  <c r="BH670" i="1" s="1"/>
  <c r="BH671" i="1" a="1"/>
  <c r="BH671" i="1" s="1"/>
  <c r="BH672" i="1" a="1"/>
  <c r="BH672" i="1" s="1"/>
  <c r="BH673" i="1" a="1"/>
  <c r="BH673" i="1" s="1"/>
  <c r="BH674" i="1" a="1"/>
  <c r="BH674" i="1" s="1"/>
  <c r="BH675" i="1" a="1"/>
  <c r="BH675" i="1" s="1"/>
  <c r="BH676" i="1" a="1"/>
  <c r="BH676" i="1" s="1"/>
  <c r="BH677" i="1" a="1"/>
  <c r="BH677" i="1" s="1"/>
  <c r="BH678" i="1" a="1"/>
  <c r="BH678" i="1" s="1"/>
  <c r="BH679" i="1" a="1"/>
  <c r="BH679" i="1" s="1"/>
  <c r="BH680" i="1" a="1"/>
  <c r="BH680" i="1" s="1"/>
  <c r="BH681" i="1" a="1"/>
  <c r="BH681" i="1" s="1"/>
  <c r="BH682" i="1" a="1"/>
  <c r="BH682" i="1" s="1"/>
  <c r="BH683" i="1" a="1"/>
  <c r="BH683" i="1" s="1"/>
  <c r="BH684" i="1" a="1"/>
  <c r="BH684" i="1" s="1"/>
  <c r="BH685" i="1" a="1"/>
  <c r="BH685" i="1" s="1"/>
  <c r="BH686" i="1" a="1"/>
  <c r="BH686" i="1" s="1"/>
  <c r="BH687" i="1" a="1"/>
  <c r="BH687" i="1" s="1"/>
  <c r="BH688" i="1" a="1"/>
  <c r="BH688" i="1" s="1"/>
  <c r="BH689" i="1" a="1"/>
  <c r="BH689" i="1" s="1"/>
  <c r="BH690" i="1" a="1"/>
  <c r="BH690" i="1" s="1"/>
  <c r="BH691" i="1" a="1"/>
  <c r="BH691" i="1" s="1"/>
  <c r="BH692" i="1" a="1"/>
  <c r="BH692" i="1" s="1"/>
  <c r="BH693" i="1" a="1"/>
  <c r="BH693" i="1" s="1"/>
  <c r="BH694" i="1" a="1"/>
  <c r="BH694" i="1" s="1"/>
  <c r="BH695" i="1" a="1"/>
  <c r="BH695" i="1" s="1"/>
  <c r="BH696" i="1" a="1"/>
  <c r="BH696" i="1" s="1"/>
  <c r="BH697" i="1" a="1"/>
  <c r="BH697" i="1" s="1"/>
  <c r="BH698" i="1" a="1"/>
  <c r="BH698" i="1" s="1"/>
  <c r="BH699" i="1" a="1"/>
  <c r="BH699" i="1" s="1"/>
  <c r="BH700" i="1" a="1"/>
  <c r="BH700" i="1" s="1"/>
  <c r="BH701" i="1" a="1"/>
  <c r="BH701" i="1" s="1"/>
  <c r="BH702" i="1" a="1"/>
  <c r="BH702" i="1" s="1"/>
  <c r="BH703" i="1" a="1"/>
  <c r="BH703" i="1" s="1"/>
  <c r="BH704" i="1" a="1"/>
  <c r="BH704" i="1" s="1"/>
  <c r="BH705" i="1" a="1"/>
  <c r="BH705" i="1" s="1"/>
  <c r="BH706" i="1" a="1"/>
  <c r="BH706" i="1" s="1"/>
  <c r="BH707" i="1" a="1"/>
  <c r="BH707" i="1"/>
  <c r="BH708" i="1" a="1"/>
  <c r="BH708" i="1" s="1"/>
  <c r="BH709" i="1" a="1"/>
  <c r="BH709" i="1" s="1"/>
  <c r="BH710" i="1" a="1"/>
  <c r="BH710" i="1" s="1"/>
  <c r="BH711" i="1" a="1"/>
  <c r="BH711" i="1" s="1"/>
  <c r="BH712" i="1" a="1"/>
  <c r="BH712" i="1" s="1"/>
  <c r="BH713" i="1" a="1"/>
  <c r="BH713" i="1" s="1"/>
  <c r="BH714" i="1" a="1"/>
  <c r="BH714" i="1" s="1"/>
  <c r="BH715" i="1" a="1"/>
  <c r="BH715" i="1" s="1"/>
  <c r="BH716" i="1" a="1"/>
  <c r="BH716" i="1" s="1"/>
  <c r="BH717" i="1" a="1"/>
  <c r="BH717" i="1" s="1"/>
  <c r="BH718" i="1" a="1"/>
  <c r="BH718" i="1" s="1"/>
  <c r="BH719" i="1" a="1"/>
  <c r="BH719" i="1" s="1"/>
  <c r="BH720" i="1" a="1"/>
  <c r="BH720" i="1" s="1"/>
  <c r="BH721" i="1" a="1"/>
  <c r="BH721" i="1" s="1"/>
  <c r="BH722" i="1" a="1"/>
  <c r="BH722" i="1" s="1"/>
  <c r="BH723" i="1" a="1"/>
  <c r="BH723" i="1" s="1"/>
  <c r="BH724" i="1" a="1"/>
  <c r="BH724" i="1" s="1"/>
  <c r="BH725" i="1" a="1"/>
  <c r="BH725" i="1" s="1"/>
  <c r="BH726" i="1" a="1"/>
  <c r="BH726" i="1" s="1"/>
  <c r="BH727" i="1" a="1"/>
  <c r="BH727" i="1" s="1"/>
  <c r="BH728" i="1" a="1"/>
  <c r="BH728" i="1" s="1"/>
  <c r="BH729" i="1" a="1"/>
  <c r="BH729" i="1" s="1"/>
  <c r="BH730" i="1" a="1"/>
  <c r="BH730" i="1" s="1"/>
  <c r="BH731" i="1" a="1"/>
  <c r="BH731" i="1" s="1"/>
  <c r="BH732" i="1" a="1"/>
  <c r="BH732" i="1" s="1"/>
  <c r="BH733" i="1" a="1"/>
  <c r="BH733" i="1" s="1"/>
  <c r="BH734" i="1" a="1"/>
  <c r="BH734" i="1" s="1"/>
  <c r="BH735" i="1" a="1"/>
  <c r="BH735" i="1" s="1"/>
  <c r="BH736" i="1" a="1"/>
  <c r="BH736" i="1" s="1"/>
  <c r="BH737" i="1" a="1"/>
  <c r="BH737" i="1" s="1"/>
  <c r="BH738" i="1" a="1"/>
  <c r="BH738" i="1" s="1"/>
  <c r="BH739" i="1" a="1"/>
  <c r="BH739" i="1" s="1"/>
  <c r="BH740" i="1" a="1"/>
  <c r="BH740" i="1" s="1"/>
  <c r="BH741" i="1" a="1"/>
  <c r="BH741" i="1" s="1"/>
  <c r="BH742" i="1" a="1"/>
  <c r="BH742" i="1" s="1"/>
  <c r="BH743" i="1" a="1"/>
  <c r="BH743" i="1" s="1"/>
  <c r="BH744" i="1" a="1"/>
  <c r="BH744" i="1" s="1"/>
  <c r="BH745" i="1" a="1"/>
  <c r="BH745" i="1" s="1"/>
  <c r="BH746" i="1" a="1"/>
  <c r="BH746" i="1" s="1"/>
  <c r="BH747" i="1" a="1"/>
  <c r="BH747" i="1" s="1"/>
  <c r="BH748" i="1" a="1"/>
  <c r="BH748" i="1" s="1"/>
  <c r="BH749" i="1" a="1"/>
  <c r="BH749" i="1" s="1"/>
  <c r="BH750" i="1" a="1"/>
  <c r="BH750" i="1" s="1"/>
  <c r="BH751" i="1" a="1"/>
  <c r="BH751" i="1" s="1"/>
  <c r="BH752" i="1" a="1"/>
  <c r="BH752" i="1" s="1"/>
  <c r="BH753" i="1" a="1"/>
  <c r="BH753" i="1" s="1"/>
  <c r="BH754" i="1" a="1"/>
  <c r="BH754" i="1" s="1"/>
  <c r="BH755" i="1" a="1"/>
  <c r="BH755" i="1" s="1"/>
  <c r="BH756" i="1" a="1"/>
  <c r="BH756" i="1" s="1"/>
  <c r="BH757" i="1" a="1"/>
  <c r="BH757" i="1" s="1"/>
  <c r="BH758" i="1" a="1"/>
  <c r="BH758" i="1" s="1"/>
  <c r="BH759" i="1" a="1"/>
  <c r="BH759" i="1" s="1"/>
  <c r="BH760" i="1" a="1"/>
  <c r="BH760" i="1" s="1"/>
  <c r="BH761" i="1" a="1"/>
  <c r="BH761" i="1" s="1"/>
  <c r="BH762" i="1" a="1"/>
  <c r="BH762" i="1" s="1"/>
  <c r="BH763" i="1" a="1"/>
  <c r="BH763" i="1" s="1"/>
  <c r="BH764" i="1" a="1"/>
  <c r="BH764" i="1" s="1"/>
  <c r="BH765" i="1" a="1"/>
  <c r="BH765" i="1" s="1"/>
  <c r="BH766" i="1" a="1"/>
  <c r="BH766" i="1" s="1"/>
  <c r="BH767" i="1" a="1"/>
  <c r="BH767" i="1" s="1"/>
  <c r="BH768" i="1" a="1"/>
  <c r="BH768" i="1" s="1"/>
  <c r="BH769" i="1" a="1"/>
  <c r="BH769" i="1" s="1"/>
  <c r="BH770" i="1" a="1"/>
  <c r="BH770" i="1" s="1"/>
  <c r="BH771" i="1" a="1"/>
  <c r="BH771" i="1"/>
  <c r="BH772" i="1" a="1"/>
  <c r="BH772" i="1" s="1"/>
  <c r="BH773" i="1" a="1"/>
  <c r="BH773" i="1" s="1"/>
  <c r="BH774" i="1" a="1"/>
  <c r="BH774" i="1" s="1"/>
  <c r="BH775" i="1" a="1"/>
  <c r="BH775" i="1" s="1"/>
  <c r="BH776" i="1" a="1"/>
  <c r="BH776" i="1" s="1"/>
  <c r="BH777" i="1" a="1"/>
  <c r="BH777" i="1" s="1"/>
  <c r="BH778" i="1" a="1"/>
  <c r="BH778" i="1" s="1"/>
  <c r="BH779" i="1" a="1"/>
  <c r="BH779" i="1" s="1"/>
  <c r="BH780" i="1" a="1"/>
  <c r="BH780" i="1" s="1"/>
  <c r="BH781" i="1" a="1"/>
  <c r="BH781" i="1" s="1"/>
  <c r="BH782" i="1" a="1"/>
  <c r="BH782" i="1"/>
  <c r="BH783" i="1" a="1"/>
  <c r="BH783" i="1" s="1"/>
  <c r="BH784" i="1" a="1"/>
  <c r="BH784" i="1" s="1"/>
  <c r="BH785" i="1" a="1"/>
  <c r="BH785" i="1" s="1"/>
  <c r="BH786" i="1" a="1"/>
  <c r="BH786" i="1" s="1"/>
  <c r="BH787" i="1" a="1"/>
  <c r="BH787" i="1" s="1"/>
  <c r="BH788" i="1" a="1"/>
  <c r="BH788" i="1" s="1"/>
  <c r="BH789" i="1" a="1"/>
  <c r="BH789" i="1" s="1"/>
  <c r="BH790" i="1" a="1"/>
  <c r="BH790" i="1" s="1"/>
  <c r="BH791" i="1" a="1"/>
  <c r="BH791" i="1" s="1"/>
  <c r="BH792" i="1" a="1"/>
  <c r="BH792" i="1" s="1"/>
  <c r="BH793" i="1" a="1"/>
  <c r="BH793" i="1" s="1"/>
  <c r="BH794" i="1" a="1"/>
  <c r="BH794" i="1" s="1"/>
  <c r="BH795" i="1" a="1"/>
  <c r="BH795" i="1" s="1"/>
  <c r="BH796" i="1" a="1"/>
  <c r="BH796" i="1" s="1"/>
  <c r="BH797" i="1" a="1"/>
  <c r="BH797" i="1" s="1"/>
  <c r="BH798" i="1" a="1"/>
  <c r="BH798" i="1" s="1"/>
  <c r="BH799" i="1" a="1"/>
  <c r="BH799" i="1" s="1"/>
  <c r="BH800" i="1" a="1"/>
  <c r="BH800" i="1" s="1"/>
  <c r="BH801" i="1" a="1"/>
  <c r="BH801" i="1" s="1"/>
  <c r="BH802" i="1" a="1"/>
  <c r="BH802" i="1" s="1"/>
  <c r="BH3" i="1" a="1"/>
  <c r="BH3" i="1" s="1"/>
  <c r="BG4" i="1"/>
  <c r="BG5" i="1"/>
  <c r="BG6" i="1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3" i="1"/>
  <c r="BD337" i="1"/>
  <c r="BD338" i="1"/>
  <c r="BD33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<sst xmlns="http://schemas.openxmlformats.org/spreadsheetml/2006/main" count="17130" uniqueCount="4569">
  <si>
    <t>Commenti</t>
  </si>
  <si>
    <t>Richiesta di accordo/conferma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</si>
  <si>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</si>
  <si>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</si>
  <si>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</si>
  <si>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</si>
  <si>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</si>
  <si>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</si>
  <si>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Chiusura di un topic</t>
  </si>
  <si>
    <t>Riformulazione</t>
  </si>
  <si>
    <t>Marcatura di citazione/discorso riportato</t>
  </si>
  <si>
    <t>Esemplificazione</t>
  </si>
  <si>
    <t>Marcatura dell'inferenza</t>
  </si>
  <si>
    <t>Modulazione del grado di confidenza del parlante</t>
  </si>
  <si>
    <t>Intensificazione</t>
  </si>
  <si>
    <t>Cumulo</t>
  </si>
  <si>
    <t>Macrofunzione interazionale</t>
  </si>
  <si>
    <t>Macrofunzione metatestuale</t>
  </si>
  <si>
    <t>Macrofunzione cognitiva</t>
  </si>
  <si>
    <t>Polifunzionalità</t>
  </si>
  <si>
    <t>Tipo di interazione</t>
  </si>
  <si>
    <t>Left</t>
  </si>
  <si>
    <t>KWIC</t>
  </si>
  <si>
    <t>Right</t>
  </si>
  <si>
    <t>Non SD</t>
  </si>
  <si>
    <t>SD</t>
  </si>
  <si>
    <t>Dubbî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</si>
  <si>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</si>
  <si>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</si>
  <si>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</si>
  <si>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</si>
  <si>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</si>
  <si>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</si>
  <si>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</si>
  <si>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</si>
  <si>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</si>
  <si>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</si>
  <si>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</si>
  <si>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</si>
  <si>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</si>
  <si>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</si>
  <si>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</si>
  <si>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</si>
  <si>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</si>
  <si>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</si>
  <si>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</si>
  <si>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</si>
  <si>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</si>
  <si>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Attenuazione</t>
  </si>
  <si>
    <t>Manifestazione di accordo</t>
  </si>
  <si>
    <r>
      <t xml:space="preserve">Prolettico, marca di formulazione: </t>
    </r>
    <r>
      <rPr>
        <b/>
        <i/>
        <sz val="12"/>
        <color theme="1"/>
        <rFont val="Arial"/>
        <family val="2"/>
      </rPr>
      <t>ecco</t>
    </r>
  </si>
  <si>
    <t>Gestione del topic: introduzione o ripresa di topic</t>
  </si>
  <si>
    <t>Filler, riempimento dei tempi di formulazione</t>
  </si>
  <si>
    <t>Approssimazione</t>
  </si>
  <si>
    <t>Specificazione</t>
  </si>
  <si>
    <t>Legenda</t>
  </si>
  <si>
    <t>cumulo</t>
  </si>
  <si>
    <r>
      <t xml:space="preserve">Prolettico, marca di formulazione: </t>
    </r>
    <r>
      <rPr>
        <b/>
        <i/>
        <sz val="12"/>
        <color rgb="FF000000"/>
        <rFont val="Arial"/>
        <family val="2"/>
      </rPr>
      <t>ecco</t>
    </r>
  </si>
  <si>
    <t>Presa di turno</t>
  </si>
  <si>
    <t>il SD…</t>
  </si>
  <si>
    <t xml:space="preserve">occorre insieme, in sequenza con altri? </t>
  </si>
  <si>
    <t xml:space="preserve">segnala che un/a parlante sta iniziando il proprio turno? </t>
  </si>
  <si>
    <t xml:space="preserve">serve al/la parlante per chiedere all'interlocutore/trice una conferma, di attenzione o di accordo? </t>
  </si>
  <si>
    <t xml:space="preserve">serve al/la parlante per segnalare all'interlocutore/trice che è d'accordo con quanto detto prima? </t>
  </si>
  <si>
    <t xml:space="preserve">segnala che un/a parlante segue ancora il discorso e/o incoraggia l'interlocutore/trice a continuare? </t>
  </si>
  <si>
    <t xml:space="preserve">serve ad interrompere un/a parlante per iniziare il proprio turno? </t>
  </si>
  <si>
    <t>è usato dal/la parlante per richiedere risposta all'interlocutore/trice o per chiudere il proprio turno?</t>
  </si>
  <si>
    <t>"ma direi tipo le quattro"</t>
  </si>
  <si>
    <t xml:space="preserve">Ad es. </t>
  </si>
  <si>
    <t>"allora…", "dunque…"</t>
  </si>
  <si>
    <t>"capito?", "no?"</t>
  </si>
  <si>
    <t>"mhmh", "certo"</t>
  </si>
  <si>
    <t>"sìsì", "eh direi!"</t>
  </si>
  <si>
    <t>"scusa...", "no…","però…"</t>
  </si>
  <si>
    <t>"prego", "va bene?", "no?"</t>
  </si>
  <si>
    <t>è usato dal/la parlante per riconoscere o per assicurarsi che l'altra persona è a conoscenza di una certa info?</t>
  </si>
  <si>
    <t>"sai", "non so se mi spiego"</t>
  </si>
  <si>
    <t>serve al/la parlante per richiamare l'attenzione su ciò che sta per dire?</t>
  </si>
  <si>
    <t>"senti...", "guarda..."</t>
  </si>
  <si>
    <t>serve al/la parlante come strategia di mantenimento della faccia?</t>
  </si>
  <si>
    <t>"gentilmente","scusa"</t>
  </si>
  <si>
    <t>è usato dal/la parlante per introdurre o riprendere un topic?</t>
  </si>
  <si>
    <t>"quindi…", "dopodiché..."</t>
  </si>
  <si>
    <t>è usato dal/la partante per chiudere un argomento?</t>
  </si>
  <si>
    <r>
      <t>"ok", "bene", "</t>
    </r>
    <r>
      <rPr>
        <i/>
        <sz val="12"/>
        <color theme="1"/>
        <rFont val="Arial"/>
        <family val="2"/>
      </rPr>
      <t>bon</t>
    </r>
    <r>
      <rPr>
        <sz val="12"/>
        <color theme="1"/>
        <rFont val="Arial"/>
        <family val="2"/>
      </rPr>
      <t>"</t>
    </r>
  </si>
  <si>
    <t>serve al/la parlante per anticipare una formulazione che ritiene adeguata di ciò che sta per dire?</t>
  </si>
  <si>
    <t>"ecco…", "direi…"</t>
  </si>
  <si>
    <t>viene usato per riformulare quanto appena detto, che sia per ragioni stilistiche o di precisione o di cortesia?</t>
  </si>
  <si>
    <t>"cioè nel senso...", "dico..."</t>
  </si>
  <si>
    <t>è usato per introdurre qualcosa detta da qualcun/' altro/a?</t>
  </si>
  <si>
    <t>"mi fa…", "ah…"</t>
  </si>
  <si>
    <t>introduce un esempio di qualche tipo?</t>
  </si>
  <si>
    <t>"mettiamo", "tipo"</t>
  </si>
  <si>
    <t>serve per segnalare che il/la parlante è arrivato/a a una conclusione per deduzione?</t>
  </si>
  <si>
    <t>"allora","quindi","insomma"</t>
  </si>
  <si>
    <t>"quindi direi tipo","mh diciamo"</t>
  </si>
  <si>
    <t>serve per segnalare che il/la parlante non è completamente sicuro/a di ciò che sostiene?</t>
  </si>
  <si>
    <t>"mi pare", "credo"</t>
  </si>
  <si>
    <t>è usato per rendere più vago quello che si dice?</t>
  </si>
  <si>
    <t>"diciamo","tipo"</t>
  </si>
  <si>
    <t>è usato per rendere meno vago quello che si dice?</t>
  </si>
  <si>
    <t>"proprio","letteralmente"</t>
  </si>
  <si>
    <t>serve al/la parlante per mitigare la portata di un certo termine o espressione?</t>
  </si>
  <si>
    <t>"direi","tipo"</t>
  </si>
  <si>
    <t>serve al/la parlante per intensificare un certo termine o espressione?</t>
  </si>
  <si>
    <t>"decisamente","assolutamente"</t>
  </si>
  <si>
    <t>colonna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</si>
  <si>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</si>
  <si>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</si>
  <si>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</si>
  <si>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</si>
  <si>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</si>
  <si>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</si>
  <si>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</si>
  <si>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</si>
  <si>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</si>
  <si>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</si>
  <si>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</si>
  <si>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</si>
  <si>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</si>
  <si>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</si>
  <si>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</si>
  <si>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</si>
  <si>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</si>
  <si>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</si>
  <si>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</si>
  <si>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</si>
  <si>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BA</t>
  </si>
  <si>
    <t>BB</t>
  </si>
  <si>
    <t>viene usato dal/la parlante come pausa piena per coprire i tempi di formulazione? È vuoto</t>
  </si>
  <si>
    <t>General extenders e marche di generalizzazione</t>
  </si>
  <si>
    <t>è un modo di rimandare ad una categoria più ampia che il/la parlante dà per condivisa?</t>
  </si>
  <si>
    <t>"eccetera", "capito no"</t>
  </si>
  <si>
    <t>BC</t>
  </si>
  <si>
    <t>BD</t>
  </si>
  <si>
    <t>TOA3012</t>
  </si>
  <si>
    <t>#9557</t>
  </si>
  <si>
    <t>doc#1</t>
  </si>
  <si>
    <t>https://search.corpuskiparla.it/corpus/player/player.cgi?code=TOA3012&amp;begin=200488&amp;end=202036</t>
  </si>
  <si>
    <t>TO090</t>
  </si>
  <si>
    <t>libero</t>
  </si>
  <si>
    <t>https://search.corpuskiparla.it/corpus/conversations/TOA3012.html</t>
  </si>
  <si>
    <t>https://search.corpuskiparla.it/corpus/conversations/TOA3012_jefferson.html</t>
  </si>
  <si>
    <t>21-25</t>
  </si>
  <si>
    <t>F</t>
  </si>
  <si>
    <t>TO</t>
  </si>
  <si>
    <t>stud</t>
  </si>
  <si>
    <t>no</t>
  </si>
  <si>
    <t>simmetrico</t>
  </si>
  <si>
    <t>piemonte</t>
  </si>
  <si>
    <t>conversazione libera</t>
  </si>
  <si>
    <t>laurea in corso</t>
  </si>
  <si>
    <t>classico? // solo il luogo // liceo giacomo leopardi // no la città la città // torino // torino // vabbè adesso</t>
  </si>
  <si>
    <t>sai</t>
  </si>
  <si>
    <t>anche il mio liceo // vabbè va bene // ben venga // anch'' io scriverà il mio liceo xxx // vai così non mi fai sembrare stupid</t>
  </si>
  <si>
    <t>PBB023</t>
  </si>
  <si>
    <t>#18284</t>
  </si>
  <si>
    <t>doc#2</t>
  </si>
  <si>
    <t>https://search.corpuskiparla.it/corpus/player/player.cgi?code=PBB023&amp;begin=1510907&amp;end=1516620</t>
  </si>
  <si>
    <t>BOI087</t>
  </si>
  <si>
    <t>fisso</t>
  </si>
  <si>
    <t>https://search.corpuskiparla.it/corpus/conversations/PBB023.html</t>
  </si>
  <si>
    <t>https://search.corpuskiparla.it/corpus/conversations/PBB023_jefferson.html</t>
  </si>
  <si>
    <t>51-55</t>
  </si>
  <si>
    <t>M</t>
  </si>
  <si>
    <t>BO</t>
  </si>
  <si>
    <t>uff</t>
  </si>
  <si>
    <t>sì</t>
  </si>
  <si>
    <t>asimmetrico</t>
  </si>
  <si>
    <t>emilia-romagna</t>
  </si>
  <si>
    <t>intervista semistrutturata</t>
  </si>
  <si>
    <t>dip_tec_prof</t>
  </si>
  <si>
    <t>la preparazione invernale a san luca e dovevamo fare i portici entro i quattordici minuti // io no // mamma mia // tu non</t>
  </si>
  <si>
    <t>quante volte ho vomitato io arrivato su perchè ti assicuro quattordici minuti son pochissimi // // son veramente</t>
  </si>
  <si>
    <t>PTB019</t>
  </si>
  <si>
    <t>doc#9</t>
  </si>
  <si>
    <t>https://search.corpuskiparla.it/corpus/conversations/PTB019.html</t>
  </si>
  <si>
    <t>https://search.corpuskiparla.it/corpus/conversations/PTB019_jefferson.html</t>
  </si>
  <si>
    <t>76-80</t>
  </si>
  <si>
    <t>pens</t>
  </si>
  <si>
    <t>puglia</t>
  </si>
  <si>
    <t>TOI071</t>
  </si>
  <si>
    <t>66-70</t>
  </si>
  <si>
    <t>dip_lic</t>
  </si>
  <si>
    <t>PBA004</t>
  </si>
  <si>
    <t>doc#10</t>
  </si>
  <si>
    <t>BOR018</t>
  </si>
  <si>
    <t>https://search.corpuskiparla.it/corpus/conversations/PBA004.html</t>
  </si>
  <si>
    <t>https://search.corpuskiparla.it/corpus/conversations/PBA004_jefferson.html</t>
  </si>
  <si>
    <t>calabria</t>
  </si>
  <si>
    <t>PTB002</t>
  </si>
  <si>
    <t>#84323</t>
  </si>
  <si>
    <t>doc#13</t>
  </si>
  <si>
    <t>https://search.corpuskiparla.it/corpus/player/player.cgi?code=PTB002&amp;begin=971219&amp;end=976063</t>
  </si>
  <si>
    <t>TOI017</t>
  </si>
  <si>
    <t>https://search.corpuskiparla.it/corpus/conversations/PTB002.html</t>
  </si>
  <si>
    <t>https://search.corpuskiparla.it/corpus/conversations/PTB002_jefferson.html</t>
  </si>
  <si>
    <t>over 85</t>
  </si>
  <si>
    <t>elem</t>
  </si>
  <si>
    <t>una ragazza // ti metteva no per carità // non si poteva // eh chi è che ti diceva ma magari // se non // oh ma quella eh quella</t>
  </si>
  <si>
    <t>è uscita con quello là questa ragazza perdeva tutto // eh sì poverina certo // eh niente allora niente // volevo ballare</t>
  </si>
  <si>
    <t>TOA3005</t>
  </si>
  <si>
    <t>#97544</t>
  </si>
  <si>
    <t>doc#14</t>
  </si>
  <si>
    <t>2017/18</t>
  </si>
  <si>
    <t>https://search.corpuskiparla.it/corpus/player/player.cgi?code=TOA3005&amp;begin=471513&amp;end=474393</t>
  </si>
  <si>
    <t>T0032</t>
  </si>
  <si>
    <t>https://search.corpuskiparla.it/corpus/conversations/TOA3005.html</t>
  </si>
  <si>
    <t>https://search.corpuskiparla.it/corpus/conversations/TOA3005_jefferson.html</t>
  </si>
  <si>
    <t>ieri non è stata apprezzata abbastanza // perché? // che mondo di xxx // solo venti likes // un mondo di ingoranza sarà che</t>
  </si>
  <si>
    <t>come xxx // no eh allora posso dirti una cosa? dipende anche all'' ora in cui lo metti l'' ho messa ieri alle tre e tre non è un''</t>
  </si>
  <si>
    <t>PBC005</t>
  </si>
  <si>
    <t>#108935</t>
  </si>
  <si>
    <t>doc#15</t>
  </si>
  <si>
    <t>https://search.corpuskiparla.it/corpus/player/player.cgi?code=PBC005&amp;begin=2925835&amp;end=2929205</t>
  </si>
  <si>
    <t>BOI014</t>
  </si>
  <si>
    <t>https://search.corpuskiparla.it/corpus/conversations/PBC005.html</t>
  </si>
  <si>
    <t>https://search.corpuskiparla.it/corpus/conversations/PBC005_jefferson.html</t>
  </si>
  <si>
    <t>// ma va là // sì // anche avevano // tante poi avevano una scala mobile anomala // anomala // la scala mobile lo</t>
  </si>
  <si>
    <t>che è quel meccanismo che // eh // permette a agli stipendi di adeguarsi al costo della vita // adesso e'' tale che è</t>
  </si>
  <si>
    <t>PBB033</t>
  </si>
  <si>
    <t>#112166</t>
  </si>
  <si>
    <t>doc#17</t>
  </si>
  <si>
    <t>https://search.corpuskiparla.it/corpus/player/player.cgi?code=PBB033&amp;begin=51330&amp;end=59006</t>
  </si>
  <si>
    <t>BOI119</t>
  </si>
  <si>
    <t>https://search.corpuskiparla.it/corpus/conversations/PBB033.html</t>
  </si>
  <si>
    <t>https://search.corpuskiparla.it/corpus/conversations/PBB033_jefferson.html</t>
  </si>
  <si>
    <t>71-75</t>
  </si>
  <si>
    <t>intell</t>
  </si>
  <si>
    <t>laurea</t>
  </si>
  <si>
    <t>è un p~ quartiere molto popoloso // mhmh // e invece come persone come si è trovato con gli abitanti di borgo panigale // ma</t>
  </si>
  <si>
    <t>io poi abitavo mh a casteldebole esattamente che era praticamente un paesino di borgo panigale e faceva // mhmh // ah sì</t>
  </si>
  <si>
    <t>#115057</t>
  </si>
  <si>
    <t>https://search.corpuskiparla.it/corpus/player/player.cgi?code=PBB033&amp;begin=974939&amp;end=979573</t>
  </si>
  <si>
    <t>tantissimi trenini effettivamente o bus eh // sì sì ce n''è uno che va anche a san luca // mh // e me l''han detto alcuni tu li</t>
  </si>
  <si>
    <t>oddio? ospiti stranieri anche // m''hanno detto che // sì // eh sono stati a san luca col trenino // no sicuramente è una</t>
  </si>
  <si>
    <t>#118204</t>
  </si>
  <si>
    <t>https://search.corpuskiparla.it/corpus/player/player.cgi?code=PBB033&amp;begin=2016398&amp;end=2021256</t>
  </si>
  <si>
    <t>mangiavamo dove andavano a mangiare gli artisti che facevano teatro al duse // mh sì // stavamo insieme alla notte loro</t>
  </si>
  <si>
    <t>ci siam divertiti un sacco cantavamo insieme // perché questa era la vita che facevamo a bologna // di notte eh era</t>
  </si>
  <si>
    <t>https://search.corpuskiparla.it/corpus/player/player.cgi?code=PBB033&amp;begin=2252816&amp;end=2258190</t>
  </si>
  <si>
    <t>PBB017</t>
  </si>
  <si>
    <t>doc#23</t>
  </si>
  <si>
    <t>BOI050</t>
  </si>
  <si>
    <t>https://search.corpuskiparla.it/corpus/conversations/PBB017.html</t>
  </si>
  <si>
    <t>https://search.corpuskiparla.it/corpus/conversations/PBB017_jefferson.html</t>
  </si>
  <si>
    <t>46-50</t>
  </si>
  <si>
    <t>sardegna</t>
  </si>
  <si>
    <t>PBC001</t>
  </si>
  <si>
    <t>doc#29</t>
  </si>
  <si>
    <t>BOR001</t>
  </si>
  <si>
    <t>https://search.corpuskiparla.it/corpus/conversations/PBC001.html</t>
  </si>
  <si>
    <t>https://search.corpuskiparla.it/corpus/conversations/PBC001_jefferson.html</t>
  </si>
  <si>
    <t>PBC004</t>
  </si>
  <si>
    <t>#220858</t>
  </si>
  <si>
    <t>doc#30</t>
  </si>
  <si>
    <t>https://search.corpuskiparla.it/corpus/player/player.cgi?code=PBC004&amp;begin=2599490&amp;end=2605537</t>
  </si>
  <si>
    <t>BOI011</t>
  </si>
  <si>
    <t>https://search.corpuskiparla.it/corpus/conversations/PBC004.html</t>
  </si>
  <si>
    <t>https://search.corpuskiparla.it/corpus/conversations/PBC004_jefferson.html</t>
  </si>
  <si>
    <t>pulissero magari // se li pulissero // beh più che altro è è quello di san luca eh il nostro gioiello è quello di san luca lo</t>
  </si>
  <si>
    <t>che quando vai su ne devi saltare uno eh // mhmh // ah sì // sì // cioè quando sali a un certo punto dove pare a te // ah ah // a un</t>
  </si>
  <si>
    <t>KPN030</t>
  </si>
  <si>
    <t>doc#31</t>
  </si>
  <si>
    <t>PKP142</t>
  </si>
  <si>
    <t>00:00:29.490000</t>
  </si>
  <si>
    <t>https://search.corpuskiparla.it/corpus/conversations/KPN030.html</t>
  </si>
  <si>
    <t>https://search.corpuskiparla.it/corpus/conversations/KPN030_jefferson.html</t>
  </si>
  <si>
    <t>basilicata</t>
  </si>
  <si>
    <t>pasto</t>
  </si>
  <si>
    <t>#227470</t>
  </si>
  <si>
    <t>https://search.corpuskiparla.it/corpus/player/player.cgi?code=KPN030&amp;begin=1046712&amp;end=1051474</t>
  </si>
  <si>
    <t>PKP136</t>
  </si>
  <si>
    <t>qua questo bambino si chiama stefano come me ed è nato tipo il quattro agosto // e si chiama stefano e tipo mi chiamano ah</t>
  </si>
  <si>
    <t>quanti nicola nella mia vita c''è mia zio mia cugino // x // x // l''altro giorno che si è ubriacata voleva mandarmi un video</t>
  </si>
  <si>
    <t>#229838</t>
  </si>
  <si>
    <t>https://search.corpuskiparla.it/corpus/player/player.cgi?code=KPN030&amp;begin=1616501&amp;end=1620792</t>
  </si>
  <si>
    <t>// che poi voglio dire che fa piacere parlare e è interessato so~ due cose diverse quindi // eh s~ sì // però almeno</t>
  </si>
  <si>
    <t>di non star rompendo i coglioni a nessuno cioè // eh sì // boh non ne ho idea io boh infatti io ho detto se se vuole se ci</t>
  </si>
  <si>
    <t>KPS023</t>
  </si>
  <si>
    <t>#235348</t>
  </si>
  <si>
    <t>doc#32</t>
  </si>
  <si>
    <t>https://search.corpuskiparla.it/corpus/player/player.cgi?code=KPS023&amp;begin=1572328&amp;end=1574995</t>
  </si>
  <si>
    <t>PKP130</t>
  </si>
  <si>
    <t>https://search.corpuskiparla.it/corpus/conversations/KPS023.html</t>
  </si>
  <si>
    <t>https://search.corpuskiparla.it/corpus/conversations/KPS023_jefferson.html</t>
  </si>
  <si>
    <t>31-35</t>
  </si>
  <si>
    <t>CE</t>
  </si>
  <si>
    <t>campania</t>
  </si>
  <si>
    <t>non non so // però comunque le olimpiadi delle donne islamiche è un fatto che non sapevo // poi il fatto della // la sharia</t>
  </si>
  <si>
    <t>tutte queste cose del corano // ma io avrò pagato un euro eh // mh // cioè non è che è un libro che comunque vendono ancora //</t>
  </si>
  <si>
    <t>#235525</t>
  </si>
  <si>
    <t>https://search.corpuskiparla.it/corpus/player/player.cgi?code=KPS023&amp;begin=1636551&amp;end=1640126</t>
  </si>
  <si>
    <t>// ehm // e parla di queste olimpiadi poi parla della condizione delle donne indiane // il fatto che in india il divorzio</t>
  </si>
  <si>
    <t>prima come veniva va sancito? // come? // il marito diceva tre volte voglio divorziare voglio divorziare voglio</t>
  </si>
  <si>
    <t>BOA3002</t>
  </si>
  <si>
    <t>#239246</t>
  </si>
  <si>
    <t>doc#33</t>
  </si>
  <si>
    <t>https://search.corpuskiparla.it/corpus/player/player.cgi?code=BOA3002&amp;begin=399724&amp;end=403480</t>
  </si>
  <si>
    <t>BO009</t>
  </si>
  <si>
    <t>https://search.corpuskiparla.it/corpus/conversations/BOA3002.html</t>
  </si>
  <si>
    <t>https://search.corpuskiparla.it/corpus/conversations/BOA3002_jefferson.html</t>
  </si>
  <si>
    <t>over nine thousand // e io // vegeta // no sai io cosa odio? quando // e io boh // quando tu fai un discorso un discorso e lui</t>
  </si>
  <si>
    <t>cosa ti risponde // è così // ops // eh? // io ti racconto del~ dei miei problemi esistenziali e tu mi rispondi // cioè io xx</t>
  </si>
  <si>
    <t>PBA028</t>
  </si>
  <si>
    <t>#264891</t>
  </si>
  <si>
    <t>doc#36</t>
  </si>
  <si>
    <t>https://search.corpuskiparla.it/corpus/player/player.cgi?code=PBA028&amp;begin=2698260&amp;end=2702170</t>
  </si>
  <si>
    <t>BOI111</t>
  </si>
  <si>
    <t>https://search.corpuskiparla.it/corpus/conversations/PBA028.html</t>
  </si>
  <si>
    <t>https://search.corpuskiparla.it/corpus/conversations/PBA028_jefferson.html</t>
  </si>
  <si>
    <t>dici oh bello c''è l''ufo // // io ci sono stata con la scuola ai radiotelescopi però è vero // però // però se se sei a scuola no</t>
  </si>
  <si>
    <t>devi far qualcosa poi sai // è vero // con le scuole cosa succede che c''è la scuola c''è il bambino il bambino cosa c''ha dei</t>
  </si>
  <si>
    <t>PBA025</t>
  </si>
  <si>
    <t>doc#39</t>
  </si>
  <si>
    <t>https://search.corpuskiparla.it/corpus/conversations/PBA025.html</t>
  </si>
  <si>
    <t>https://search.corpuskiparla.it/corpus/conversations/PBA025_jefferson.html</t>
  </si>
  <si>
    <t>16-20</t>
  </si>
  <si>
    <t>med</t>
  </si>
  <si>
    <t>PBC015</t>
  </si>
  <si>
    <t>doc#44</t>
  </si>
  <si>
    <t>BOI037</t>
  </si>
  <si>
    <t>https://search.corpuskiparla.it/corpus/conversations/PBC015.html</t>
  </si>
  <si>
    <t>https://search.corpuskiparla.it/corpus/conversations/PBC015_jefferson.html</t>
  </si>
  <si>
    <t>61-65</t>
  </si>
  <si>
    <t>PBA007</t>
  </si>
  <si>
    <t>doc#45</t>
  </si>
  <si>
    <t>https://search.corpuskiparla.it/corpus/conversations/PBA007.html</t>
  </si>
  <si>
    <t>https://search.corpuskiparla.it/corpus/conversations/PBA007_jefferson.html</t>
  </si>
  <si>
    <t>PTA003</t>
  </si>
  <si>
    <t>#331485</t>
  </si>
  <si>
    <t>doc#46</t>
  </si>
  <si>
    <t>https://search.corpuskiparla.it/corpus/player/player.cgi?code=PTA003&amp;begin=862040&amp;end=863582</t>
  </si>
  <si>
    <t>TOI003</t>
  </si>
  <si>
    <t>https://search.corpuskiparla.it/corpus/conversations/PTA003.html</t>
  </si>
  <si>
    <t>https://search.corpuskiparla.it/corpus/conversations/PTA003_jefferson.html</t>
  </si>
  <si>
    <t>26-30</t>
  </si>
  <si>
    <t>oper</t>
  </si>
  <si>
    <t>non sapevo chi // tu che non sai chi è lo conosci quindi immaginati quanto lui eh oggi è diventato famoso // certo // non</t>
  </si>
  <si>
    <t>che cosa fa ma ah sì // sì sì sì sì // lo conosce mia mamma che ha sessant''anni // // certo // e fa l''opinionista a italia''s got</t>
  </si>
  <si>
    <t>TOI002</t>
  </si>
  <si>
    <t>TOC1004</t>
  </si>
  <si>
    <t>#349860</t>
  </si>
  <si>
    <t>doc#47</t>
  </si>
  <si>
    <t>https://search.corpuskiparla.it/corpus/player/player.cgi?code=TOC1004&amp;begin=2303835&amp;end=2307033</t>
  </si>
  <si>
    <t>TO018</t>
  </si>
  <si>
    <t>https://search.corpuskiparla.it/corpus/conversations/TOC1004.html</t>
  </si>
  <si>
    <t>https://search.corpuskiparla.it/corpus/conversations/TOC1004_jefferson.html</t>
  </si>
  <si>
    <t>esame</t>
  </si>
  <si>
    <t>phd</t>
  </si>
  <si>
    <t>di quest~ di questa sostanza // ehmh // io non non me lo ricordo // mh // ci si è messa da sola eh su questa xx // lo so // // e</t>
  </si>
  <si>
    <t>che l'' appetito vien mangiando quindi se uno stimola una curiosità // ehmh // categoria dei grassi? // dal punto di vista</t>
  </si>
  <si>
    <t>PBC003</t>
  </si>
  <si>
    <t>doc#51</t>
  </si>
  <si>
    <t>BOI010</t>
  </si>
  <si>
    <t>https://search.corpuskiparla.it/corpus/conversations/PBC003.html</t>
  </si>
  <si>
    <t>https://search.corpuskiparla.it/corpus/conversations/PBC003_jefferson.html</t>
  </si>
  <si>
    <t>TOA3004</t>
  </si>
  <si>
    <t>doc#52</t>
  </si>
  <si>
    <t>https://search.corpuskiparla.it/corpus/player/player.cgi?code=TOA3004&amp;begin=1784790&amp;end=1786880</t>
  </si>
  <si>
    <t>===NONE===</t>
  </si>
  <si>
    <t>https://search.corpuskiparla.it/corpus/conversations/TOA3004.html</t>
  </si>
  <si>
    <t>https://search.corpuskiparla.it/corpus/conversations/TOA3004_jefferson.html</t>
  </si>
  <si>
    <t>36-40</t>
  </si>
  <si>
    <t>sicilia</t>
  </si>
  <si>
    <t>lezione</t>
  </si>
  <si>
    <t>BOA3003</t>
  </si>
  <si>
    <t>#453995</t>
  </si>
  <si>
    <t>doc#58</t>
  </si>
  <si>
    <t>https://search.corpuskiparla.it/corpus/player/player.cgi?code=BOA3003&amp;begin=497648&amp;end=504517</t>
  </si>
  <si>
    <t>BO018</t>
  </si>
  <si>
    <t>https://search.corpuskiparla.it/corpus/conversations/BOA3003.html</t>
  </si>
  <si>
    <t>https://search.corpuskiparla.it/corpus/conversations/BOA3003_jefferson.html</t>
  </si>
  <si>
    <t>toscana</t>
  </si>
  <si>
    <t>// mh // mh // io? // no // raga io c'' ho un panico con l'' olio // no // ancora? // c'' ho un rapporto con l'' olio xxx // oddio lo</t>
  </si>
  <si>
    <t>una volta lella era con l'' olio così gli scappò da una parte e mi venne tutto addosso a me mi fece il bagno con l'' olio // con</t>
  </si>
  <si>
    <t>KPC005</t>
  </si>
  <si>
    <t>doc#59</t>
  </si>
  <si>
    <t>PKP065</t>
  </si>
  <si>
    <t>https://search.corpuskiparla.it/corpus/conversations/KPC005.html</t>
  </si>
  <si>
    <t>https://search.corpuskiparla.it/corpus/conversations/KPC005_jefferson.html</t>
  </si>
  <si>
    <t>56-60</t>
  </si>
  <si>
    <t>PBC013</t>
  </si>
  <si>
    <t>#483193</t>
  </si>
  <si>
    <t>doc#61</t>
  </si>
  <si>
    <t>https://search.corpuskiparla.it/corpus/player/player.cgi?code=PBC013&amp;begin=2219181&amp;end=2227381</t>
  </si>
  <si>
    <t>BOI035</t>
  </si>
  <si>
    <t>https://search.corpuskiparla.it/corpus/conversations/PBC013.html</t>
  </si>
  <si>
    <t>https://search.corpuskiparla.it/corpus/conversations/PBC013_jefferson.html</t>
  </si>
  <si>
    <t>lì mh trenta e rotti anni // ehm // eh e anche lì oggi non è più così ma neanche lontanamente l'' @nomeazienda non so se lo</t>
  </si>
  <si>
    <t>// è nata a bologna è stata acquistata coi soldi del movimento cooperativo stava fallendo una piccola assicurazione e e</t>
  </si>
  <si>
    <t>#483799</t>
  </si>
  <si>
    <t>https://search.corpuskiparla.it/corpus/player/player.cgi?code=PBC013&amp;begin=2491510&amp;end=2497191</t>
  </si>
  <si>
    <t>uno può dire ma forse è lei // ma invece sono tanti che mi dicono guarda scordati l'' @nomeazienda che hai conosciuto tu</t>
  </si>
  <si>
    <t>// mica è più così eh ma neanche lontanamente // qualcuno lo considera anche un evoluzione positiva perché come dire sei</t>
  </si>
  <si>
    <t>PTD012</t>
  </si>
  <si>
    <t>doc#63</t>
  </si>
  <si>
    <t>TOI068</t>
  </si>
  <si>
    <t>https://search.corpuskiparla.it/corpus/conversations/PTD012.html</t>
  </si>
  <si>
    <t>https://search.corpuskiparla.it/corpus/conversations/PTD012_jefferson.html</t>
  </si>
  <si>
    <t>lazio</t>
  </si>
  <si>
    <t>PBC018</t>
  </si>
  <si>
    <t>#556646</t>
  </si>
  <si>
    <t>doc#70</t>
  </si>
  <si>
    <t>https://search.corpuskiparla.it/corpus/player/player.cgi?code=PBC018&amp;begin=2176880&amp;end=2179187</t>
  </si>
  <si>
    <t>BOI043</t>
  </si>
  <si>
    <t>https://search.corpuskiparla.it/corpus/conversations/PBC018.html</t>
  </si>
  <si>
    <t>https://search.corpuskiparla.it/corpus/conversations/PBC018_jefferson.html</t>
  </si>
  <si>
    <t>// mi sento in colpa per tutte le volte che l''ho fatto // no ma ma uno qualcuno puoi chiedere // un''informazione</t>
  </si>
  <si>
    <t>viene della gente han fatto // so che han fatto dei corsi anche di inglese agli autisti perché sai quando vengon gli</t>
  </si>
  <si>
    <t>PTB015</t>
  </si>
  <si>
    <t>doc#74</t>
  </si>
  <si>
    <t>TOI051</t>
  </si>
  <si>
    <t>https://search.corpuskiparla.it/corpus/conversations/PTB015.html</t>
  </si>
  <si>
    <t>https://search.corpuskiparla.it/corpus/conversations/PTB015_jefferson.html</t>
  </si>
  <si>
    <t>81-85</t>
  </si>
  <si>
    <t>#586749</t>
  </si>
  <si>
    <t>https://search.corpuskiparla.it/corpus/player/player.cgi?code=PTB015&amp;begin=2959415&amp;end=2963125</t>
  </si>
  <si>
    <t>// guarda l''altro giorno a casel borgone come ha grandinato // ah momento // non farmi fare tante cose perché altrimenti</t>
  </si>
  <si>
    <t>una per volta // sì scusa // // // sì scusa scusa // che bella xxx // non ho messo neanche gli occhiali // grazie mille // più o</t>
  </si>
  <si>
    <t>KPS016</t>
  </si>
  <si>
    <t>doc#76</t>
  </si>
  <si>
    <t>PKP085</t>
  </si>
  <si>
    <t>https://search.corpuskiparla.it/corpus/conversations/KPS016.html</t>
  </si>
  <si>
    <t>https://search.corpuskiparla.it/corpus/conversations/KPS016_jefferson.html</t>
  </si>
  <si>
    <t>CA</t>
  </si>
  <si>
    <t>KPC003</t>
  </si>
  <si>
    <t>doc#81</t>
  </si>
  <si>
    <t>PKP024</t>
  </si>
  <si>
    <t>https://search.corpuskiparla.it/corpus/conversations/KPC003.html</t>
  </si>
  <si>
    <t>https://search.corpuskiparla.it/corpus/conversations/KPC003_jefferson.html</t>
  </si>
  <si>
    <t>LU</t>
  </si>
  <si>
    <t>TOA3002</t>
  </si>
  <si>
    <t>doc#82</t>
  </si>
  <si>
    <t>TO029</t>
  </si>
  <si>
    <t>https://search.corpuskiparla.it/corpus/conversations/TOA3002.html</t>
  </si>
  <si>
    <t>https://search.corpuskiparla.it/corpus/conversations/TOA3002_jefferson.html</t>
  </si>
  <si>
    <t>PTA005</t>
  </si>
  <si>
    <t>doc#86</t>
  </si>
  <si>
    <t>TOI005</t>
  </si>
  <si>
    <t>https://search.corpuskiparla.it/corpus/conversations/PTA005.html</t>
  </si>
  <si>
    <t>https://search.corpuskiparla.it/corpus/conversations/PTA005_jefferson.html</t>
  </si>
  <si>
    <t>#679428</t>
  </si>
  <si>
    <t>https://search.corpuskiparla.it/corpus/player/player.cgi?code=PTA005&amp;begin=2962506&amp;end=2964610</t>
  </si>
  <si>
    <t>non siamo mai andati? // voglio andare coi vecchi al cinema // ma perché tu vuoi andare sempre nei soliti posti // però</t>
  </si>
  <si>
    <t>perché va avanti? guarda // ecco l''altro giorno dicevo // quest''estate // l''eliseo lo vedo chiudere che fa vacanza // sì</t>
  </si>
  <si>
    <t>#683386</t>
  </si>
  <si>
    <t>https://search.corpuskiparla.it/corpus/player/player.cgi?code=PTA005&amp;begin=4181158&amp;end=4184743</t>
  </si>
  <si>
    <t>eh ma tanti // perché molti non sanno realmente in giro che cosa c''è // tanto ti richiudi alle nove di sera sei a casa // tu</t>
  </si>
  <si>
    <t>cosa c''è guarda fidatevi lì in giro non è così bello // superata una certa ora // e il problema è c''è veramente veramente</t>
  </si>
  <si>
    <t>KPS004</t>
  </si>
  <si>
    <t>#738674</t>
  </si>
  <si>
    <t>doc#92</t>
  </si>
  <si>
    <t>https://search.corpuskiparla.it/corpus/player/player.cgi?code=KPS004&amp;begin=4783756&amp;end=4785734</t>
  </si>
  <si>
    <t>PKP034</t>
  </si>
  <si>
    <t>https://search.corpuskiparla.it/corpus/conversations/KPS004.html</t>
  </si>
  <si>
    <t>https://search.corpuskiparla.it/corpus/conversations/KPS004_jefferson.html</t>
  </si>
  <si>
    <t>LE</t>
  </si>
  <si>
    <t>tante cose su google c''è questo su questo no mamma mia xx // ma posso fare un caffè? // certo xx // stai bella seduta // ma non</t>
  </si>
  <si>
    <t>come devo fare io // ma l''ho già fatto per due giorni di seguito // stai // cosa // no puoi stare bella seduta // no perchè io</t>
  </si>
  <si>
    <t>PTD016</t>
  </si>
  <si>
    <t>#764453</t>
  </si>
  <si>
    <t>doc#96</t>
  </si>
  <si>
    <t>https://search.corpuskiparla.it/corpus/player/player.cgi?code=PTD016&amp;begin=992030&amp;end=995520</t>
  </si>
  <si>
    <t>TOI076</t>
  </si>
  <si>
    <t>https://search.corpuskiparla.it/corpus/conversations/PTD016.html</t>
  </si>
  <si>
    <t>https://search.corpuskiparla.it/corpus/conversations/PTD016_jefferson.html</t>
  </si>
  <si>
    <t>disocc</t>
  </si>
  <si>
    <t>quando faccio un pezzo cioè un quadro metto già i gancetti dietro // oltre che esserci anche il mio timbro il sigillo cioè</t>
  </si>
  <si>
    <t>che è dritto // sì // ma è matta // ah okay // lei l''ha completamente girata // e l''ha appoggiata // e l''ha appoggiata gli ho</t>
  </si>
  <si>
    <t>#764512</t>
  </si>
  <si>
    <t>https://search.corpuskiparla.it/corpus/player/player.cgi?code=PTD016&amp;begin=1003920&amp;end=1007926</t>
  </si>
  <si>
    <t>ma guarda x è al contrario // eh ma è lì come interpreti il lavoro // sì ma ci sono i due gancetti se c~ c''è il gancetto in alto</t>
  </si>
  <si>
    <t>che devi appenderlo // ah beh quello sì // quello è vero era a prova di scemo proprio // eh // però lei poi completamen~ //</t>
  </si>
  <si>
    <t>PBB025</t>
  </si>
  <si>
    <t>#781846</t>
  </si>
  <si>
    <t>doc#97</t>
  </si>
  <si>
    <t>https://search.corpuskiparla.it/corpus/player/player.cgi?code=PBB025&amp;begin=2623280&amp;end=2630523</t>
  </si>
  <si>
    <t>BOI092</t>
  </si>
  <si>
    <t>https://search.corpuskiparla.it/corpus/conversations/PBB025.html</t>
  </si>
  <si>
    <t>https://search.corpuskiparla.it/corpus/conversations/PBB025_jefferson.html</t>
  </si>
  <si>
    <t>artig</t>
  </si>
  <si>
    <t>così mi piace molto // e poi cos''è che guar~ // ah adesso c''è quella del ballo // che fanno i balli di gruppo quindi io</t>
  </si>
  <si>
    <t>facendo balli di gruppo guardo anche quella lì e joy e rina non so com''è che si chiama // okay // però ehm // quindi vabbè</t>
  </si>
  <si>
    <t>KPN025</t>
  </si>
  <si>
    <t>doc#102</t>
  </si>
  <si>
    <t>PKP107</t>
  </si>
  <si>
    <t>https://search.corpuskiparla.it/corpus/conversations/KPN025.html</t>
  </si>
  <si>
    <t>https://search.corpuskiparla.it/corpus/conversations/KPN025_jefferson.html</t>
  </si>
  <si>
    <t>FC</t>
  </si>
  <si>
    <t>PKP108</t>
  </si>
  <si>
    <t>marche</t>
  </si>
  <si>
    <t>PBA013</t>
  </si>
  <si>
    <t>doc#104</t>
  </si>
  <si>
    <t>BOI074</t>
  </si>
  <si>
    <t>https://search.corpuskiparla.it/corpus/conversations/PBA013.html</t>
  </si>
  <si>
    <t>https://search.corpuskiparla.it/corpus/conversations/PBA013_jefferson.html</t>
  </si>
  <si>
    <t>BOA3004</t>
  </si>
  <si>
    <t>#851819</t>
  </si>
  <si>
    <t>doc#107</t>
  </si>
  <si>
    <t>https://search.corpuskiparla.it/corpus/player/player.cgi?code=BOA3004&amp;begin=1610452&amp;end=1612268</t>
  </si>
  <si>
    <t>BO046</t>
  </si>
  <si>
    <t>https://search.corpuskiparla.it/corpus/conversations/BOA3004.html</t>
  </si>
  <si>
    <t>https://search.corpuskiparla.it/corpus/conversations/BOA3004_jefferson.html</t>
  </si>
  <si>
    <t>trentino-alto-adige</t>
  </si>
  <si>
    <t>di laurearmi in tempo // come minimo voglio sforare se tutto va bene di sei mesi // ma lo fai il tirocinio? // boh //</t>
  </si>
  <si>
    <t>che m'' han detto che c'' è pochissima richiesta? // davvero? // ne prendono un sacco di // ma io l'' avevo pensato per fare il</t>
  </si>
  <si>
    <t>#855598</t>
  </si>
  <si>
    <t>https://search.corpuskiparla.it/corpus/player/player.cgi?code=BOA3004&amp;begin=2859129&amp;end=2861987</t>
  </si>
  <si>
    <t>BO048</t>
  </si>
  <si>
    <t>anche a loro? // non credo sai? // anch'' io voglio firmare // anche tu firmi // allora mi devi compilare questa // ma lo</t>
  </si>
  <si>
    <t>che io non ho fatto ancora firma''? // eh ma se le hai fatte al lodo non ha neanche sens~ c'' è // al lodo se lui non è dell''</t>
  </si>
  <si>
    <t>BO021</t>
  </si>
  <si>
    <t>PTB007</t>
  </si>
  <si>
    <t>#870767</t>
  </si>
  <si>
    <t>doc#108</t>
  </si>
  <si>
    <t>https://search.corpuskiparla.it/corpus/player/player.cgi?code=PTB007&amp;begin=3396159&amp;end=3397459</t>
  </si>
  <si>
    <t>TOR004</t>
  </si>
  <si>
    <t>https://search.corpuskiparla.it/corpus/conversations/PTB007.html</t>
  </si>
  <si>
    <t>https://search.corpuskiparla.it/corpus/conversations/PTB007_jefferson.html</t>
  </si>
  <si>
    <t>andavi in vacanza senza i tuoi genitori // che ne so organizzavano magari delle vacanze per i lavoratori // delle f~</t>
  </si>
  <si>
    <t>c''erano // sì sì sì // in colonia // in colonia? // colonia ma non mi piaceva per niente // né a me neanche mia sorella sara //</t>
  </si>
  <si>
    <t>KPN028</t>
  </si>
  <si>
    <t>doc#119</t>
  </si>
  <si>
    <t>PKP119</t>
  </si>
  <si>
    <t>https://search.corpuskiparla.it/corpus/conversations/KPN028.html</t>
  </si>
  <si>
    <t>https://search.corpuskiparla.it/corpus/conversations/KPN028_jefferson.html</t>
  </si>
  <si>
    <t>comm</t>
  </si>
  <si>
    <t>PBA006</t>
  </si>
  <si>
    <t>#981826</t>
  </si>
  <si>
    <t>doc#122</t>
  </si>
  <si>
    <t>https://search.corpuskiparla.it/corpus/player/player.cgi?code=PBA006&amp;begin=1608735&amp;end=1614935</t>
  </si>
  <si>
    <t>BOI064</t>
  </si>
  <si>
    <t>https://search.corpuskiparla.it/corpus/conversations/PBA006.html</t>
  </si>
  <si>
    <t>https://search.corpuskiparla.it/corpus/conversations/PBA006_jefferson.html</t>
  </si>
  <si>
    <t>ragazzo // mh mi fece vedere questa cosa e io rimasi abbastanza male eh una cosa anche no interessante di bologna è che non</t>
  </si>
  <si>
    <t>mai quello che succede l''altra sera // l''altro giorno scusami stavo scendendo in centro appunto xx per andare a</t>
  </si>
  <si>
    <t>BOD2005</t>
  </si>
  <si>
    <t>doc#126</t>
  </si>
  <si>
    <t>https://search.corpuskiparla.it/corpus/conversations/BOD2005.html</t>
  </si>
  <si>
    <t>https://search.corpuskiparla.it/corpus/conversations/BOD2005_jefferson.html</t>
  </si>
  <si>
    <t>KPN006</t>
  </si>
  <si>
    <t>#1012714</t>
  </si>
  <si>
    <t>doc#127</t>
  </si>
  <si>
    <t>https://search.corpuskiparla.it/corpus/player/player.cgi?code=KPN006&amp;begin=1414169&amp;end=1415889</t>
  </si>
  <si>
    <t>PKP019</t>
  </si>
  <si>
    <t>https://search.corpuskiparla.it/corpus/conversations/KPN006.html</t>
  </si>
  <si>
    <t>https://search.corpuskiparla.it/corpus/conversations/KPN006_jefferson.html</t>
  </si>
  <si>
    <t>un pensierino sarà contenta // è buona buona buona gente // sai cosa diceva li~ // poi tua mamma ( mamma əh era pesa) //</t>
  </si>
  <si>
    <t>cosa diceva paolo? // paolo quando sapeva che doveva morire? // eh // io non voglio morire ma voglio vivere // soccia</t>
  </si>
  <si>
    <t>#1013790</t>
  </si>
  <si>
    <t>https://search.corpuskiparla.it/corpus/player/player.cgi?code=KPN006&amp;begin=1674788&amp;end=1676458</t>
  </si>
  <si>
    <t>ne basta un goccio al mese e sei caciucco eh // sì esatto // quelle ne metti poco eh è forte // allora // poi // tu eh ehm che ne</t>
  </si>
  <si>
    <t>più di noi // ehm puoi sempre informarti // no no lo so chiedevo se // cosa // se è l''ama~ // comunque uno al al al al mese con un</t>
  </si>
  <si>
    <t>PTD001</t>
  </si>
  <si>
    <t>#1045250</t>
  </si>
  <si>
    <t>doc#132</t>
  </si>
  <si>
    <t>https://search.corpuskiparla.it/corpus/player/player.cgi?code=PTD001&amp;begin=1284049&amp;end=1288637</t>
  </si>
  <si>
    <t>TOI020</t>
  </si>
  <si>
    <t>https://search.corpuskiparla.it/corpus/conversations/PTD001.html</t>
  </si>
  <si>
    <t>https://search.corpuskiparla.it/corpus/conversations/PTD001_jefferson.html</t>
  </si>
  <si>
    <t>stressante comunque // poi come mi dicevano guarda che anche a torino è la stessa cosa perchè tanto nel quartiere // però</t>
  </si>
  <si>
    <t>nel quartiere io l''ho sempre vissuta così se tu non dai confidenza // e ti dicono qualcosa // affari loro // e te la dicono</t>
  </si>
  <si>
    <t>PBB022</t>
  </si>
  <si>
    <t>#1058230</t>
  </si>
  <si>
    <t>doc#134</t>
  </si>
  <si>
    <t>https://search.corpuskiparla.it/corpus/player/player.cgi?code=PBB022&amp;begin=1037400&amp;end=1041800</t>
  </si>
  <si>
    <t>BOR024</t>
  </si>
  <si>
    <t>https://search.corpuskiparla.it/corpus/conversations/PBB022.html</t>
  </si>
  <si>
    <t>https://search.corpuskiparla.it/corpus/conversations/PBB022_jefferson.html</t>
  </si>
  <si>
    <t>quella dei tortellini insomma // ah ah // mhmh eh anch''io sì anch''io preferisco cioè da piccola poi magari avevo la cosa</t>
  </si>
  <si>
    <t>verde mhmh // quindi quindi sono sempre stata anch'' io pasta bianca però vabbè buona anche in pasta verde in realtà // //</t>
  </si>
  <si>
    <t>KPC002</t>
  </si>
  <si>
    <t>#1069838</t>
  </si>
  <si>
    <t>doc#135</t>
  </si>
  <si>
    <t>https://search.corpuskiparla.it/corpus/player/player.cgi?code=KPC002&amp;begin=776726&amp;end=782020</t>
  </si>
  <si>
    <t>PKP094</t>
  </si>
  <si>
    <t>https://search.corpuskiparla.it/corpus/conversations/KPC002.html</t>
  </si>
  <si>
    <t>https://search.corpuskiparla.it/corpus/conversations/KPC002_jefferson.html</t>
  </si>
  <si>
    <t>// tramite loro // no l''unico potrebbe essere jakob ~ste cose si fa difficili ho pensato subito guarda chiamo jakob e</t>
  </si>
  <si>
    <t>cosa gli dico // eh infatti // ma scusa eh gli chiedi mi mi dai mi dai l''indirizzo della posta a parte no se c''è già ma chi se ne</t>
  </si>
  <si>
    <t>PKP056</t>
  </si>
  <si>
    <t>#1076184</t>
  </si>
  <si>
    <t>https://search.corpuskiparla.it/corpus/player/player.cgi?code=KPC002&amp;begin=2500607&amp;end=2503797</t>
  </si>
  <si>
    <t>PKP093</t>
  </si>
  <si>
    <t>vedi un cantiere // manca poco eh // vede ve~ sessantacinque settanta insomma // // vedi vedi questo cantiere // e non</t>
  </si>
  <si>
    <t>perché ma senti una una certa attrazione dici // no // no quello guarda // no // per non si sa quale motivo dici ma perché</t>
  </si>
  <si>
    <t>PTA001</t>
  </si>
  <si>
    <t>doc#136</t>
  </si>
  <si>
    <t>https://search.corpuskiparla.it/corpus/conversations/PTA001.html</t>
  </si>
  <si>
    <t>https://search.corpuskiparla.it/corpus/conversations/PTA001_jefferson.html</t>
  </si>
  <si>
    <t>#1085947</t>
  </si>
  <si>
    <t>https://search.corpuskiparla.it/corpus/player/player.cgi?code=PTA001&amp;begin=2513500&amp;end=2516601</t>
  </si>
  <si>
    <t>TOR002</t>
  </si>
  <si>
    <t>che // che cacchio ne so che ha l''autoscuola che mette qualcosa // mhmh // eh però // poca roba // no // eh // anche perchè</t>
  </si>
  <si>
    <t>cosa? il discorso delle sponsorizzazioni è che // molto spesso una volta // c''era un rientro in nero sostanzialmente //</t>
  </si>
  <si>
    <t>BOA3015</t>
  </si>
  <si>
    <t>#1135833</t>
  </si>
  <si>
    <t>doc#145</t>
  </si>
  <si>
    <t>https://search.corpuskiparla.it/corpus/player/player.cgi?code=BOA3015&amp;begin=387723&amp;end=391330</t>
  </si>
  <si>
    <t>BO086</t>
  </si>
  <si>
    <t>https://search.corpuskiparla.it/corpus/conversations/BOA3015.html</t>
  </si>
  <si>
    <t>https://search.corpuskiparla.it/corpus/conversations/BOA3015_jefferson.html</t>
  </si>
  <si>
    <t>estero</t>
  </si>
  <si>
    <t>ancora un bel po'' per cui // no // ah okay okay // vabbè // no non importa // e no chi mi ha stufata di bologna un po'' forse sono</t>
  </si>
  <si>
    <t>// eh cioè non è che mi ha stufata di bologna però le le compagnie no? con cui io uscivo tanto l'' anno scorso i miei amici</t>
  </si>
  <si>
    <t>PBC024</t>
  </si>
  <si>
    <t>doc#155</t>
  </si>
  <si>
    <t>BOI103</t>
  </si>
  <si>
    <t>https://search.corpuskiparla.it/corpus/conversations/PBC024.html</t>
  </si>
  <si>
    <t>https://search.corpuskiparla.it/corpus/conversations/PBC024_jefferson.html</t>
  </si>
  <si>
    <t>BOA3010</t>
  </si>
  <si>
    <t>#1242245</t>
  </si>
  <si>
    <t>doc#159</t>
  </si>
  <si>
    <t>https://search.corpuskiparla.it/corpus/player/player.cgi?code=BOA3010&amp;begin=1867536&amp;end=1869218</t>
  </si>
  <si>
    <t>BO096</t>
  </si>
  <si>
    <t>https://search.corpuskiparla.it/corpus/conversations/BOA3010.html</t>
  </si>
  <si>
    <t>https://search.corpuskiparla.it/corpus/conversations/BOA3010_jefferson.html</t>
  </si>
  <si>
    <t>anche gentili io non capisco // // la prima hai preso // la prima // educati xxx // e niente e loro xxx // eh? // e niente e lo</t>
  </si>
  <si>
    <t>xxx // e poi frank da quando è nel comitato dei genitori ha attirato l'' attenzione di xxx // liam // voleva andare in una</t>
  </si>
  <si>
    <t>PTD017</t>
  </si>
  <si>
    <t>doc#160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</si>
  <si>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</si>
  <si>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</si>
  <si>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</si>
  <si>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</si>
  <si>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KPS005</t>
  </si>
  <si>
    <t>#1263569</t>
  </si>
  <si>
    <t>doc#162</t>
  </si>
  <si>
    <t>https://search.corpuskiparla.it/corpus/player/player.cgi?code=KPS005&amp;begin=513130&amp;end=518450</t>
  </si>
  <si>
    <t>PKP004</t>
  </si>
  <si>
    <t>https://search.corpuskiparla.it/corpus/conversations/KPS005.html</t>
  </si>
  <si>
    <t>https://search.corpuskiparla.it/corpus/conversations/KPS005_jefferson.html</t>
  </si>
  <si>
    <t>MT</t>
  </si>
  <si>
    <t>zi~ o piangi piangi perché devi piangere // mi passi il pane? // piangeva così senza motivo // almeno // vabbè // ah sai</t>
  </si>
  <si>
    <t>chi era? quello in che mi sa che hai conosciuto tu alle medie che si chiama kristian? // chi è kristian? // non kristian il</t>
  </si>
  <si>
    <t>KPN001</t>
  </si>
  <si>
    <t>#1285194</t>
  </si>
  <si>
    <t>doc#166</t>
  </si>
  <si>
    <t>https://search.corpuskiparla.it/corpus/player/player.cgi?code=KPN001&amp;begin=657077&amp;end=664353</t>
  </si>
  <si>
    <t>PKP135</t>
  </si>
  <si>
    <t>https://search.corpuskiparla.it/corpus/conversations/KPN001.html</t>
  </si>
  <si>
    <t>https://search.corpuskiparla.it/corpus/conversations/KPN001_jefferson.html</t>
  </si>
  <si>
    <t>abruzzo</t>
  </si>
  <si>
    <t>qui a bologna // ehm // un ristorante italiano? di roba italiana // sì sì // poi è un ristorante stellato quindi</t>
  </si>
  <si>
    <t>ti fa anche delle robe particolari abbinamenti ah poi la presentazione cioè claudia mi ha detto // è proprio</t>
  </si>
  <si>
    <t>#1289337</t>
  </si>
  <si>
    <t>https://search.corpuskiparla.it/corpus/player/player.cgi?code=KPN001&amp;begin=2008534&amp;end=2009895</t>
  </si>
  <si>
    <t>dal primo al ventesimo // mh // ehm // però dopo due vanno avanti // ma tutti gli episodi sono gli stessi ovviamente? // eh</t>
  </si>
  <si>
    <t>che non ricordo? // no secondo me son gare divers~ cioè magari ci sono gli stessi soggetti perchè ovviamente se</t>
  </si>
  <si>
    <t>KPN021</t>
  </si>
  <si>
    <t>#1329141</t>
  </si>
  <si>
    <t>doc#172</t>
  </si>
  <si>
    <t>https://search.corpuskiparla.it/corpus/player/player.cgi?code=KPN021&amp;begin=769989&amp;end=770859</t>
  </si>
  <si>
    <t>PKP073</t>
  </si>
  <si>
    <t>https://search.corpuskiparla.it/corpus/conversations/KPN021.html</t>
  </si>
  <si>
    <t>https://search.corpuskiparla.it/corpus/conversations/KPN021_jefferson.html</t>
  </si>
  <si>
    <t>TV</t>
  </si>
  <si>
    <t>veneto</t>
  </si>
  <si>
    <t>// la mamma ha preso i limoni // sì qua no // aprite // era un coso di biscotti però // no per~ sul tavolo // roberto // ma tu non</t>
  </si>
  <si>
    <t>che io sono // dovete leggere cos''è però // vandalo // vandalo // va~ vandalo sei un vandalo // // questa ha tipo arancia e</t>
  </si>
  <si>
    <t>PTB023</t>
  </si>
  <si>
    <t>doc#175</t>
  </si>
  <si>
    <t>TOR007</t>
  </si>
  <si>
    <t>https://search.corpuskiparla.it/corpus/conversations/PTB023.html</t>
  </si>
  <si>
    <t>https://search.corpuskiparla.it/corpus/conversations/PTB023_jefferson.html</t>
  </si>
  <si>
    <t>lombardia</t>
  </si>
  <si>
    <t>#1355228</t>
  </si>
  <si>
    <t>https://search.corpuskiparla.it/corpus/player/player.cgi?code=PTB023&amp;begin=1500368&amp;end=1501500</t>
  </si>
  <si>
    <t>non lo fa // cioè semplicemente non lo fa // lo fate teatro l''anno prossimo? // eh // non lasciate sola claudia // boh // ma</t>
  </si>
  <si>
    <t>che // può essere // cioè lara secondo me // lo fa // però non ne abbiamo parlato // cioè lo do un po'' per scontato perché era</t>
  </si>
  <si>
    <t>KPN017</t>
  </si>
  <si>
    <t>doc#179</t>
  </si>
  <si>
    <t>PKP061</t>
  </si>
  <si>
    <t>https://search.corpuskiparla.it/corpus/conversations/KPN017.html</t>
  </si>
  <si>
    <t>https://search.corpuskiparla.it/corpus/conversations/KPN017_jefferson.html</t>
  </si>
  <si>
    <t>RE</t>
  </si>
  <si>
    <t>non-qualif</t>
  </si>
  <si>
    <t>BOD1001</t>
  </si>
  <si>
    <t>#1416995</t>
  </si>
  <si>
    <t>doc#184</t>
  </si>
  <si>
    <t>https://search.corpuskiparla.it/corpus/player/player.cgi?code=BOD1001&amp;begin=4083577&amp;end=4084801</t>
  </si>
  <si>
    <t>BO013</t>
  </si>
  <si>
    <t>https://search.corpuskiparla.it/corpus/conversations/BOD1001.html</t>
  </si>
  <si>
    <t>https://search.corpuskiparla.it/corpus/conversations/BOD1001_jefferson.html</t>
  </si>
  <si>
    <t>// assettati michilino // in questa prima lezioe e in altre che verranno appresso ti parlerò degli spartani // tu lo</t>
  </si>
  <si>
    <t>chi erano no? // erano i fascisti al tempo dei greci // eh? anche al tempo dei greci c'' erano i fascisti ed erano gli</t>
  </si>
  <si>
    <t>#1418176</t>
  </si>
  <si>
    <t>https://search.corpuskiparla.it/corpus/player/player.cgi?code=BOD1001&amp;begin=4508680&amp;end=4517073</t>
  </si>
  <si>
    <t>di rispondere pari a pari // alle offese del fituso comunista eh? non lo va nemmeno a dire al babbo non dice al babbo babbo</t>
  </si>
  <si>
    <t>che quello ha fatto così così? no ormai dice è una cosa che posso fare per conto mio non ho bisogno // di essere difeso da</t>
  </si>
  <si>
    <t>KPS001</t>
  </si>
  <si>
    <t>#1434231</t>
  </si>
  <si>
    <t>doc#187</t>
  </si>
  <si>
    <t>https://search.corpuskiparla.it/corpus/player/player.cgi?code=KPS001&amp;begin=1265795&amp;end=1266156</t>
  </si>
  <si>
    <t>PKP102</t>
  </si>
  <si>
    <t>https://search.corpuskiparla.it/corpus/conversations/KPS001.html</t>
  </si>
  <si>
    <t>https://search.corpuskiparla.it/corpus/conversations/KPS001_jefferson.html</t>
  </si>
  <si>
    <t>CZ</t>
  </si>
  <si>
    <t>tec</t>
  </si>
  <si>
    <t>ma allora forse manco col pure l''anno sc~ neanche quest''estate prima // e chi erano? // ah io l''altra volta ho visto //</t>
  </si>
  <si>
    <t>// e ho visto loro // con la carrozzina // senza né mh non c''e~ erano solo mh // e loro due con una carrozzina // x anch''io // ma</t>
  </si>
  <si>
    <t>#1445543</t>
  </si>
  <si>
    <t>https://search.corpuskiparla.it/corpus/player/player.cgi?code=KPS001&amp;begin=4093366&amp;end=4096396</t>
  </si>
  <si>
    <t>PKP103</t>
  </si>
  <si>
    <t>fino a mo allora ha senso che hanno fatto un concerto a gerusalemme // a matusalemme // il volo // mamma // mamma il bolo</t>
  </si>
  <si>
    <t>cos''è il bolo mamma? // bolo alimentare // come // il bolo // x x la saliva tipo // sì sì quello che facevano con la sali~ // #</t>
  </si>
  <si>
    <t>KPC011</t>
  </si>
  <si>
    <t>#1458670</t>
  </si>
  <si>
    <t>doc#189</t>
  </si>
  <si>
    <t>https://search.corpuskiparla.it/corpus/player/player.cgi?code=KPC011&amp;begin=2267825&amp;end=2271530</t>
  </si>
  <si>
    <t>PKP147</t>
  </si>
  <si>
    <t>https://search.corpuskiparla.it/corpus/conversations/KPC011.html</t>
  </si>
  <si>
    <t>https://search.corpuskiparla.it/corpus/conversations/KPC011_jefferson.html</t>
  </si>
  <si>
    <t>umbria</t>
  </si>
  <si>
    <t>// eh già // eh // sì xx // dopo lo fanno // gliene portano lì // sì // li comprano // ma ora il porcino è quello secco x // no ma</t>
  </si>
  <si>
    <t>che nonno l~ li comprano anche surgelati i porcini adesso // sì li comprano anche surgelati // cioè freschi secondo me è</t>
  </si>
  <si>
    <t>KPS024</t>
  </si>
  <si>
    <t>doc#190</t>
  </si>
  <si>
    <t>PKP131</t>
  </si>
  <si>
    <t>https://search.corpuskiparla.it/corpus/conversations/KPS024.html</t>
  </si>
  <si>
    <t>https://search.corpuskiparla.it/corpus/conversations/KPS024_jefferson.html</t>
  </si>
  <si>
    <t>KPS018</t>
  </si>
  <si>
    <t>doc#191</t>
  </si>
  <si>
    <t>PKP137</t>
  </si>
  <si>
    <t>https://search.corpuskiparla.it/corpus/conversations/KPS018.html</t>
  </si>
  <si>
    <t>https://search.corpuskiparla.it/corpus/conversations/KPS018_jefferson.html</t>
  </si>
  <si>
    <t>KPN010</t>
  </si>
  <si>
    <t>doc#194</t>
  </si>
  <si>
    <t>https://search.corpuskiparla.it/corpus/conversations/KPN010.html</t>
  </si>
  <si>
    <t>https://search.corpuskiparla.it/corpus/conversations/KPN010_jefferson.html</t>
  </si>
  <si>
    <t>KPN014</t>
  </si>
  <si>
    <t>doc#195</t>
  </si>
  <si>
    <t>https://search.corpuskiparla.it/corpus/conversations/KPN014.html</t>
  </si>
  <si>
    <t>https://search.corpuskiparla.it/corpus/conversations/KPN014_jefferson.html</t>
  </si>
  <si>
    <t>KPN026</t>
  </si>
  <si>
    <t>doc#198</t>
  </si>
  <si>
    <t>PKP113</t>
  </si>
  <si>
    <t>https://search.corpuskiparla.it/corpus/conversations/KPN026.html</t>
  </si>
  <si>
    <t>https://search.corpuskiparla.it/corpus/conversations/KPN026_jefferson.html</t>
  </si>
  <si>
    <t>KPN002</t>
  </si>
  <si>
    <t>#1551657</t>
  </si>
  <si>
    <t>doc#202</t>
  </si>
  <si>
    <t>https://search.corpuskiparla.it/corpus/player/player.cgi?code=KPN002&amp;begin=1274900&amp;end=1289135</t>
  </si>
  <si>
    <t>PKP038</t>
  </si>
  <si>
    <t>https://search.corpuskiparla.it/corpus/conversations/KPN002.html</t>
  </si>
  <si>
    <t>https://search.corpuskiparla.it/corpus/conversations/KPN002_jefferson.html</t>
  </si>
  <si>
    <t>VE</t>
  </si>
  <si>
    <t>// sono come i cani // e tu devi stare tranquilla // settimana frizzantina // devi stare tranquillo e devi far vedere che</t>
  </si>
  <si>
    <t>le cose e se e se non sai cosa devi fare ti f~ prepari un discorso fai il gioco della presentazione fai tutto pero devi</t>
  </si>
  <si>
    <t>KPN016</t>
  </si>
  <si>
    <t>doc#203</t>
  </si>
  <si>
    <t>https://search.corpuskiparla.it/corpus/conversations/KPN016.html</t>
  </si>
  <si>
    <t>https://search.corpuskiparla.it/corpus/conversations/KPN016_jefferson.html</t>
  </si>
  <si>
    <t>KPN029</t>
  </si>
  <si>
    <t>doc#204</t>
  </si>
  <si>
    <t>PKP140</t>
  </si>
  <si>
    <t>https://search.corpuskiparla.it/corpus/conversations/KPN029.html</t>
  </si>
  <si>
    <t>https://search.corpuskiparla.it/corpus/conversations/KPN029_jefferson.html</t>
  </si>
  <si>
    <t>KPS017</t>
  </si>
  <si>
    <t>#1601154</t>
  </si>
  <si>
    <t>doc#210</t>
  </si>
  <si>
    <t>https://search.corpuskiparla.it/corpus/player/player.cgi?code=KPS017&amp;begin=424590&amp;end=425150</t>
  </si>
  <si>
    <t>PKP086</t>
  </si>
  <si>
    <t>https://search.corpuskiparla.it/corpus/conversations/KPS017.html</t>
  </si>
  <si>
    <t>https://search.corpuskiparla.it/corpus/conversations/KPS017_jefferson.html</t>
  </si>
  <si>
    <t>marcello gli aveva detto ma tu sei pazzo // certo // io come zio marcello // ma capisco uno che // // fa un po'' di // che poi //</t>
  </si>
  <si>
    <t>ti // ti fa rabbia // l''ha dato dopo mi pare una diecina di giorni // il professore // ha confermato quello // ha capito gli</t>
  </si>
  <si>
    <t>#1604651</t>
  </si>
  <si>
    <t>https://search.corpuskiparla.it/corpus/player/player.cgi?code=KPS017&amp;begin=1176230&amp;end=1177510</t>
  </si>
  <si>
    <t>PKP083</t>
  </si>
  <si>
    <t>perché apprendi molto bene // cioè e~ e~ // ciò che ciò che vedi // allora mi piace sperimentare // però // okay? // non</t>
  </si>
  <si>
    <t>fare le cotolette // perchè? // le cotolette // che poi la cotoletta è la cosa più stupida che ci sia // // le bruci sempre //</t>
  </si>
  <si>
    <t>#1604703</t>
  </si>
  <si>
    <t>https://search.corpuskiparla.it/corpus/player/player.cgi?code=KPS017&amp;begin=1184490&amp;end=1187300</t>
  </si>
  <si>
    <t>// // le bruci sempre // // le brucia sempr~ // sì invece* // non è ver~ // sì // la cotoletta è la cosa più semplice da fa~ //</t>
  </si>
  <si>
    <t>che la cotoletta alla milanese non si fa come la facciamo solitamente? // ma // ma // mah la carne impanata dici? // non le</t>
  </si>
  <si>
    <t>PBB010</t>
  </si>
  <si>
    <t>doc#211</t>
  </si>
  <si>
    <t>BOI030</t>
  </si>
  <si>
    <t>https://search.corpuskiparla.it/corpus/conversations/PBB010.html</t>
  </si>
  <si>
    <t>https://search.corpuskiparla.it/corpus/conversations/PBB010_jefferson.html</t>
  </si>
  <si>
    <t>KPN020</t>
  </si>
  <si>
    <t>doc#213</t>
  </si>
  <si>
    <t>PKP030</t>
  </si>
  <si>
    <t>https://search.corpuskiparla.it/corpus/conversations/KPN020.html</t>
  </si>
  <si>
    <t>https://search.corpuskiparla.it/corpus/conversations/KPN020_jefferson.html</t>
  </si>
  <si>
    <t>PTA015</t>
  </si>
  <si>
    <t>#1635516</t>
  </si>
  <si>
    <t>doc#215</t>
  </si>
  <si>
    <t>https://search.corpuskiparla.it/corpus/player/player.cgi?code=PTA015&amp;begin=700690&amp;end=707340</t>
  </si>
  <si>
    <t>TOR006</t>
  </si>
  <si>
    <t>https://search.corpuskiparla.it/corpus/conversations/PTA015.html</t>
  </si>
  <si>
    <t>https://search.corpuskiparla.it/corpus/conversations/PTA015_jefferson.html</t>
  </si>
  <si>
    <t>mi piace // // okay però tu in questo mh // questa band suoni il basso ma tu studi chitarra quindi quanti strumenti stai s~</t>
  </si>
  <si>
    <t>suonare tu in realtà // eh // // ma in realtà quei due // sto bene porca troia // // okay // // ehmh // eh e sì poi suonicchio un</t>
  </si>
  <si>
    <t>KPS003</t>
  </si>
  <si>
    <t>doc#218</t>
  </si>
  <si>
    <t>PKP010</t>
  </si>
  <si>
    <t>https://search.corpuskiparla.it/corpus/conversations/KPS003.html</t>
  </si>
  <si>
    <t>https://search.corpuskiparla.it/corpus/conversations/KPS003_jefferson.html</t>
  </si>
  <si>
    <t>PE</t>
  </si>
  <si>
    <t>KPS021</t>
  </si>
  <si>
    <t>doc#221</t>
  </si>
  <si>
    <t>PKP126</t>
  </si>
  <si>
    <t>https://search.corpuskiparla.it/corpus/conversations/KPS021.html</t>
  </si>
  <si>
    <t>https://search.corpuskiparla.it/corpus/conversations/KPS021_jefferson.html</t>
  </si>
  <si>
    <t>PTD021</t>
  </si>
  <si>
    <t>doc#222</t>
  </si>
  <si>
    <t>https://search.corpuskiparla.it/corpus/conversations/PTD021.html</t>
  </si>
  <si>
    <t>https://search.corpuskiparla.it/corpus/conversations/PTD021_jefferson.html</t>
  </si>
  <si>
    <t>TO085</t>
  </si>
  <si>
    <t>PBC002</t>
  </si>
  <si>
    <t>doc#230</t>
  </si>
  <si>
    <t>https://search.corpuskiparla.it/corpus/conversations/PBC002.html</t>
  </si>
  <si>
    <t>https://search.corpuskiparla.it/corpus/conversations/PBC002_jefferson.html</t>
  </si>
  <si>
    <t>PBC022</t>
  </si>
  <si>
    <t>#1801413</t>
  </si>
  <si>
    <t>doc#240</t>
  </si>
  <si>
    <t>https://search.corpuskiparla.it/corpus/player/player.cgi?code=PBC022&amp;begin=1350788&amp;end=1353233</t>
  </si>
  <si>
    <t>BOR014</t>
  </si>
  <si>
    <t>https://search.corpuskiparla.it/corpus/conversations/PBC022.html</t>
  </si>
  <si>
    <t>https://search.corpuskiparla.it/corpus/conversations/PBC022_jefferson.html</t>
  </si>
  <si>
    <t>un fratello o qualcuno // sì sì sì // di // o di xxxx non // di spagnola? // mh moh n''affar del genere // eh ma sai le epidemie</t>
  </si>
  <si>
    <t>quanto ce ne son state? // eh // il vaiolo magari sai quante ce ne son state appunto // mh // mh // comunque è così // prosegue</t>
  </si>
  <si>
    <t>TOA3008</t>
  </si>
  <si>
    <t>doc#241</t>
  </si>
  <si>
    <t>TO052</t>
  </si>
  <si>
    <t>https://search.corpuskiparla.it/corpus/conversations/TOA3008.html</t>
  </si>
  <si>
    <t>https://search.corpuskiparla.it/corpus/conversations/TOA3008_jefferson.html</t>
  </si>
  <si>
    <t>PBC012</t>
  </si>
  <si>
    <t>doc#245</t>
  </si>
  <si>
    <t>BOI033</t>
  </si>
  <si>
    <t>https://search.corpuskiparla.it/corpus/conversations/PBC012.html</t>
  </si>
  <si>
    <t>https://search.corpuskiparla.it/corpus/conversations/PBC012_jefferson.html</t>
  </si>
  <si>
    <t>#1839411</t>
  </si>
  <si>
    <t>https://search.corpuskiparla.it/corpus/player/player.cgi?code=PBC012&amp;begin=2607651&amp;end=2609998</t>
  </si>
  <si>
    <t>i marmini che si stanno distruggendo // mhmh // hanno fatto una ristrutturazione // ci son problemi difficoltosi però</t>
  </si>
  <si>
    <t>// mhmh // io sai i portici secondo me sono tenuti bene poi comunque son vissuti // mh // tu gino che ne pensi? // tu gino che</t>
  </si>
  <si>
    <t>#1840308</t>
  </si>
  <si>
    <t>https://search.corpuskiparla.it/corpus/player/player.cgi?code=PBC012&amp;begin=2878058&amp;end=2880047</t>
  </si>
  <si>
    <t>altro dialetto // mh // sì perché poi bologna // eh però // però capito molto più diciamo // però non eran tutti uguali // ah</t>
  </si>
  <si>
    <t>io io poi non è che so // mi dispiace di non poterti aiutare molto perché mh // parlare molto // no no figurati // sono come</t>
  </si>
  <si>
    <t>TOA3003</t>
  </si>
  <si>
    <t>#1844038</t>
  </si>
  <si>
    <t>doc#246</t>
  </si>
  <si>
    <t>https://search.corpuskiparla.it/corpus/player/player.cgi?code=TOA3003&amp;begin=1214986&amp;end=1220597</t>
  </si>
  <si>
    <t>TO037</t>
  </si>
  <si>
    <t>https://search.corpuskiparla.it/corpus/conversations/TOA3003.html</t>
  </si>
  <si>
    <t>https://search.corpuskiparla.it/corpus/conversations/TOA3003_jefferson.html</t>
  </si>
  <si>
    <t>po'' guercio // // un po'' guercio ma carino // e poi le aveva preso tutto l'' excursus su di come sono belli gli uomini con le xx</t>
  </si>
  <si>
    <t>gli abiti grigi // // orrendo // xx coi problemi oh // e però lui c'' aveva questo // intanto che mi parlava faceva così // sì</t>
  </si>
  <si>
    <t>PBC025</t>
  </si>
  <si>
    <t>doc#248</t>
  </si>
  <si>
    <t>BOI112</t>
  </si>
  <si>
    <t>https://search.corpuskiparla.it/corpus/conversations/PBC025.html</t>
  </si>
  <si>
    <t>https://search.corpuskiparla.it/corpus/conversations/PBC025_jefferson.html</t>
  </si>
  <si>
    <t>KPN005</t>
  </si>
  <si>
    <t>#1875423</t>
  </si>
  <si>
    <t>doc#252</t>
  </si>
  <si>
    <t>https://search.corpuskiparla.it/corpus/player/player.cgi?code=KPN005&amp;begin=10740&amp;end=13605</t>
  </si>
  <si>
    <t>PKP018</t>
  </si>
  <si>
    <t>https://search.corpuskiparla.it/corpus/conversations/KPN005.html</t>
  </si>
  <si>
    <t>https://search.corpuskiparla.it/corpus/conversations/KPN005_jefferson.html</t>
  </si>
  <si>
    <t>un pochettino qua dentro // ok // tanto sono // rimangono scongelati // sì sì // ne vuoi anche fuori? // secondo me sì dai //</t>
  </si>
  <si>
    <t>cosa perché qui c''era un''altra candela che si è sciolta // e adesso ques~ // grazie mille // ok // qua c''è l''hummus // ah ci</t>
  </si>
  <si>
    <t>#1877413</t>
  </si>
  <si>
    <t>https://search.corpuskiparla.it/corpus/player/player.cgi?code=KPN005&amp;begin=665716&amp;end=668566</t>
  </si>
  <si>
    <t>che loro stavano salendo in macchina e andando via dico scusa scusa // ah noi abbiamo la macchina piccola passiamo</t>
  </si>
  <si>
    <t>// oddio // io mi son messa a ridere // se tu hai una persona che ti risponde con tono arrogante // scusa eh // gli ridi li</t>
  </si>
  <si>
    <t>TOD2013</t>
  </si>
  <si>
    <t>doc#262</t>
  </si>
  <si>
    <t>https://search.corpuskiparla.it/corpus/conversations/TOD2013.html</t>
  </si>
  <si>
    <t>https://search.corpuskiparla.it/corpus/conversations/TOD2013_jefferson.html</t>
  </si>
  <si>
    <t>TOD2007</t>
  </si>
  <si>
    <t>#1998007</t>
  </si>
  <si>
    <t>doc#269</t>
  </si>
  <si>
    <t>https://search.corpuskiparla.it/corpus/player/player.cgi?code=TOD2007&amp;begin=1503117&amp;end=1507047</t>
  </si>
  <si>
    <t>TO043</t>
  </si>
  <si>
    <t>https://search.corpuskiparla.it/corpus/conversations/TOD2007.html</t>
  </si>
  <si>
    <t>https://search.corpuskiparla.it/corpus/conversations/TOD2007_jefferson.html</t>
  </si>
  <si>
    <t>e vedi proprio il lusso la tranquillità // oppure // una zona che secondo me // è bella è la collina // di torino // sì //</t>
  </si>
  <si>
    <t>avere una villetta lì come dire non sarebbe male // eh // eh // soldi anche // solde quelli quelli servono per tutto per</t>
  </si>
  <si>
    <t>KPS006</t>
  </si>
  <si>
    <t>doc#274</t>
  </si>
  <si>
    <t>https://search.corpuskiparla.it/corpus/conversations/KPS006.html</t>
  </si>
  <si>
    <t>https://search.corpuskiparla.it/corpus/conversations/KPS006_jefferson.html</t>
  </si>
  <si>
    <t>#2028457</t>
  </si>
  <si>
    <t>https://search.corpuskiparla.it/corpus/player/player.cgi?code=KPS006&amp;begin=1768004&amp;end=1768891</t>
  </si>
  <si>
    <t>PKP001</t>
  </si>
  <si>
    <t>// // devo lavare i capelli oggi // mh // pure io // sai che devo fare io? // tu ti devi lava~ devi lavare la test all''asino //</t>
  </si>
  <si>
    <t>che devo fare io? // cosa devi fare? // // devi andare a fare un giro? // sì // // mo vediamo // cosa? // se si dorme // un</t>
  </si>
  <si>
    <t>PBB005</t>
  </si>
  <si>
    <t>doc#275</t>
  </si>
  <si>
    <t>BOI015</t>
  </si>
  <si>
    <t>https://search.corpuskiparla.it/corpus/conversations/PBB005.html</t>
  </si>
  <si>
    <t>https://search.corpuskiparla.it/corpus/conversations/PBB005_jefferson.html</t>
  </si>
  <si>
    <t>#2035079</t>
  </si>
  <si>
    <t>https://search.corpuskiparla.it/corpus/player/player.cgi?code=PBB005&amp;begin=1489578&amp;end=1495367</t>
  </si>
  <si>
    <t>facevi gli esami anche all''università queste cose xxx // no ma mia mamma lei ci andò una volta da giovane coi tacchi // e</t>
  </si>
  <si>
    <t>così tutta la corona il rosario questa cosa qui per questa penitenza di non so che cosa // vabbè insomma // ed era rimasta</t>
  </si>
  <si>
    <t>BOD2009</t>
  </si>
  <si>
    <t>doc#276</t>
  </si>
  <si>
    <t>BO056</t>
  </si>
  <si>
    <t>https://search.corpuskiparla.it/corpus/conversations/BOD2009.html</t>
  </si>
  <si>
    <t>https://search.corpuskiparla.it/corpus/conversations/BOD2009_jefferson.html</t>
  </si>
  <si>
    <t>#2045503</t>
  </si>
  <si>
    <t>https://search.corpuskiparla.it/corpus/player/player.cgi?code=BOD2009&amp;begin=1181732&amp;end=1184153</t>
  </si>
  <si>
    <t>no ha ragione ha ragione // xx avvocata non mi ricordo // per carità perché anche secondo me è giu~ no avvocatessa sarà //</t>
  </si>
  <si>
    <t>che penso avvocata? no però è brutto // no avvocatess~ sindaca magari // sì però erano eh non mi ricordo comunque // vabbè</t>
  </si>
  <si>
    <t>PTD004</t>
  </si>
  <si>
    <t>#2086032</t>
  </si>
  <si>
    <t>doc#280</t>
  </si>
  <si>
    <t>https://search.corpuskiparla.it/corpus/player/player.cgi?code=PTD004&amp;begin=4047697&amp;end=4049358</t>
  </si>
  <si>
    <t>TOI043</t>
  </si>
  <si>
    <t>https://search.corpuskiparla.it/corpus/conversations/PTD004.html</t>
  </si>
  <si>
    <t>https://search.corpuskiparla.it/corpus/conversations/PTD004_jefferson.html</t>
  </si>
  <si>
    <t>// perché non sembra ma ci troviamo un coso // e dice che comunque // funziona // si erano spostati eh era servito // perché</t>
  </si>
  <si>
    <t>cominci a vederti // era s~ // certo // tutto una bestioni così che va su e giù // poi il peggio io non lo sapevo i cani // eh //</t>
  </si>
  <si>
    <t>PTA006</t>
  </si>
  <si>
    <t>doc#285</t>
  </si>
  <si>
    <t>TOI006</t>
  </si>
  <si>
    <t>https://search.corpuskiparla.it/corpus/conversations/PTA006.html</t>
  </si>
  <si>
    <t>https://search.corpuskiparla.it/corpus/conversations/PTA006_jefferson.html</t>
  </si>
  <si>
    <t>TOA3011</t>
  </si>
  <si>
    <t>#2159801</t>
  </si>
  <si>
    <t>doc#292</t>
  </si>
  <si>
    <t>https://search.corpuskiparla.it/corpus/player/player.cgi?code=TOA3011&amp;begin=870123&amp;end=872507</t>
  </si>
  <si>
    <t>https://search.corpuskiparla.it/corpus/conversations/TOA3011.html</t>
  </si>
  <si>
    <t>https://search.corpuskiparla.it/corpus/conversations/TOA3011_jefferson.html</t>
  </si>
  <si>
    <t>è vero già ne parlavamo // a piedi pure guarda che noi abbiamo cercato di fare il giro della puglia a piedi // eh ma a piedi</t>
  </si>
  <si>
    <t>cosa? perdi tempo // ma tanto noi lo perdiamo xx // ma io io noi avevamo con gli scout avevam provato a fare un po'' di giri in</t>
  </si>
  <si>
    <t>TOA3009</t>
  </si>
  <si>
    <t>doc#294</t>
  </si>
  <si>
    <t>https://search.corpuskiparla.it/corpus/conversations/TOA3009.html</t>
  </si>
  <si>
    <t>https://search.corpuskiparla.it/corpus/conversations/TOA3009_jefferson.html</t>
  </si>
  <si>
    <t>PTD006</t>
  </si>
  <si>
    <t>#2253010</t>
  </si>
  <si>
    <t>doc#307</t>
  </si>
  <si>
    <t>https://search.corpuskiparla.it/corpus/player/player.cgi?code=PTD006&amp;begin=2487183&amp;end=2490224</t>
  </si>
  <si>
    <t>https://search.corpuskiparla.it/corpus/conversations/PTD006.html</t>
  </si>
  <si>
    <t>https://search.corpuskiparla.it/corpus/conversations/PTD006_jefferson.html</t>
  </si>
  <si>
    <t>di mia nonna e ibrahimovic? // no // allora praticamente c''era la festa all''asilo // quando marina era era piccola // e</t>
  </si>
  <si>
    <t>che pavel abita nedved abita qui vicino a noi no // si // e praticamente lui eh ha portato // ibrahimovic eh all''asilo alla</t>
  </si>
  <si>
    <t>PBA019</t>
  </si>
  <si>
    <t>doc#308</t>
  </si>
  <si>
    <t>BOI084</t>
  </si>
  <si>
    <t>https://search.corpuskiparla.it/corpus/conversations/PBA019.html</t>
  </si>
  <si>
    <t>https://search.corpuskiparla.it/corpus/conversations/PBA019_jefferson.html</t>
  </si>
  <si>
    <t>#2262350</t>
  </si>
  <si>
    <t>https://search.corpuskiparla.it/corpus/player/player.cgi?code=PBA019&amp;begin=1275310&amp;end=1277559</t>
  </si>
  <si>
    <t>mezza giornata libera la passavo a letto a casa perché non m''andava di fa'' niente // cioè magari guadagni di più e non</t>
  </si>
  <si>
    <t>manco come spenderlo // vabbè // quello è quello era un mio problema eh perché tanto i miei colleghi facevano after</t>
  </si>
  <si>
    <t>TOD2005</t>
  </si>
  <si>
    <t>doc#312</t>
  </si>
  <si>
    <t>TO041</t>
  </si>
  <si>
    <t>https://search.corpuskiparla.it/corpus/conversations/TOD2005.html</t>
  </si>
  <si>
    <t>https://search.corpuskiparla.it/corpus/conversations/TOD2005_jefferson.html</t>
  </si>
  <si>
    <t>KPN007</t>
  </si>
  <si>
    <t>#2306099</t>
  </si>
  <si>
    <t>doc#316</t>
  </si>
  <si>
    <t>https://search.corpuskiparla.it/corpus/player/player.cgi?code=KPN007&amp;begin=383226&amp;end=385443</t>
  </si>
  <si>
    <t>PKP022</t>
  </si>
  <si>
    <t>https://search.corpuskiparla.it/corpus/conversations/KPN007.html</t>
  </si>
  <si>
    <t>https://search.corpuskiparla.it/corpus/conversations/KPN007_jefferson.html</t>
  </si>
  <si>
    <t>ha de~ // l''arrosto // ha detto che erano xx tutti e quattro // no xx sì // beh non è tanto mezza bottiglia // ah no veramente</t>
  </si>
  <si>
    <t>lei cos''ha detto // in quattro eh // l''abbiamo quasi finita // eh beh // si beve anche in due una bottiglia // ila // mamma</t>
  </si>
  <si>
    <t>#2310766</t>
  </si>
  <si>
    <t>https://search.corpuskiparla.it/corpus/player/player.cgi?code=KPN007&amp;begin=1832839&amp;end=1835200</t>
  </si>
  <si>
    <t>solo eh // di questo whi~ // no anche assaggiare // la gu~ la guardiamo // la guardiamo // anche assaggiare // che è mh //</t>
  </si>
  <si>
    <t>quanti anni deve avere come minimo? // diciotto // no no diciotto che è stata aperta // aperta ah // ma molto prima che era</t>
  </si>
  <si>
    <t>KPN024</t>
  </si>
  <si>
    <t>doc#317</t>
  </si>
  <si>
    <t>PKP080</t>
  </si>
  <si>
    <t>https://search.corpuskiparla.it/corpus/conversations/KPN024.html</t>
  </si>
  <si>
    <t>https://search.corpuskiparla.it/corpus/conversations/KPN024_jefferson.html</t>
  </si>
  <si>
    <t>PTB009</t>
  </si>
  <si>
    <t>doc#0</t>
  </si>
  <si>
    <t>TOI035</t>
  </si>
  <si>
    <t>https://search.corpuskiparla.it/corpus/conversations/PTB009.html</t>
  </si>
  <si>
    <t>https://search.corpuskiparla.it/corpus/conversations/PTB009_jefferson.html</t>
  </si>
  <si>
    <t>#6385</t>
  </si>
  <si>
    <t>https://search.corpuskiparla.it/corpus/player/player.cgi?code=PTB009&amp;begin=2027669&amp;end=2031054</t>
  </si>
  <si>
    <t>ambienti piccoli ci sono tante cose che non vanno bene // per cui io no // non ti piaceva? // no // troppo chiuso? // c''era</t>
  </si>
  <si>
    <t>c''è sempre una cricca che comanda in tutte le // in tutte le comunità chiuse // eh che si fa un po'' gli affari suoi eh // okay</t>
  </si>
  <si>
    <t>#6536</t>
  </si>
  <si>
    <t>https://search.corpuskiparla.it/corpus/player/player.cgi?code=PTB009&amp;begin=2073858&amp;end=2077753</t>
  </si>
  <si>
    <t>// // ha f~ fatto un po'' la turista adesso // eh sì eh sì siamo andati al parco san vito che è bellissimo // vabbè // forse non</t>
  </si>
  <si>
    <t>neanche che esiste è sotto la chiesetta di san vito // xxx no beh // su per la collina dai è vicino qui si sale su dalla strada</t>
  </si>
  <si>
    <t>#8767</t>
  </si>
  <si>
    <t>https://search.corpuskiparla.it/corpus/player/player.cgi?code=PTB009&amp;begin=2799369&amp;end=2803502</t>
  </si>
  <si>
    <t>l''altro giorno // va bene io ti ringrazio tantissimo per il tempo // grazie mille davvero // a me è piaciuto raccontare</t>
  </si>
  <si>
    <t>ai vecchi piace raccontare la propria vita // ah perfetto a me anche quindi siamo a posto // // // grazie ancora // ed è</t>
  </si>
  <si>
    <t>#18380</t>
  </si>
  <si>
    <t>https://search.corpuskiparla.it/corpus/player/player.cgi?code=PBB023&amp;begin=1536540&amp;end=1541140</t>
  </si>
  <si>
    <t>BOR026</t>
  </si>
  <si>
    <t>è che io a san luca ci fossi andato per altri motivi se non quelli ecco // no certo certo sì anch''io mi riferivo al panorama</t>
  </si>
  <si>
    <t>al // io al panorama e poi io ho anche mangiato su a san luca // sì? // sì ogni tanto andavo anche io andavo su da vito da vito //</t>
  </si>
  <si>
    <t>BOI088</t>
  </si>
  <si>
    <t>#18560</t>
  </si>
  <si>
    <t>https://search.corpuskiparla.it/corpus/player/player.cgi?code=PBB023&amp;begin=1576300&amp;end=1579710</t>
  </si>
  <si>
    <t>altre zone d''italia non lo so // o è una cosa generazionale un po'' secondo voi // sai che è una bella domanda e non // non lo so</t>
  </si>
  <si>
    <t>che non lo so sinceramente no // non // sai che non ti saprei dare una risposta // non lo so // non lo so di sicuro noi ad</t>
  </si>
  <si>
    <t>#18570</t>
  </si>
  <si>
    <t>https://search.corpuskiparla.it/corpus/player/player.cgi?code=PBB023&amp;begin=1580540&amp;end=1582094</t>
  </si>
  <si>
    <t>generazionale un po'' secondo voi // sai che è una bella domanda e non // non lo so sai che non lo so sinceramente no // non //</t>
  </si>
  <si>
    <t>che non ti saprei dare una risposta // non lo so // non lo so di sicuro noi ad esempio ci siamo sposati in comune ma per scelta</t>
  </si>
  <si>
    <t>PTA012</t>
  </si>
  <si>
    <t>#20922</t>
  </si>
  <si>
    <t>doc#3</t>
  </si>
  <si>
    <t>https://search.corpuskiparla.it/corpus/player/player.cgi?code=PTA012&amp;begin=215300&amp;end=217270</t>
  </si>
  <si>
    <t>TOI014</t>
  </si>
  <si>
    <t>https://search.corpuskiparla.it/corpus/conversations/PTA012.html</t>
  </si>
  <si>
    <t>https://search.corpuskiparla.it/corpus/conversations/PTA012_jefferson.html</t>
  </si>
  <si>
    <t>meglio? // sarebbe più semplice? // mh // sicuramente il turismo aiuta molto // perché quando tu hai un negozio // e</t>
  </si>
  <si>
    <t>gestirlo bene // mh molt~ mh diciamo che ci sono molte più possibilità // che la gente entri dia un''occhiata che si</t>
  </si>
  <si>
    <t>PBB012</t>
  </si>
  <si>
    <t>#35277</t>
  </si>
  <si>
    <t>doc#5</t>
  </si>
  <si>
    <t>https://search.corpuskiparla.it/corpus/player/player.cgi?code=PBB012&amp;begin=1794965&amp;end=1797665</t>
  </si>
  <si>
    <t>BOI039</t>
  </si>
  <si>
    <t>https://search.corpuskiparla.it/corpus/conversations/PBB012.html</t>
  </si>
  <si>
    <t>https://search.corpuskiparla.it/corpus/conversations/PBB012_jefferson.html</t>
  </si>
  <si>
    <t>per esempio delle elementari bombicci // su queste vicende così all''inizio era un po'' titubante poi invece // dopo</t>
  </si>
  <si>
    <t>trovandosi davanti ai bambini // mh // e i bambini aveva era uscivano entusiasti // // // eh lorenzo lorenzo // e allora</t>
  </si>
  <si>
    <t>TOD2016</t>
  </si>
  <si>
    <t>#44833</t>
  </si>
  <si>
    <t>doc#8</t>
  </si>
  <si>
    <t>https://search.corpuskiparla.it/corpus/player/player.cgi?code=TOD2016&amp;begin=385783&amp;end=389689</t>
  </si>
  <si>
    <t>TO080</t>
  </si>
  <si>
    <t>https://search.corpuskiparla.it/corpus/conversations/TOD2016.html</t>
  </si>
  <si>
    <t>https://search.corpuskiparla.it/corpus/conversations/TOD2016_jefferson.html</t>
  </si>
  <si>
    <t>più o meno piccole paesini // confinanti uno con l'' altro // ogni // attaccati proprio // attaccate // okay // e quindi non</t>
  </si>
  <si>
    <t>dove inizia uno e finisce un altro a meno che non vedi un cartello // certo // quindi noi effettivamente siamo in</t>
  </si>
  <si>
    <t>#57504</t>
  </si>
  <si>
    <t>https://search.corpuskiparla.it/corpus/player/player.cgi?code=PTB019&amp;begin=2417887&amp;end=2421585</t>
  </si>
  <si>
    <t>// devi andare fuori torino per esem~ c''è il mio consuocero che ogni tanto parla // e qualcu~ uno lo senti parlare ma poi</t>
  </si>
  <si>
    <t>// noneh // se poi parlano stretto non lo capisco proprio // se parlano stretto non lo capisco // e i vostri figli lo</t>
  </si>
  <si>
    <t>#60806</t>
  </si>
  <si>
    <t>https://search.corpuskiparla.it/corpus/player/player.cgi?code=PBA004&amp;begin=852760&amp;end=855400</t>
  </si>
  <si>
    <t>io non lo so anche il fatto ci sono alcuni che puliscono dopo e non lo sopporto pulisci subito // eh // oppure eh però che ne</t>
  </si>
  <si>
    <t>alcuni // non so si seccano non puoi neanche tanto insistere // con alcuni // ma p~ poi cioè dipende // e anche // dipende</t>
  </si>
  <si>
    <t>BOI060</t>
  </si>
  <si>
    <t>#65487</t>
  </si>
  <si>
    <t>https://search.corpuskiparla.it/corpus/player/player.cgi?code=PBA004&amp;begin=2358220&amp;end=2359230</t>
  </si>
  <si>
    <t>dietro casa nella parte di dietro che è in discesa // e // a forza di girare girare girare girare ovviamente // dopo un po''</t>
  </si>
  <si>
    <t>// prendi il ritmo ed inizi ad andar // mh // e niente vado giù per questa discesa ehm sinceramente non ricordo il motivo</t>
  </si>
  <si>
    <t>KPS008</t>
  </si>
  <si>
    <t>#79325</t>
  </si>
  <si>
    <t>doc#12</t>
  </si>
  <si>
    <t>https://search.corpuskiparla.it/corpus/player/player.cgi?code=KPS008&amp;begin=265665&amp;end=268395</t>
  </si>
  <si>
    <t>PKP040</t>
  </si>
  <si>
    <t>https://search.corpuskiparla.it/corpus/conversations/KPS008.html</t>
  </si>
  <si>
    <t>https://search.corpuskiparla.it/corpus/conversations/KPS008_jefferson.html</t>
  </si>
  <si>
    <t>BR</t>
  </si>
  <si>
    <t>un un pino una cosa del genere // # ho detto ad antonello antonè mo che nasce tua nipote na foresta chiantu // // ieri</t>
  </si>
  <si>
    <t>perchè li ho riconosciuti alla conad? // mh // perchè ho visto uno che guardava un cane che era entrato alla conad stava</t>
  </si>
  <si>
    <t>#81219</t>
  </si>
  <si>
    <t>https://search.corpuskiparla.it/corpus/player/player.cgi?code=KPS008&amp;begin=1447719&amp;end=1449369</t>
  </si>
  <si>
    <t>// di tasse? // vuoi? // no // mo stanno quelli là // xx xx // che assumeranno // e metteranno in cassa integrazione lo</t>
  </si>
  <si>
    <t>no? // be non credo che si possa fare // be eppure molte // mo col centro dell''impiego si vede subito eh // alcuni li hanno</t>
  </si>
  <si>
    <t>#96868</t>
  </si>
  <si>
    <t>https://search.corpuskiparla.it/corpus/player/player.cgi?code=TOA3005&amp;begin=185748&amp;end=190573</t>
  </si>
  <si>
    <t>// ha detto che era venuta male perché l'' uovo si era rappreso // quindi // no va bene ma è anche gusto personale eh // sì ma</t>
  </si>
  <si>
    <t>come sono i romani pretendono di sapere loro come si fa tutto quindi // mi fido anche // lei poi fa una pasta eccezionale //</t>
  </si>
  <si>
    <t>#97981</t>
  </si>
  <si>
    <t>https://search.corpuskiparla.it/corpus/player/player.cgi?code=TOA3005&amp;begin=723494&amp;end=724844</t>
  </si>
  <si>
    <t>un cesso a pedali così? // no // se no sarei innamorato della xxx // cesso a pedali // a fattona // brutto cesso a pedali //</t>
  </si>
  <si>
    <t>di cosa sto parlando? // no // è un video bellissimo // uma thurman e donatella versace // e niente ha vinto la lega è troppo</t>
  </si>
  <si>
    <t>https://search.corpuskiparla.it/corpus/player/player.cgi?code=TOA3005&amp;begin=1387581&amp;end=1392308</t>
  </si>
  <si>
    <t>TO030</t>
  </si>
  <si>
    <t>liguria</t>
  </si>
  <si>
    <t>#99654</t>
  </si>
  <si>
    <t>è una roba che io non sopporto // cioè questa è gente che non ha niente di meglio da fare // e sai che ha ragione mia madre</t>
  </si>
  <si>
    <t>cosa dice mia madre dice che ''sti qua allo stadio probabilmente vanno // non stanno neanche a guardar la partita passan</t>
  </si>
  <si>
    <t>#103883</t>
  </si>
  <si>
    <t>https://search.corpuskiparla.it/corpus/player/player.cgi?code=PBC005&amp;begin=1085140&amp;end=1092560</t>
  </si>
  <si>
    <t>// da usare come // eh // mh laboratorio // per fare le riparazioni // a a a alle ai ai mobili delle persone che abitavano lì</t>
  </si>
  <si>
    <t>nessuno aveva soldi aveva quelle poche cose // e mio padre si è inventato il mestiere di falegname // perchè non e poi</t>
  </si>
  <si>
    <t>PTA002</t>
  </si>
  <si>
    <t>#111743</t>
  </si>
  <si>
    <t>doc#16</t>
  </si>
  <si>
    <t>https://search.corpuskiparla.it/corpus/player/player.cgi?code=PTA002&amp;begin=248320&amp;end=254960</t>
  </si>
  <si>
    <t>https://search.corpuskiparla.it/corpus/conversations/PTA002.html</t>
  </si>
  <si>
    <t>https://search.corpuskiparla.it/corpus/conversations/PTA002_jefferson.html</t>
  </si>
  <si>
    <t>o bocciarla // okay // okay va bene // però non sei di quelli che fanno le perizie per l''assicurazione // mh magari //</t>
  </si>
  <si>
    <t>quanta corruzione sai quanti soldi no purtroppo no hanno provato a corrompermi anche lì però // // // // // avevi era più</t>
  </si>
  <si>
    <t>#111746</t>
  </si>
  <si>
    <t>// okay va bene // però non sei di quelli che fanno le perizie per l''assicurazione // mh magari // sai quanta corruzione</t>
  </si>
  <si>
    <t>quanti soldi no purtroppo no hanno provato a corrompermi anche lì però // // // // // avevi era più quello che che perdevi</t>
  </si>
  <si>
    <t>#113646</t>
  </si>
  <si>
    <t>https://search.corpuskiparla.it/corpus/player/player.cgi?code=PBB033&amp;begin=536459&amp;end=538308</t>
  </si>
  <si>
    <t>BOR037</t>
  </si>
  <si>
    <t>i sette segreti di bologna ne hai sentito parlare // i sette segreti di bologna? ah beh certo io li conosco // cono~</t>
  </si>
  <si>
    <t>quali sono // sì certo i sette segreti di bologna sono vabbè per me sono alcuni particolari // sì // uno sono // le misure</t>
  </si>
  <si>
    <t>#115187</t>
  </si>
  <si>
    <t>https://search.corpuskiparla.it/corpus/player/player.cgi?code=PBB033&amp;begin=1029134&amp;end=1032246</t>
  </si>
  <si>
    <t>fatti in casa // mhmh // essere fatti sul dito mignolo dovrebbero essere piccolissimi // perché il dito mignolo? // sì //</t>
  </si>
  <si>
    <t>che sono stati inventati sull''ombelico di venere // mh xi tortellini dicono no? // sì // c''è chi dice che l''hanno</t>
  </si>
  <si>
    <t>#115925</t>
  </si>
  <si>
    <t>https://search.corpuskiparla.it/corpus/player/player.cgi?code=PBB033&amp;begin=1275371&amp;end=1283413</t>
  </si>
  <si>
    <t>// presepe // l''andavamo a vedere in chiesa andavam~ lo facciamo anche noi lo facevamo l''abbiam fatto anche il presepe</t>
  </si>
  <si>
    <t>con muschio queste cose qui c''era un po'' di partecipazione però // sì // presepe mi ricordo che l''andavamo sempre a</t>
  </si>
  <si>
    <t>#116504</t>
  </si>
  <si>
    <t>https://search.corpuskiparla.it/corpus/player/player.cgi?code=PBB033&amp;begin=1471313&amp;end=1471578</t>
  </si>
  <si>
    <t>// ah sì sì no // ehm a bologna è più sentito pasqua natale il carneva~ ah che esa~ tipo il carnevale com''è festeggiato? //</t>
  </si>
  <si>
    <t>// se è festeggiato // il carnevale sì ma i carnevali poi più famosi sono quelli della periferia quello di san giovanni in</t>
  </si>
  <si>
    <t>#116716</t>
  </si>
  <si>
    <t>https://search.corpuskiparla.it/corpus/player/player.cgi?code=PBB033&amp;begin=1531880&amp;end=1535540</t>
  </si>
  <si>
    <t>per il resto era più sentito natale natale era la festa più grande che c''era a bologna // mhmh // sì // più grande che dicevo</t>
  </si>
  <si>
    <t>natale con i tuoi e pasqua con con chi vuoi // // per cui pasqua potevi anche andare via decidere di fare delle cose insomma</t>
  </si>
  <si>
    <t>#118101</t>
  </si>
  <si>
    <t>https://search.corpuskiparla.it/corpus/player/player.cgi?code=PBB033&amp;begin=1984767&amp;end=1986558</t>
  </si>
  <si>
    <t>ce ne sono tu li conoscerai // sì sì sì // e il tuo locale preferito dove mangiare a bologna qual è? // quello che più mh // ma</t>
  </si>
  <si>
    <t>io // preferisci // una volta mangiavo volentieri da vito perché poi sai lì si si giocava a carte poi c''era sempre musica</t>
  </si>
  <si>
    <t>#118114</t>
  </si>
  <si>
    <t>https://search.corpuskiparla.it/corpus/player/player.cgi?code=PBB033&amp;begin=1987756&amp;end=1993594</t>
  </si>
  <si>
    <t>a bologna qual è? // quello che più mh // ma sai io // preferisci // una volta mangiavo volentieri da vito perché poi</t>
  </si>
  <si>
    <t>lì si si giocava a carte poi c''era sempre musica sai // andavi lì a mezzanotte perché io // ho lavorato sai che facevo il</t>
  </si>
  <si>
    <t>#118125</t>
  </si>
  <si>
    <t>// andavi lì a mezzanotte perché io // ho lavorato sai che facevo il turno al radio taxi di sera delle volte prendevo su le</t>
  </si>
  <si>
    <t>#118136</t>
  </si>
  <si>
    <t>https://search.corpuskiparla.it/corpus/player/player.cgi?code=PBB033&amp;begin=1996099&amp;end=2002914</t>
  </si>
  <si>
    <t>vito perché poi sai lì si si giocava a carte poi c''era sempre musica sai // andavi lì a mezzanotte perché io // ho lavorato</t>
  </si>
  <si>
    <t>che facevo il turno al radio taxi di sera delle volte prendevo su le telefona~ // mhmh // e smettevo a mezzanotte a</t>
  </si>
  <si>
    <t>#118331</t>
  </si>
  <si>
    <t>https://search.corpuskiparla.it/corpus/player/player.cgi?code=PBB033&amp;begin=2056806&amp;end=2061821</t>
  </si>
  <si>
    <t>così sai bologna è una città di musicisti di tutti i tipi per cui // mh // sì // sì io da vito ho fatto mattina tante volte</t>
  </si>
  <si>
    <t>e cantando insieme a diciamo tutti // sì // e lì eh oh da vito era era e dev''essere così ancora perché x x // c''avevano i</t>
  </si>
  <si>
    <t>#118450</t>
  </si>
  <si>
    <t>https://search.corpuskiparla.it/corpus/player/player.cgi?code=PBB033&amp;begin=2098338&amp;end=2103607</t>
  </si>
  <si>
    <t>comunque che con con il turismo che c''è anche straniero // sì sì // s sono un po'' dovuti adeguare // parte che</t>
  </si>
  <si>
    <t>il turismo frequenta più ristoranti turistici per cui // mhmh // le osterie di bologna sono ancora un po'' // eh alcune ce</t>
  </si>
  <si>
    <t>#118549</t>
  </si>
  <si>
    <t>https://search.corpuskiparla.it/corpus/player/player.cgi?code=PBB033&amp;begin=2134304&amp;end=2140474</t>
  </si>
  <si>
    <t>che comunque n nel~ negli ultimi mesi è saltato fuori che comunque // la garisenda è a rischio crollo // eh sì beh vabbè</t>
  </si>
  <si>
    <t>sono molto attivi una volta sai pro~ eh le torri erano uno simbolo // sì // di potenza delle famiglie per cui tutti</t>
  </si>
  <si>
    <t>#118555</t>
  </si>
  <si>
    <t>mesi è saltato fuori che comunque // la garisenda è a rischio crollo // eh sì beh vabbè sai sono molto attivi una volta</t>
  </si>
  <si>
    <t>pro~ eh le torri erano uno simbolo // sì // di potenza delle famiglie per cui tutti tendevano a fare la torre a bologna dove</t>
  </si>
  <si>
    <t>#118902</t>
  </si>
  <si>
    <t>hanno ancora insomma // no no infatti secondo me // ma sai di bolognesi doc ce ne sono pochi anc~ ormai cioè non lo so perché</t>
  </si>
  <si>
    <t>// sì a bologna sinceramente ci sono più magari fuorisede o persone che comunque // una volta s''incontravano e il</t>
  </si>
  <si>
    <t>#119656</t>
  </si>
  <si>
    <t>https://search.corpuskiparla.it/corpus/player/player.cgi?code=PBB033&amp;begin=2512980&amp;end=2518833</t>
  </si>
  <si>
    <t>doc il portico // sì sì // è un po'' un nido per i bolognesi insomma eh a bologna posson girar senza ombrello // però</t>
  </si>
  <si>
    <t>adesso la gente va dappertutto però oh // teniam presente che queste cose sono ancora gradevoli insomma // sì sì sì sì ci</t>
  </si>
  <si>
    <t>#120806</t>
  </si>
  <si>
    <t>https://search.corpuskiparla.it/corpus/player/player.cgi?code=PBB033&amp;begin=2898214&amp;end=2903234</t>
  </si>
  <si>
    <t>l''intervista // ah sì // xsto un po'' di dom~ insomma ho fatto molte domande // no ah beh vabbè per me è un piacere insomma</t>
  </si>
  <si>
    <t>riv~ ricordare un pochino // bologna per il suo momento di grande gloria insomma bologna sai // sì // perfetto // una</t>
  </si>
  <si>
    <t>PTD019</t>
  </si>
  <si>
    <t>#123767</t>
  </si>
  <si>
    <t>doc#18</t>
  </si>
  <si>
    <t>https://search.corpuskiparla.it/corpus/player/player.cgi?code=PTD019&amp;begin=952285&amp;end=959139</t>
  </si>
  <si>
    <t>TOI011</t>
  </si>
  <si>
    <t>https://search.corpuskiparla.it/corpus/conversations/PTD019.html</t>
  </si>
  <si>
    <t>https://search.corpuskiparla.it/corpus/conversations/PTD019_jefferson.html</t>
  </si>
  <si>
    <t>quello che dice mattia cioè // m~ mi ha stufato un po'' ma no~ non per per torino in sè ma è proprio una questione di // mhmh //</t>
  </si>
  <si>
    <t>di cambiamento perchè dopo un po'' dici vabbò nel senso quello che mi doveva dare me l''ha dato e e e quindi boh // certo //</t>
  </si>
  <si>
    <t>TOR001</t>
  </si>
  <si>
    <t>#130021</t>
  </si>
  <si>
    <t>https://search.corpuskiparla.it/corpus/player/player.cgi?code=PTD019&amp;begin=2660340&amp;end=2662976</t>
  </si>
  <si>
    <t>// mhmh // mhm // e comunque sono abbastanza vicino ai posti che devo raggiungere diciamo // corso francia è lungo</t>
  </si>
  <si>
    <t>che passeggiate // eh piedi eh metro // okay // metro che prendo tendenzialmente tutti i giorni // e il longboard // e</t>
  </si>
  <si>
    <t>#130444</t>
  </si>
  <si>
    <t>https://search.corpuskiparla.it/corpus/player/player.cgi?code=PTD019&amp;begin=2768330&amp;end=2773083</t>
  </si>
  <si>
    <t>// certo // mh mhmh // tra l''altro dove sono io se ne trovano // sì // abbastanza quindi cioè non c''è neanche il problema</t>
  </si>
  <si>
    <t>che sei in centro le s~ le spostano tutti // mhmh mhmh eh sì // e quindi per me quella roba lì xx è stata abbastanza una svolta</t>
  </si>
  <si>
    <t>#130948</t>
  </si>
  <si>
    <t>https://search.corpuskiparla.it/corpus/player/player.cgi?code=PTD019&amp;begin=2919161&amp;end=2926605</t>
  </si>
  <si>
    <t>TOI010</t>
  </si>
  <si>
    <t>// non c''è un cazzo da fare // mhmh mhm // essenzialmente quello // cioè non anche perchè comunque // da da coppia //</t>
  </si>
  <si>
    <t>da giovane qualcosa magari lo trovavi no? cioè da coppia comunque cosa fai se non s~ se non è il solito museo quelle robe lì</t>
  </si>
  <si>
    <t>TOD2008</t>
  </si>
  <si>
    <t>#144999</t>
  </si>
  <si>
    <t>doc#21</t>
  </si>
  <si>
    <t>https://search.corpuskiparla.it/corpus/player/player.cgi?code=TOD2008&amp;begin=701348&amp;end=708197</t>
  </si>
  <si>
    <t>TO044</t>
  </si>
  <si>
    <t>https://search.corpuskiparla.it/corpus/conversations/TOD2008.html</t>
  </si>
  <si>
    <t>https://search.corpuskiparla.it/corpus/conversations/TOD2008_jefferson.html</t>
  </si>
  <si>
    <t>quindi magari lei si vuole andare a prendere un caffè // sì // e tu sei un po'' vincolato ad andare con lei perché non puoi //</t>
  </si>
  <si>
    <t>non p~ non puoi dire boh no io me ne vado di qua e poi ci vediamo a casa non so mi avrebbe generato mi avr~ mi sarei fatti più</t>
  </si>
  <si>
    <t>#148728</t>
  </si>
  <si>
    <t>https://search.corpuskiparla.it/corpus/player/player.cgi?code=TOD2008&amp;begin=1784770&amp;end=1786700</t>
  </si>
  <si>
    <t>più // però è stato figo così // sì cose che rimangono circoscritte // venti minuti bellissimi // eh ho detto magari poi</t>
  </si>
  <si>
    <t>// boh magari il destino e ci si rincontriare e invece non è stato // sì // e invece no~ non l'' hai più visto // però è stato</t>
  </si>
  <si>
    <t>BOR036</t>
  </si>
  <si>
    <t>#158964</t>
  </si>
  <si>
    <t>https://search.corpuskiparla.it/corpus/player/player.cgi?code=PBB017&amp;begin=821355&amp;end=824200</t>
  </si>
  <si>
    <t>non glielo do? e conti~ abbiamo continuato così per un po'' // // #e questo è per la sportina poi per la minestra //</t>
  </si>
  <si>
    <t>che la minestra eh da noi è il brodo // sì // la minestrina okay? // la minestra per loro è il primo il primo piatto quello che</t>
  </si>
  <si>
    <t>#159311</t>
  </si>
  <si>
    <t>https://search.corpuskiparla.it/corpus/player/player.cgi?code=PBB017&amp;begin=921929&amp;end=925268</t>
  </si>
  <si>
    <t>e invece erano // maccheroncini // buoni ma non come le lasagne // no infatti // # e questi sono è come il tiro un altro mo~ lo</t>
  </si>
  <si>
    <t>il tiro cos''è? // il tiro sì // che ha tutto un significato legato ai cavalli ma non me lo ricordo // forse un dove sta~ non lo</t>
  </si>
  <si>
    <t>#161261</t>
  </si>
  <si>
    <t>https://search.corpuskiparla.it/corpus/player/player.cgi?code=PBB017&amp;begin=1503664&amp;end=1504904</t>
  </si>
  <si>
    <t>// eh sì // e io la prima volta me la ricorderò perché son qui da da quanto? // eh s~ // parecchio // ci sei già da un po'' //</t>
  </si>
  <si>
    <t>che poi c''è un~ c''è un // quel modo di // mh // qualche fedele che~ che dic~ vorrebbe un qualcosa // e se lo ottiene in teoria</t>
  </si>
  <si>
    <t>BOR011</t>
  </si>
  <si>
    <t>#162464</t>
  </si>
  <si>
    <t>https://search.corpuskiparla.it/corpus/player/player.cgi?code=PBB017&amp;begin=1864312&amp;end=1867474</t>
  </si>
  <si>
    <t>un eff~ cioè sembra di esserci un effettivo pericolo // poi di metallo // eh // esa~ lì sì // se ti mettono qualcosa sotto</t>
  </si>
  <si>
    <t>che ti prende e sai che // certo // eh // io ho avuto io ho avuto paura mentre salivo su poi cerchi di combatterla perché vai</t>
  </si>
  <si>
    <t>#162925</t>
  </si>
  <si>
    <t>https://search.corpuskiparla.it/corpus/player/player.cgi?code=PBB017&amp;begin=1997220&amp;end=1999313</t>
  </si>
  <si>
    <t>in diagonale piazza maggiore lo sapevi questo? // eh queste cose non io non le so neanche una se // secondo me tu ne</t>
  </si>
  <si>
    <t>parecchie quindi // mah son tante cose che si dicono e si dice appunto che gli studenti // prima si devono laureare e poi</t>
  </si>
  <si>
    <t>#162984</t>
  </si>
  <si>
    <t>https://search.corpuskiparla.it/corpus/player/player.cgi?code=PBB017&amp;begin=2013492&amp;end=2017415</t>
  </si>
  <si>
    <t>in diagonale la piazza maggiore // e quante volte l''ho fatto quello // eh non lo sapevi quindi non conta da adesso lo</t>
  </si>
  <si>
    <t>e non farlo mai più // // no finché uno non lo sa uno non cioè non è che arriva e sa tutto // ma sono quei detti quelle curiosità</t>
  </si>
  <si>
    <t>#163185</t>
  </si>
  <si>
    <t>https://search.corpuskiparla.it/corpus/player/player.cgi?code=PBB017&amp;begin=2076579&amp;end=2084309</t>
  </si>
  <si>
    <t>città che in un giorno tu giri // sì il centro sicuramente sì // il centro sì // quindi un bel giretto in piazza // a vedere</t>
  </si>
  <si>
    <t>gli archi dove si parla che c''è il telefono che è una simpatica che non so se esiste in altre città probabilmente sì // mhmh</t>
  </si>
  <si>
    <t>#165411</t>
  </si>
  <si>
    <t>https://search.corpuskiparla.it/corpus/player/player.cgi?code=PBB017&amp;begin=2766234&amp;end=2767990</t>
  </si>
  <si>
    <t>non ci viv~ non ci passo più spesso in quelle zone non mi è capitato più // però // ci sono altre zone tipo la piazzola // cioè</t>
  </si>
  <si>
    <t>dov''é piazza otto agosto? // sì // lì ci sono delle persone che si capisce che che se vai a chiedere ti danno qualcosa //</t>
  </si>
  <si>
    <t>BOA3018</t>
  </si>
  <si>
    <t>#169627</t>
  </si>
  <si>
    <t>doc#25</t>
  </si>
  <si>
    <t>https://search.corpuskiparla.it/corpus/player/player.cgi?code=BOA3018&amp;begin=16440&amp;end=19420</t>
  </si>
  <si>
    <t>BO145</t>
  </si>
  <si>
    <t>https://search.corpuskiparla.it/corpus/conversations/BOA3018.html</t>
  </si>
  <si>
    <t>https://search.corpuskiparla.it/corpus/conversations/BOA3018_jefferson.html</t>
  </si>
  <si>
    <t>// ascoltata sì giudicata // eh devo farlo di nascosto forse // ah vabbè non è che adesso non è che c'' ho problemi a parla'' lo</t>
  </si>
  <si>
    <t>// // quindi // eh ho visto l'' altra volta // dai ma è venuta così male cioè piena de parolacce quella conversaz~? // no non è</t>
  </si>
  <si>
    <t>#171499</t>
  </si>
  <si>
    <t>https://search.corpuskiparla.it/corpus/player/player.cgi?code=BOA3018&amp;begin=628507&amp;end=629847</t>
  </si>
  <si>
    <t>perché dà quel senso come dire di familiare serve per // anche sì // non so non sentirsi persi magari nel mondo moderno //</t>
  </si>
  <si>
    <t>che è vero sai? // una buona deduzione // cioèmh eh lo vedo anche x con un sacco di // magari nuovi artisti che escono cioè</t>
  </si>
  <si>
    <t>#174264</t>
  </si>
  <si>
    <t>https://search.corpuskiparla.it/corpus/player/player.cgi?code=BOA3018&amp;begin=1514800&amp;end=1516000</t>
  </si>
  <si>
    <t>// non so mi chiedo sempre in quanti abbiano effettivamente in mente questa cosa di voler far qualcosa che // non lo so</t>
  </si>
  <si>
    <t>// che che rimanga // e anche di cioè // a volte mi chiedo anche di tutti quelli che fanno comunque i generi di moda così //</t>
  </si>
  <si>
    <t>PTB014</t>
  </si>
  <si>
    <t>#186351</t>
  </si>
  <si>
    <t>doc#27</t>
  </si>
  <si>
    <t>https://search.corpuskiparla.it/corpus/player/player.cgi?code=PTB014&amp;begin=180896&amp;end=183000</t>
  </si>
  <si>
    <t>TOI050</t>
  </si>
  <si>
    <t>https://search.corpuskiparla.it/corpus/conversations/PTB014.html</t>
  </si>
  <si>
    <t>https://search.corpuskiparla.it/corpus/conversations/PTB014_jefferson.html</t>
  </si>
  <si>
    <t>// eh aspetti un attimino // noi non abbiamo fretta // no no non non abbiamo nessuna fretta // no perché non vorrei // ma</t>
  </si>
  <si>
    <t>che sei proprio un rompi rompi // #che sco~ che scola l''as fait la prima? // // chi tu l''hai fatto l''avviamento // sì vabbé</t>
  </si>
  <si>
    <t>BOD2010</t>
  </si>
  <si>
    <t>#202831</t>
  </si>
  <si>
    <t>doc#28</t>
  </si>
  <si>
    <t>https://search.corpuskiparla.it/corpus/player/player.cgi?code=BOD2010&amp;begin=1448902&amp;end=1451410</t>
  </si>
  <si>
    <t>BO049</t>
  </si>
  <si>
    <t>https://search.corpuskiparla.it/corpus/conversations/BOD2010.html</t>
  </si>
  <si>
    <t>https://search.corpuskiparla.it/corpus/conversations/BOD2010_jefferson.html</t>
  </si>
  <si>
    <t>immagini la tua casa futura? // non ho la più pallida ide~ // zero non te la senti cosa pensi invece // cioè zer~ no mai // non</t>
  </si>
  <si>
    <t>dove ti piacerebbe abitare? // non // vivere mah // non so fermarti avere una grande famiglia in una grande casa oppure?</t>
  </si>
  <si>
    <t>#207649</t>
  </si>
  <si>
    <t>https://search.corpuskiparla.it/corpus/player/player.cgi?code=PBC001&amp;begin=1650616&amp;end=1651395</t>
  </si>
  <si>
    <t>BOI001</t>
  </si>
  <si>
    <t>come l''hai vissuta bologna // eh // dal punto di vista mh // sportivo sia calcio che basket ma sicuramente più basket // ma</t>
  </si>
  <si>
    <t>// più cioè più basket allora bologna lo s~ lo sappiamo bologna // vive di basket e vive di calcio soprattutto vi~ // mh</t>
  </si>
  <si>
    <t>#215070</t>
  </si>
  <si>
    <t>https://search.corpuskiparla.it/corpus/player/player.cgi?code=PBC004&amp;begin=720380&amp;end=723730</t>
  </si>
  <si>
    <t>stata la prima eh // bologna la prima del liber paradisus la prima università // la prima di questo la prima di quello</t>
  </si>
  <si>
    <t>dov''è che bologna è arrivata ultima // mh // nella stampa // ah // noi eravamo circondati da stamperie bellissime</t>
  </si>
  <si>
    <t>#222917</t>
  </si>
  <si>
    <t>https://search.corpuskiparla.it/corpus/player/player.cgi?code=PBC004&amp;begin=3268307&amp;end=3269904</t>
  </si>
  <si>
    <t>ha ondeggiato e si è appoggiata contro una colonna del portico e mi fa // con me // cosa fai vecchia troia // io mi son girata</t>
  </si>
  <si>
    <t>cosa gli ho detto // vecchia poi no // // è rimasta talmente male che è scappata via // // // ecco si dice che gli antichi</t>
  </si>
  <si>
    <t>#223624</t>
  </si>
  <si>
    <t>https://search.corpuskiparla.it/corpus/player/player.cgi?code=PBC004&amp;begin=3502616&amp;end=3504111</t>
  </si>
  <si>
    <t>uno dice bologna la rossa uno pensa bologna comunista no bologna la rossa da sempre // da sempre // bologna ti ti ti lo</t>
  </si>
  <si>
    <t>no // torre tortellini tette // ah // // a cremona torrone torrazzo tette // eh le tette ci devono essere se // ovunque //</t>
  </si>
  <si>
    <t>#223884</t>
  </si>
  <si>
    <t>https://search.corpuskiparla.it/corpus/player/player.cgi?code=KPN030&amp;begin=46910&amp;end=50861</t>
  </si>
  <si>
    <t>PKP141</t>
  </si>
  <si>
    <t>// un attimo // // allora dovevamo praticamente tornare // tipo alle // erano le sei che eravamo già tutti in bus perchè</t>
  </si>
  <si>
    <t>un po'' di ritardi generali diciamo erano circa le sei // sei e venti eravamo ancora in alta quota // cioè perchè c''erano</t>
  </si>
  <si>
    <t>#227219</t>
  </si>
  <si>
    <t>https://search.corpuskiparla.it/corpus/player/player.cgi?code=KPN030&amp;begin=983735&amp;end=987671</t>
  </si>
  <si>
    <t>// oddio è vero // di differe~ non ci avevo mai pensato xxx un giorno insieme quest''anno però // è vero // ti ricordi? // ma</t>
  </si>
  <si>
    <t>che io tipo poi ho tra l''altro una mia amica nata nel duemila // praticamente un mese prima e e un giorno e un''altra nata nel</t>
  </si>
  <si>
    <t>#228796</t>
  </si>
  <si>
    <t>https://search.corpuskiparla.it/corpus/player/player.cgi?code=KPN030&amp;begin=1368532&amp;end=1370799</t>
  </si>
  <si>
    <t>ovviamente tu non riscrivi // no // io avrei riscritto se uno mi avesse risposto così // sarei stato molto ingenuo // no</t>
  </si>
  <si>
    <t>cos''è? cioè magari un conto è se // te ne fossi uscito oggi così a caso e e avessi chiesto però dato che ieri gli hai fatto gli</t>
  </si>
  <si>
    <t>#230925</t>
  </si>
  <si>
    <t>https://search.corpuskiparla.it/corpus/player/player.cgi?code=KPS023&amp;begin=164085&amp;end=166715</t>
  </si>
  <si>
    <t>prossimo // eh // ma infatti perchè marce'' // già aveva prenotato tutto? // aveva tutto pronto? // no aveva prenotato ma</t>
  </si>
  <si>
    <t>quanti sposi hanno rinviato? // eh // una // una ragazza che ha lavorato con me a quarto incinta all''ottavo mese // il</t>
  </si>
  <si>
    <t>#233409</t>
  </si>
  <si>
    <t>https://search.corpuskiparla.it/corpus/player/player.cgi?code=KPS023&amp;begin=993167&amp;end=995494</t>
  </si>
  <si>
    <t>di donatella poi si è rotto definitivamente? // ve~ jà ci vorrebbe un filo o un filo cerato // sottile sottile // eh ma tu lo</t>
  </si>
  <si>
    <t>fare va'' dal cinese e prendilo // eh dovrei andare dal ci~ però poi il gancetto poi dovrei fare il nodo // che fa // dovrei</t>
  </si>
  <si>
    <t>#234355</t>
  </si>
  <si>
    <t>https://search.corpuskiparla.it/corpus/player/player.cgi?code=KPS023&amp;begin=1292365&amp;end=1294765</t>
  </si>
  <si>
    <t>non capisco questo tuo atteggiamento // guarda qua sembra che il gatto mi ha graffiato // ma la crema depilatoria lo</t>
  </si>
  <si>
    <t>che è come la ceretta? // è sc~ è come la lametta // fa più fa più schifo al~ // non concludi // fa più schifo io mi sono sempre</t>
  </si>
  <si>
    <t>#235587</t>
  </si>
  <si>
    <t>https://search.corpuskiparla.it/corpus/player/player.cgi?code=KPS023&amp;begin=1657974&amp;end=1660415</t>
  </si>
  <si>
    <t>persone troppe religioni troppe etnie // e questo // mo poi parla della condizione degli stupri come arma di guerra //</t>
  </si>
  <si>
    <t>gli stupri che sono sempre accaduti // la guerra tra i tuzzi e gli ehm come si chiamavano quelli? // ah i tuzzi io ho fatto</t>
  </si>
  <si>
    <t>#235811</t>
  </si>
  <si>
    <t>https://search.corpuskiparla.it/corpus/player/player.cgi?code=KPS023&amp;begin=1720174&amp;end=1722066</t>
  </si>
  <si>
    <t>la circ~ circoncisione non è barbara quanto l''infibulazione // no // è pericolosa perchè la fanno in maniera // sì // tu</t>
  </si>
  <si>
    <t>che amir stava morendo? // eh // me lo disse ma // eh // mamma mia // ma tu devi andare in ospedale e la fai // comunque</t>
  </si>
  <si>
    <t>#238068</t>
  </si>
  <si>
    <t>https://search.corpuskiparla.it/corpus/player/player.cgi?code=BOA3002&amp;begin=152901&amp;end=159248</t>
  </si>
  <si>
    <t>BO007</t>
  </si>
  <si>
    <t>ma // scena da biberon // e lo so // lui // penserà che sono una // no io mi ricordo le le botte // fuori // due tre giorni dopo</t>
  </si>
  <si>
    <t>le liti quando inizi proprio a dartele di s~ di santa ragione perché sì perché non ne puoi più veramente // eh // sì perché</t>
  </si>
  <si>
    <t>#239227</t>
  </si>
  <si>
    <t>https://search.corpuskiparla.it/corpus/player/player.cgi?code=BOA3002&amp;begin=397220&amp;end=399159</t>
  </si>
  <si>
    <t>le tue responsabilità // xxx // sì è vero che deci~ xxx // e lui e lui // it''s over nine thousand // e io // vegeta // no</t>
  </si>
  <si>
    <t>io cosa odio? quando // e io boh // quando tu fai un discorso un discorso e lui sai cosa ti risponde // è così // ops // eh? // io</t>
  </si>
  <si>
    <t>#240702</t>
  </si>
  <si>
    <t>https://search.corpuskiparla.it/corpus/player/player.cgi?code=BOA3002&amp;begin=773165&amp;end=776677</t>
  </si>
  <si>
    <t>// io ''n me li fo se una non è amica figuriamoci // cosa fai? // non me li faccio se una non è amica figuriamoci // no no no // lo</t>
  </si>
  <si>
    <t>se mi importano un cacchio cioè io sono andata a ballare con gli ugg l'' ultima // ma sì ma infatti ma sai che me ne frega a me //</t>
  </si>
  <si>
    <t>#241990</t>
  </si>
  <si>
    <t>https://search.corpuskiparla.it/corpus/player/player.cgi?code=BOA3002&amp;begin=1041961&amp;end=1043564</t>
  </si>
  <si>
    <t>BO008</t>
  </si>
  <si>
    <t>euro a serata // che è poco // è una miseria // esat~ // volevano farmi lavorare anche domenica ma ho anche detto di no //</t>
  </si>
  <si>
    <t>che mi è venuto in mente un nuovo slogan // mamma mia // ovvero? // a lucia ta pija la pizza non vola via // non porto ancora le</t>
  </si>
  <si>
    <t>BOI110</t>
  </si>
  <si>
    <t>#256771</t>
  </si>
  <si>
    <t>https://search.corpuskiparla.it/corpus/player/player.cgi?code=PBA028&amp;begin=578190&amp;end=582020</t>
  </si>
  <si>
    <t>ti piace proprio // io ci ho provato // okay // col mio ragazzo un giorno // mhmh // quando è stato il ventisei di dicembre?</t>
  </si>
  <si>
    <t>santo stefano non avevamo niente da fare // eh sì // dico dai andiamo // non mi ricordo oggi pomeriggio a fare un giro a</t>
  </si>
  <si>
    <t>#257425</t>
  </si>
  <si>
    <t>https://search.corpuskiparla.it/corpus/player/player.cgi?code=PBA028&amp;begin=744367&amp;end=749850</t>
  </si>
  <si>
    <t>// no cioè era buono effettivamente io non ho potuto mangiare praticamente niente io ho mangiato le solite cose quindi</t>
  </si>
  <si>
    <t>// sì // okay // un po'' di salumi cose del genere // sì sì sì sì // le altre hanno detto che era molto buono perchè hanno</t>
  </si>
  <si>
    <t>#257903</t>
  </si>
  <si>
    <t>https://search.corpuskiparla.it/corpus/player/player.cgi?code=PBA028&amp;begin=890300&amp;end=895730</t>
  </si>
  <si>
    <t>BOR031</t>
  </si>
  <si>
    <t>sono le nostre visioni differenti del cibo // ho capito // bene bene // è così // eh ma tu prima mi parlavi del cinema ma lo</t>
  </si>
  <si>
    <t>c~ lo~ immagino che lo sappia tu in realtà anche anche te probabilmente // eh che la sera d''estate fanno la~ c''è il</t>
  </si>
  <si>
    <t>#260827</t>
  </si>
  <si>
    <t>https://search.corpuskiparla.it/corpus/player/player.cgi?code=PBA028&amp;begin=1659900&amp;end=1665820</t>
  </si>
  <si>
    <t>tutte le parti i moto~ specialmente in città che ci sono i motorini // mhmh // sì // ti passan da una parte e dall''altra non</t>
  </si>
  <si>
    <t>neanche la macchina sai che bene o male oh se ti deve passare da una parte ti passa da dest~ da sinistra // invece l~ il</t>
  </si>
  <si>
    <t>#260831</t>
  </si>
  <si>
    <t>in città che ci sono i motorini // mhmh // sì // ti passan da una parte e dall''altra non sai neanche la macchina</t>
  </si>
  <si>
    <t>che bene o male oh se ti deve passare da una parte ti passa da dest~ da sinistra // invece l~ il motorino ti passa di qua ti</t>
  </si>
  <si>
    <t>#261533</t>
  </si>
  <si>
    <t>https://search.corpuskiparla.it/corpus/player/player.cgi?code=PBA028&amp;begin=1858063&amp;end=1861690</t>
  </si>
  <si>
    <t>mh per come mi piace a me // non lo farei perchè comunque sia a me piace la campagna non mi piace la città // mhmhmh // però eh</t>
  </si>
  <si>
    <t>mh mai dire mai nel senso // okay // sì // sì sì ci sta // è un // okay // una cosa così // e niente eh i vostri genitori prima mi</t>
  </si>
  <si>
    <t>#263143</t>
  </si>
  <si>
    <t>https://search.corpuskiparla.it/corpus/player/player.cgi?code=PBA028&amp;begin=2290967&amp;end=2291940</t>
  </si>
  <si>
    <t>ombrelli bianchi // sì tipo cose del genere ma poi se mi ricordo qualche anno fa forse face~ // quelli gratis // eh // non</t>
  </si>
  <si>
    <t>cosa sono? // pensavo di aver capito però forse no // sono tipo di delle persone che decidono di far fare tour gratis alle</t>
  </si>
  <si>
    <t>PBB026</t>
  </si>
  <si>
    <t>doc#37</t>
  </si>
  <si>
    <t>https://search.corpuskiparla.it/corpus/conversations/PBB026.html</t>
  </si>
  <si>
    <t>https://search.corpuskiparla.it/corpus/conversations/PBB026_jefferson.html</t>
  </si>
  <si>
    <t>#275964</t>
  </si>
  <si>
    <t>https://search.corpuskiparla.it/corpus/player/player.cgi?code=PBB026&amp;begin=1907780&amp;end=1911864</t>
  </si>
  <si>
    <t>BOI093</t>
  </si>
  <si>
    <t>// di lusso // // però è bello vedere una cosa che non usi x e poi vedi dei vestiti stranissimi e // sì // si spera // // // però</t>
  </si>
  <si>
    <t>è bello anche vederli dai per farsi due risate // no adesso // ma sì // adesso // // adesso li devo portare a questa</t>
  </si>
  <si>
    <t>KPS012</t>
  </si>
  <si>
    <t>#283632</t>
  </si>
  <si>
    <t>doc#38</t>
  </si>
  <si>
    <t>https://search.corpuskiparla.it/corpus/player/player.cgi?code=KPS012&amp;begin=641773&amp;end=646679</t>
  </si>
  <si>
    <t>PKP049</t>
  </si>
  <si>
    <t>https://search.corpuskiparla.it/corpus/conversations/KPS012.html</t>
  </si>
  <si>
    <t>https://search.corpuskiparla.it/corpus/conversations/KPS012_jefferson.html</t>
  </si>
  <si>
    <t>l''amore mio // guarda ieri sera una figura di merda // #oh bella è gia tanto che c''aggiu acchitt~ xx aggiu misu la cena</t>
  </si>
  <si>
    <t>ieri sera eh? eh // dalle tre che mancavo di casa // eh non fare ehm // mh // dalle tre che mancavo di casa eh? // non sono</t>
  </si>
  <si>
    <t>#284465</t>
  </si>
  <si>
    <t>https://search.corpuskiparla.it/corpus/player/player.cgi?code=KPS012&amp;begin=910059&amp;end=912286</t>
  </si>
  <si>
    <t>delle robe da scaricare che erano anche sue // e quindi è dovuta venire con me che xxxx una mano // alla fine della fiera</t>
  </si>
  <si>
    <t>che ha fatto // #c''ha aggia fatt // intro alla macchina ha detto maria abbassa mi stai esaurendo zitta // perchè ha</t>
  </si>
  <si>
    <t>#284857</t>
  </si>
  <si>
    <t>https://search.corpuskiparla.it/corpus/player/player.cgi?code=KPS012&amp;begin=1091969&amp;end=1093882</t>
  </si>
  <si>
    <t>PKP051</t>
  </si>
  <si>
    <t>frittole a pranzo? // non xxxx insieme di cioccolata // ma non so giacomo se c''hanno la // glielo chiedo // ma no mamma non</t>
  </si>
  <si>
    <t>neanche se ce l''hanno // e che fa // ma le hai fatte si che le hai fatte // l''anno scorso // embè // ma // la mamma di maurizio è</t>
  </si>
  <si>
    <t>#285747</t>
  </si>
  <si>
    <t>https://search.corpuskiparla.it/corpus/player/player.cgi?code=KPS012&amp;begin=1394440&amp;end=1398080</t>
  </si>
  <si>
    <t>// ieri ho mangiato veramente tutte le verdure tranne i carciofi che mi fanno schifo // ah ecco // ma mi fanno schifo lo</t>
  </si>
  <si>
    <t>che mi fanno schifo i carciofi non mi piacciono // eh ho capito ma non uhm non mi andava proprio di fermarmi in un</t>
  </si>
  <si>
    <t>PKP050</t>
  </si>
  <si>
    <t>#287018</t>
  </si>
  <si>
    <t>https://search.corpuskiparla.it/corpus/player/player.cgi?code=KPS012&amp;begin=1808120&amp;end=1810125</t>
  </si>
  <si>
    <t>// ma cosa c''entra // xx xx // mamma a me della famiglia sua non me ne frega proprio veramente non me ne frega niente // ma</t>
  </si>
  <si>
    <t>cosa vuol dire niente niente // mi interessa soltanto dei nonni miei // ecco quindi loro stavano andando a spendere</t>
  </si>
  <si>
    <t>#287194</t>
  </si>
  <si>
    <t>https://search.corpuskiparla.it/corpus/player/player.cgi?code=KPS012&amp;begin=1849778&amp;end=1854313</t>
  </si>
  <si>
    <t>la mascherina // xxx // a salutarli // io mi dispiace mamma ma non ci credo // dai // allora oggi la nonna appena mi ha visto</t>
  </si>
  <si>
    <t>cosa mi ha detto che io sono esagerata ad andare in giro con la mascherina // xx xx xx // e va bene eh però l''esagerazione</t>
  </si>
  <si>
    <t>#291203</t>
  </si>
  <si>
    <t>https://search.corpuskiparla.it/corpus/player/player.cgi?code=PBA025&amp;begin=1285650&amp;end=1287398</t>
  </si>
  <si>
    <t>BOR034</t>
  </si>
  <si>
    <t>N/A</t>
  </si>
  <si>
    <t>quella bianca quella pasticciata però // ehm // parlando in veram invece di // dei portici? // i portici // non so se lo</t>
  </si>
  <si>
    <t>ma sono // patrimonio unesco // patrimonio dell''unesco // proprio tu~ tutti // e // no non sapevo tutti pensavo solo san</t>
  </si>
  <si>
    <t>PBC019</t>
  </si>
  <si>
    <t>#304266</t>
  </si>
  <si>
    <t>doc#42</t>
  </si>
  <si>
    <t>https://search.corpuskiparla.it/corpus/player/player.cgi?code=PBC019&amp;begin=192280&amp;end=197270</t>
  </si>
  <si>
    <t>BOI044</t>
  </si>
  <si>
    <t>https://search.corpuskiparla.it/corpus/conversations/PBC019.html</t>
  </si>
  <si>
    <t>https://search.corpuskiparla.it/corpus/conversations/PBC019_jefferson.html</t>
  </si>
  <si>
    <t>ero già // mesi e mesi // ah accidenti non c''è qualcosa che non le piace non so in particolare? o // ma no // come si dice</t>
  </si>
  <si>
    <t>quando si è anziani un po'' mi muovo si cammino però // xx // non è che si fa le cose di fretta allora con della calma tante cose</t>
  </si>
  <si>
    <t>TOD1005bis</t>
  </si>
  <si>
    <t>#315963</t>
  </si>
  <si>
    <t>doc#43</t>
  </si>
  <si>
    <t>https://search.corpuskiparla.it/corpus/player/player.cgi?code=TOD1005bis&amp;begin=2463418&amp;end=2467361</t>
  </si>
  <si>
    <t>TO017</t>
  </si>
  <si>
    <t>https://search.corpuskiparla.it/corpus/conversations/TOD1005bis.html</t>
  </si>
  <si>
    <t>https://search.corpuskiparla.it/corpus/conversations/TOD1005bis_jefferson.html</t>
  </si>
  <si>
    <t>problema // a che periodo risalgono? // come ho detto prima non si possono datare i sassi // se qualcuno scrive la data lo</t>
  </si>
  <si>
    <t>se no no ovviamente questi non scrivevano la data // in alcuni // di queste iscrizioni ma molto poche // ci sono dei</t>
  </si>
  <si>
    <t>#317432</t>
  </si>
  <si>
    <t>https://search.corpuskiparla.it/corpus/player/player.cgi?code=PBC015&amp;begin=92945&amp;end=94152</t>
  </si>
  <si>
    <t>al tempo non erano invasi dai tavolini piuttosto che dai monopattini piuttosto che dalle bici // eh vabbè // eh e quindi</t>
  </si>
  <si>
    <t>// la la la città era estremamente vivibile // ecco per cui io son rimasto qui // eh ho fatto le scuole superiori poi ho</t>
  </si>
  <si>
    <t>#317616</t>
  </si>
  <si>
    <t>https://search.corpuskiparla.it/corpus/player/player.cgi?code=PBC015&amp;begin=162570&amp;end=166290</t>
  </si>
  <si>
    <t>semplice soprattutto // non so io non non riesco a orientarmi neanche con google maps immagino // // no beh // oddio //</t>
  </si>
  <si>
    <t>eh mh è chiaro che per noi // le difficoltà // erano erano maggiori però poi è anche vero che // ecco soprattutto l''anno di</t>
  </si>
  <si>
    <t>#318542</t>
  </si>
  <si>
    <t>https://search.corpuskiparla.it/corpus/player/player.cgi?code=PBC015&amp;begin=510810&amp;end=522280</t>
  </si>
  <si>
    <t>eh il portico rimane rimane una grande protezione insomma no mh ti tieni ti tiri sotto il portico o su~ sui marciapiedi e</t>
  </si>
  <si>
    <t>che sei abbastanza protetto insomma ecco // x // eh // però eh ribadisco è chiaro che la caoticità del dell''ambiente</t>
  </si>
  <si>
    <t>#319800</t>
  </si>
  <si>
    <t>https://search.corpuskiparla.it/corpus/player/player.cgi?code=PBC015&amp;begin=1004570&amp;end=1013080</t>
  </si>
  <si>
    <t>ecco eh // e invece purtroppo sai // un po'' i tempi un po'' la la la la solita il solito atteggiamento degli italiani che</t>
  </si>
  <si>
    <t>che stare alle regole // sì sì // è una delle cose che amano meno // x // eh un po'' la la la la l''arroganza l''~ l''atteggiamento</t>
  </si>
  <si>
    <t>#320647</t>
  </si>
  <si>
    <t>https://search.corpuskiparla.it/corpus/player/player.cgi?code=PBC015&amp;begin=1323500&amp;end=1325829</t>
  </si>
  <si>
    <t>è inutile che parli con la signora o con il signore // sono io quello che ha un problema quindi // // eh e insomma // x // però</t>
  </si>
  <si>
    <t>eh purtroppo questo // dipende // dagli atteggiamenti dalle compe~ dalla capacità che ha la gente di capire // o o di</t>
  </si>
  <si>
    <t>#320753</t>
  </si>
  <si>
    <t>https://search.corpuskiparla.it/corpus/player/player.cgi?code=PBC015&amp;begin=1358790&amp;end=1361465</t>
  </si>
  <si>
    <t>è per questo che hai pensato di venire anche al cavazza // cioè per provare x a aiutare un po'' // le persone non lo so //</t>
  </si>
  <si>
    <t>io x allora io intanto son venuto qui // che avevo sedici anni per studiare // eh perchè all''epoca noi eh eravamo tutti qua</t>
  </si>
  <si>
    <t>#321293</t>
  </si>
  <si>
    <t>https://search.corpuskiparla.it/corpus/player/player.cgi?code=PBC015&amp;begin=1577570&amp;end=1580495</t>
  </si>
  <si>
    <t>// // che non volevi parlare // // // e adesso sono qui a fare interviste // esatto // vero` // eh vabbè dai ma è normale</t>
  </si>
  <si>
    <t>// // eh che imbarazzo quell''epoca // // tra l''altro devo dire che secondo me // anche il cavazza mi ha aiutato tantissimo</t>
  </si>
  <si>
    <t>#321484</t>
  </si>
  <si>
    <t>https://search.corpuskiparla.it/corpus/player/player.cgi?code=PBC015&amp;begin=1665485&amp;end=1670127</t>
  </si>
  <si>
    <t>sembrava un po'' un'' impresa titanica insomma eh sembrava che non non saremmo andati da nessuna parte // e poi invece</t>
  </si>
  <si>
    <t>studiando un po'' noi eh rappportandoci con // all''epoca soprattutto i tedeschi che erano molto // eh avanti e poi con gli</t>
  </si>
  <si>
    <t>#321637</t>
  </si>
  <si>
    <t>https://search.corpuskiparla.it/corpus/player/player.cgi?code=PBC015&amp;begin=1729529&amp;end=1731240</t>
  </si>
  <si>
    <t>// immagino che anche molti ci sono molti che vi~ non so confrontandomi con i giovani immagino // x // aiuti a // ma // ma</t>
  </si>
  <si>
    <t>eh ci sono // allora ci sono anche tanti che ci danno // delle delle indicazioni ci danno de~ dei suggerimenti ci danno</t>
  </si>
  <si>
    <t>#321679</t>
  </si>
  <si>
    <t>https://search.corpuskiparla.it/corpus/player/player.cgi?code=PBC015&amp;begin=1745810&amp;end=1751590</t>
  </si>
  <si>
    <t>ci danno degli aiuti // eh ci sono anche tanti che purtroppo // appesantiscono // eh appesantiscono il tutto perchè</t>
  </si>
  <si>
    <t>quando si hanno le pretese di // eh non riconoscere // eh le le le le proprie le proprie difficoltà // eh purtroppo sai</t>
  </si>
  <si>
    <t>#321703</t>
  </si>
  <si>
    <t>https://search.corpuskiparla.it/corpus/player/player.cgi?code=PBC015&amp;begin=1760455&amp;end=1764720</t>
  </si>
  <si>
    <t>sai quando si hanno le pretese di // eh non riconoscere // eh le le le le proprie le proprie difficoltà // eh purtroppo</t>
  </si>
  <si>
    <t>diventa diventa dura eh diventa // anche spiegarlo a certi genitori diventa // eh immagino // diventa faticoso // sì // e</t>
  </si>
  <si>
    <t>#321970</t>
  </si>
  <si>
    <t>https://search.corpuskiparla.it/corpus/player/player.cgi?code=PBC015&amp;begin=1858970&amp;end=1863160</t>
  </si>
  <si>
    <t>questo punto perchè // // vedo che siete molto // avanti diciamo // noi siamo qui proviamo a fare le cose che riusciamo poi</t>
  </si>
  <si>
    <t>eh // x // ripeto tante volte come ti ho detto facciamo anche noi le nostre // eh cavolate perchè perchè parti con un''idea e</t>
  </si>
  <si>
    <t>#328199</t>
  </si>
  <si>
    <t>https://search.corpuskiparla.it/corpus/player/player.cgi?code=PBA007&amp;begin=2069139&amp;end=2072920</t>
  </si>
  <si>
    <t>BOR020</t>
  </si>
  <si>
    <t>a parlare comunque dei tuoi genitori che mi sembra un''argomento interessante diciamo // ehm // ah le scuole? lo lo</t>
  </si>
  <si>
    <t>cosa cosa ha fatto tuo padre qui? // allora mio padre qua se non sbaglio ha fatto ragioneria // perchè il tanari prima che</t>
  </si>
  <si>
    <t>#329860</t>
  </si>
  <si>
    <t>https://search.corpuskiparla.it/corpus/player/player.cgi?code=PTA003&amp;begin=449665&amp;end=450998</t>
  </si>
  <si>
    <t>dottorato // mh mh // e mi occupo di dialetti italiani // dialetti italiani? // sì // mai sentito // mh mh // sì sì // quindi</t>
  </si>
  <si>
    <t>tutti i dialetti italiani // // li studio per hobby no // eh mi occupo in particolare di un dialetto lucano e di uno</t>
  </si>
  <si>
    <t>#330391</t>
  </si>
  <si>
    <t>https://search.corpuskiparla.it/corpus/player/player.cgi?code=PTA003&amp;begin=601042&amp;end=604439</t>
  </si>
  <si>
    <t>TOR003</t>
  </si>
  <si>
    <t>mcdonald paga // eh sì infatti // neanche poco // sì sì // bè al massimo // ti prendono al mcdonald prendono tutti eh // no lo</t>
  </si>
  <si>
    <t>che p~ x mi sa che preferisco andare a lavorare per matteo // // almeno mi almeno mi tratta bene // sì xx ti porto con me a fare</t>
  </si>
  <si>
    <t>#331346</t>
  </si>
  <si>
    <t>https://search.corpuskiparla.it/corpus/player/player.cgi?code=PTA003&amp;begin=825115&amp;end=826709</t>
  </si>
  <si>
    <t>bambino quella fa // adesso lo cerco su google per fare questo // ma chi chi chi frank matano non sai chi sia // sì eh no // non</t>
  </si>
  <si>
    <t>chi è x // x // ma l''avrai visto alle iene l''avrai visto a italia''s got talent // adesso lo cerco // ma figurati eh // ah no non</t>
  </si>
  <si>
    <t>#331467</t>
  </si>
  <si>
    <t>https://search.corpuskiparla.it/corpus/player/player.cgi?code=PTA003&amp;begin=857706&amp;end=862006</t>
  </si>
  <si>
    <t>è simpatico // un napoletano // eh è ver~ // // // chi è // ah sì no è vero sì sì sì // eh eh vedi // cioè non sapevo chi // tu che non</t>
  </si>
  <si>
    <t>chi è lo conosci quindi immaginati quanto lui eh oggi è diventato famoso // certo // non sai che cosa fa ma ah sì // sì sì sì sì</t>
  </si>
  <si>
    <t>#333609</t>
  </si>
  <si>
    <t>https://search.corpuskiparla.it/corpus/player/player.cgi?code=PTA003&amp;begin=1379955&amp;end=1384637</t>
  </si>
  <si>
    <t>tre ce ne sono // tre c''è il bennet c''è l''ipercop e c''è il gigante tre // nella rotonda dove cazzo vado a fare la spe~ non lo</t>
  </si>
  <si>
    <t>neanche tu giri con la rotonda e xxx // // giri col carrello // no troppi quelli sono troppi xx // ehm avete mai vissuto</t>
  </si>
  <si>
    <t>#333689</t>
  </si>
  <si>
    <t>https://search.corpuskiparla.it/corpus/player/player.cgi?code=PTA003&amp;begin=1398689&amp;end=1405073</t>
  </si>
  <si>
    <t>// fare un altro lavoro adesso no // però quando ero ragazzo avrei voluto fare un''esperienza tipo estera di di stagione</t>
  </si>
  <si>
    <t>quelle cose che fai // mh mh // sì sì sì // e tipo dove? // non lo so // spagna sicuro // perché le altre le altre nazioni le odio</t>
  </si>
  <si>
    <t>#335296</t>
  </si>
  <si>
    <t>https://search.corpuskiparla.it/corpus/player/player.cgi?code=PTA003&amp;begin=1857059&amp;end=1861255</t>
  </si>
  <si>
    <t>dove // arrivavano con camper e facevano tutto quello che volevano // mh mh mh // eh usavan~ bruciavano le gomme</t>
  </si>
  <si>
    <t>queste cose qua // andati lì // gente che magari // a un po'' poco da perdere andava lì dava fuoco alle cose e quelli son stati</t>
  </si>
  <si>
    <t>#339734</t>
  </si>
  <si>
    <t>https://search.corpuskiparla.it/corpus/player/player.cgi?code=PTA003&amp;begin=2998836&amp;end=3002524</t>
  </si>
  <si>
    <t>veramente qualcosa che non non esisteva cioè // lo stadio è sempre pulito minchia // stadio di proprietà per forza // tu</t>
  </si>
  <si>
    <t>quanto spendono di pulizia allo stadio uno strafottio veramente // mh mh mh mh // poi gestiscono tutto però // eh lo so //</t>
  </si>
  <si>
    <t>#340179</t>
  </si>
  <si>
    <t>https://search.corpuskiparla.it/corpus/player/player.cgi?code=PTA003&amp;begin=3086360&amp;end=3092355</t>
  </si>
  <si>
    <t>delle cose // eh sì // che in italia non esiste // ma poi non // adesso tutto il eh l''esterno là vicino che hanno comprato tu</t>
  </si>
  <si>
    <t>quanto hanno pagato // mh mh // tutto il terreno intorno allo stadio cinquanta centesimi al metro quadro // eh lì c''è</t>
  </si>
  <si>
    <t>#341892</t>
  </si>
  <si>
    <t>https://search.corpuskiparla.it/corpus/player/player.cgi?code=PTA003&amp;begin=3516666&amp;end=3518068</t>
  </si>
  <si>
    <t>fra tutti quelli che potevi dire adriano celentano hai detto? // eh sì // eh sì adriano celentano mi piace // sei sicuro ma</t>
  </si>
  <si>
    <t>chi è ad~? // // // // ma vai a cagare va ti canto a memoria l''emozione non ha voce // ma davvero? // ma vai a cagare ma per chi</t>
  </si>
  <si>
    <t>PBA017</t>
  </si>
  <si>
    <t>#356910</t>
  </si>
  <si>
    <t>doc#48</t>
  </si>
  <si>
    <t>https://search.corpuskiparla.it/corpus/player/player.cgi?code=PBA017&amp;begin=522813&amp;end=525560</t>
  </si>
  <si>
    <t>BOI080</t>
  </si>
  <si>
    <t>https://search.corpuskiparla.it/corpus/conversations/PBA017.html</t>
  </si>
  <si>
    <t>https://search.corpuskiparla.it/corpus/conversations/PBA017_jefferson.html</t>
  </si>
  <si>
    <t>friuli-venezia-giulia</t>
  </si>
  <si>
    <t>// tra l''altro // mh bene a parte che sta sclerando l''anima perchè gli hanno dato un''ora in più anche oggi // va bene? // uh</t>
  </si>
  <si>
    <t>che invece a me hanno messo gli straordinari e son contentissimo // #sì è perchè son più schei? // sì // anche // // e in più</t>
  </si>
  <si>
    <t>#357089</t>
  </si>
  <si>
    <t>https://search.corpuskiparla.it/corpus/player/player.cgi?code=PBA017&amp;begin=569923&amp;end=570604</t>
  </si>
  <si>
    <t>BOI081</t>
  </si>
  <si>
    <t>non va mica bene così // a parte il mercoledì tipo che cambia alle otto e mezza quindi non va bene arrivare in anticipo // lo</t>
  </si>
  <si>
    <t>qual è la // sai qual è la cosa migliore al mondo // di lavorare // che tu // se vai dieci minuti in cesso a cagare // la tua</t>
  </si>
  <si>
    <t>#358059</t>
  </si>
  <si>
    <t>https://search.corpuskiparla.it/corpus/player/player.cgi?code=PBA017&amp;begin=849190&amp;end=850281</t>
  </si>
  <si>
    <t>veramente xxxxxx // sì // però poi oh è sempre roba usata presa da dei cassonetti eh // // certo // alla fine // vabbè ma</t>
  </si>
  <si>
    <t>che io sono un fan // poi dopo chissà xxx // questi li ho presi là // i pantaloni // // pagati dieci euro // eh è una cosa molto</t>
  </si>
  <si>
    <t>#358448</t>
  </si>
  <si>
    <t>https://search.corpuskiparla.it/corpus/player/player.cgi?code=PBA017&amp;begin=957026&amp;end=958795</t>
  </si>
  <si>
    <t>in banca a vedere quanto è arrivato // perchè non lo sai? non c''hai la busta paga? // cazzo non so mica dove me le mandano</t>
  </si>
  <si>
    <t>ma // cioè perchè per mandarle le mandano perchè voglio dire sono super fiscali su tutto figurati se non mi mandano la</t>
  </si>
  <si>
    <t>#360822</t>
  </si>
  <si>
    <t>https://search.corpuskiparla.it/corpus/player/player.cgi?code=PBA017&amp;begin=1692441&amp;end=1694040</t>
  </si>
  <si>
    <t>martedì // domani // domani // sì // oggi // no domani oggi è lunedi mi dimentico sempre // no no // però di sera // minchia</t>
  </si>
  <si>
    <t>che ieri sono arrivato tardi a lavoro // ma come uno scemo ero convinto di cominciare alle quattro e mezza e invece</t>
  </si>
  <si>
    <t>KPN023</t>
  </si>
  <si>
    <t>#364570</t>
  </si>
  <si>
    <t>doc#49</t>
  </si>
  <si>
    <t>https://search.corpuskiparla.it/corpus/player/player.cgi?code=KPN023&amp;begin=614650&amp;end=615980</t>
  </si>
  <si>
    <t>PKP079</t>
  </si>
  <si>
    <t>https://search.corpuskiparla.it/corpus/conversations/KPN023.html</t>
  </si>
  <si>
    <t>https://search.corpuskiparla.it/corpus/conversations/KPN023_jefferson.html</t>
  </si>
  <si>
    <t>soldi ne ha // è per quello che xx // quello è ve~ // è proprietario // secondo me // di solito uno che interagisce così //</t>
  </si>
  <si>
    <t>mangiare pizza qua // un po'' // molto carino // o magari ha adocchiato la sofi veramente // esatto // // e invece // o in</t>
  </si>
  <si>
    <t>#366368</t>
  </si>
  <si>
    <t>https://search.corpuskiparla.it/corpus/player/player.cgi?code=KPN023&amp;begin=1076030&amp;end=1077560</t>
  </si>
  <si>
    <t>PKP078</t>
  </si>
  <si>
    <t>mamma // // // e i soldi // ma non hai detto non so chi guidava // // // no perchè xx // no se dichiari che // se dichiari che non</t>
  </si>
  <si>
    <t>chi gui~ // glieli toglievano a mio papà che che è il proprietario della macchina // ma non li tolgono mica no devi paghi</t>
  </si>
  <si>
    <t>#367989</t>
  </si>
  <si>
    <t>https://search.corpuskiparla.it/corpus/player/player.cgi?code=KPN023&amp;begin=1458540&amp;end=1459900</t>
  </si>
  <si>
    <t>// // anche a me // anche a me // lo yogurt bianco dell''eurospin è fantastico // è buonissimo // è pieno di zucchero però //</t>
  </si>
  <si>
    <t>cosa è buono anche // no no io prendo quello senza senza zucchero quello intero // sai cosa è buono però da prendere una</t>
  </si>
  <si>
    <t>BOI009</t>
  </si>
  <si>
    <t>#378598</t>
  </si>
  <si>
    <t>https://search.corpuskiparla.it/corpus/player/player.cgi?code=PBC003&amp;begin=591260&amp;end=592493</t>
  </si>
  <si>
    <t>mh // che qualcuno li sporcasse meno nonostante il c~ i l il comune e così ci stia dietro l~ li teniamo abbas~ li // solo che</t>
  </si>
  <si>
    <t>com''è // solo che la gente // # l''è fata acsì è inutil da non c''è niente da dire // siamo noi che sporchiamo non sono // mh // ed</t>
  </si>
  <si>
    <t>#379217</t>
  </si>
  <si>
    <t>https://search.corpuskiparla.it/corpus/player/player.cgi?code=PBC003&amp;begin=774496&amp;end=775304</t>
  </si>
  <si>
    <t>volta che ci siamo andati che daniel aveva due anni // quello lì // due tre anni // mhmh // che lui f~ anda~ corerva su // e lui</t>
  </si>
  <si>
    <t>// per i portici // essendo un bambino correva // poi dopo arrivava davanti vedeva che noi non c''eravamo tornava</t>
  </si>
  <si>
    <t>#381259</t>
  </si>
  <si>
    <t>https://search.corpuskiparla.it/corpus/player/player.cgi?code=PBC003&amp;begin=1367694&amp;end=1371285</t>
  </si>
  <si>
    <t>vabbè // che gli spaghetti alla bolognese // sai // sì che // però ehm vedi che è stato carino // ha detto voi due // perchè //</t>
  </si>
  <si>
    <t>eh sapeva che d~ d~ mh // sì sì // questo è onesto // #ma non che t~ che io apro trattoria bolognese xx ti dà dla roba che // #se</t>
  </si>
  <si>
    <t>#381959</t>
  </si>
  <si>
    <t>https://search.corpuskiparla.it/corpus/player/player.cgi?code=PBC003&amp;begin=1580004&amp;end=1581382</t>
  </si>
  <si>
    <t>persone e // era più era più viva ecco // mh // sì // forse in estate un po'' adesso quando fanno il cinema queste qua // sì</t>
  </si>
  <si>
    <t>cosa c''è? // con ehm // ecco il cinema che fanno sempre tutte le sere è sempre strapieno d''estate // sì // eh in questi due</t>
  </si>
  <si>
    <t>#383411</t>
  </si>
  <si>
    <t>https://search.corpuskiparla.it/corpus/player/player.cgi?code=PBC003&amp;begin=2008806&amp;end=2016500</t>
  </si>
  <si>
    <t>intorno // non che gli altri n~ eh sì però se se uno esce dal galvani forse ha qualcosina in più di un~ di un altro perchè</t>
  </si>
  <si>
    <t>com''è // sì ma quella lì è una classifica che fanno con le scuole non // sì // non penso che sia // valida come // dipende cioè</t>
  </si>
  <si>
    <t>#385335</t>
  </si>
  <si>
    <t>https://search.corpuskiparla.it/corpus/player/player.cgi?code=PBC003&amp;begin=2551000&amp;end=2555828</t>
  </si>
  <si>
    <t>tutta in bolognese che dovevi star così ehm parlavano un po'' un po'' misto // sì sì // no mi chiedevo se magari un tempo</t>
  </si>
  <si>
    <t>nelle botteghe quelle un po'' più // no // cioè così quando andavi dal tuo macellaio di fiducia così un po'' più in~ cioè</t>
  </si>
  <si>
    <t>#388903</t>
  </si>
  <si>
    <t>https://search.corpuskiparla.it/corpus/player/player.cgi?code=PBC003&amp;begin=3504297&amp;end=3508100</t>
  </si>
  <si>
    <t>medaglietta? // la medaglietta // #i ha dit che è morto // e lui era disperso in russia // e dopo è venuto a casa a piedi eh //</t>
  </si>
  <si>
    <t>che in russia c~ si andava nel nel letamaio a prender le pelle di patate // in germania questo // quando era in campo di</t>
  </si>
  <si>
    <t>#389667</t>
  </si>
  <si>
    <t>https://search.corpuskiparla.it/corpus/player/player.cgi?code=PBC003&amp;begin=3693281&amp;end=3693852</t>
  </si>
  <si>
    <t>passare coi carrarmati fa beh mo e sì sì sì non è mica fonda non è mica fonda e poi // mh // lo facevano un po'' apposta // perchè</t>
  </si>
  <si>
    <t>// sì // eh sì // #sì perchè lì se arrivava i tedesc~ ehm cioè i gli americani it cupavan allora lor eh i tra~ i scapavan par al</t>
  </si>
  <si>
    <t>#391780</t>
  </si>
  <si>
    <t>https://search.corpuskiparla.it/corpus/player/player.cgi?code=PBC003&amp;begin=4226366&amp;end=4233500</t>
  </si>
  <si>
    <t>non c''è q~ q~ quel adesso // adesso a parte noi qui che che ci conosciamo uno con tutti // ma vai in certi palazzi no~ non non</t>
  </si>
  <si>
    <t>neanche chi è quello lì quello là quello là non non conosci mica nessuno perchè n~ non si parla la gente non // non si</t>
  </si>
  <si>
    <t>#391844</t>
  </si>
  <si>
    <t>https://search.corpuskiparla.it/corpus/player/player.cgi?code=PBC003&amp;begin=4240241&amp;end=4248800</t>
  </si>
  <si>
    <t>nove // bene o male ci conosciamo // poi siete qua da tanto tempo magari // poi anche son tutti tutti nuovi questi qua però</t>
  </si>
  <si>
    <t>eh siam~ li abbiamo invitati a b~ a mangiar qui da noi ci parliamo uno con l''altro // xx // ah // mhmh // capito? // sì sì //</t>
  </si>
  <si>
    <t>#395111</t>
  </si>
  <si>
    <t>https://search.corpuskiparla.it/corpus/player/player.cgi?code=TOA3004&amp;begin=713044&amp;end=716698</t>
  </si>
  <si>
    <t>TO038</t>
  </si>
  <si>
    <t>no ti prego ti preg~ sai? // no vabbè adesso a parte le battu~ no si può strutturare un ragionamento del genere // vero? //</t>
  </si>
  <si>
    <t>cosa potrei fare? potrei farti una carta una carta che valutiamo insieme dei drink // se ti va // apposta del posto // con</t>
  </si>
  <si>
    <t>#395863</t>
  </si>
  <si>
    <t>https://search.corpuskiparla.it/corpus/player/player.cgi?code=TOA3004&amp;begin=930330&amp;end=931785</t>
  </si>
  <si>
    <t>TO031</t>
  </si>
  <si>
    <t>devo dire con quello cotto fa cagare le robe che metti nel toasteh // cioè tipo // eh grazie // ma pure bufala // minchia</t>
  </si>
  <si>
    <t>che mi serviva un quaderno // e volevo farti delle domande perché non capisco se lo spazio su cui lavoriamo è piatto o</t>
  </si>
  <si>
    <t>#396451</t>
  </si>
  <si>
    <t>https://search.corpuskiparla.it/corpus/player/player.cgi?code=TOA3004&amp;begin=1127317&amp;end=1131001</t>
  </si>
  <si>
    <t>mari ciao ciao // come se fosse stato una un crac // cos'' hai fatto? // ho bevuto l'' acqua e ho sentito un crac al dente // oh</t>
  </si>
  <si>
    <t>cosa possiam fare? mo~ no no no ma basta che marchino // andate un po'' in là che sono xxx // sì // ragazzi piove eh // eh un po''</t>
  </si>
  <si>
    <t>#396512</t>
  </si>
  <si>
    <t>https://search.corpuskiparla.it/corpus/player/player.cgi?code=TOA3004&amp;begin=1146354&amp;end=1151233</t>
  </si>
  <si>
    <t>TO039</t>
  </si>
  <si>
    <t>mi porto il vassoio // ah no dopo dopo // guarda che troia // esageruma adesso // paura // fa male? // no adesso no // come s~</t>
  </si>
  <si>
    <t>quando senti il taceh tipo della della radice // non so perché // ah è il caso del tumore al dente // devi staccarteli prima</t>
  </si>
  <si>
    <t>#397660</t>
  </si>
  <si>
    <t>https://search.corpuskiparla.it/corpus/player/player.cgi?code=TOA3004&amp;begin=1484861&amp;end=1489816</t>
  </si>
  <si>
    <t>accompagni a caselle? // è come un medico che chiama già il carro funebre prima di curarti comunque non è giusto // beh se</t>
  </si>
  <si>
    <t>che costa poco il carro funebre dici vabbè dai muoio nel duemilaeh // ti porto a caselle? sì // a cena o a pre~ // no no la</t>
  </si>
  <si>
    <t>#397925</t>
  </si>
  <si>
    <t>https://search.corpuskiparla.it/corpus/player/player.cgi?code=TOA3004&amp;begin=1613645&amp;end=1614740</t>
  </si>
  <si>
    <t>in campo // xxxxxx // che gli hanno dedicato una scuola militare a venezia poi // ah era un altro morosini // tu non le</t>
  </si>
  <si>
    <t>ste cose // non ancora // xx però noi andiamo a venezia con carovana migranti // dove andate? // partiamo dalla val di susa</t>
  </si>
  <si>
    <t>#398363</t>
  </si>
  <si>
    <t>veleno // eh lo so che è veleno però // xxxx // mi spiace // è veleno // eh lo so // eh sì // è vero // arrivederci // sai quante ne</t>
  </si>
  <si>
    <t>quante sigarette fumavo io? // tante? quante? // trenta sigarette al giorno // ohi // xxxxxxx // che lavorava all'' iveco</t>
  </si>
  <si>
    <t>PBA001</t>
  </si>
  <si>
    <t>doc#54</t>
  </si>
  <si>
    <t>BOI006</t>
  </si>
  <si>
    <t>https://search.corpuskiparla.it/corpus/conversations/PBA001.html</t>
  </si>
  <si>
    <t>https://search.corpuskiparla.it/corpus/conversations/PBA001_jefferson.html</t>
  </si>
  <si>
    <t>#424773</t>
  </si>
  <si>
    <t>https://search.corpuskiparla.it/corpus/player/player.cgi?code=PBA001&amp;begin=423440&amp;end=426100</t>
  </si>
  <si>
    <t>però sì son molto belli poi recentemente sono andata mh // a fare mh // il la camminata // per andare a san luca // ah sì sì //</t>
  </si>
  <si>
    <t>che lì c''è proprio tutto un porticato bellissimo // sì sì sì sì // che arriva fino a san luca // eh quelli sono molto belli eh</t>
  </si>
  <si>
    <t>#425081</t>
  </si>
  <si>
    <t>https://search.corpuskiparla.it/corpus/player/player.cgi?code=PBA001&amp;begin=529510&amp;end=532558</t>
  </si>
  <si>
    <t>in quelle zone // non do magari c''è un posto // mh adesso mi viene in mente non è prettamente // un portico però eh non so se</t>
  </si>
  <si>
    <t>// mhmh // eh in centro proprio dove c''è piazza maggiore // mhmh // c''è ehm // una specie di piazzetta // a eh // che è proprio</t>
  </si>
  <si>
    <t>#428856</t>
  </si>
  <si>
    <t>https://search.corpuskiparla.it/corpus/player/player.cgi?code=PBA001&amp;begin=1682410&amp;end=1685130</t>
  </si>
  <si>
    <t>sì se l''inglese non lo parli // vivo mhmh // dopo un po'' lo sai anche te // sì sì sì sì // stai molto tempo senza parlarlo sì lo</t>
  </si>
  <si>
    <t>però // si arrugginisce // ti senti sempre arrugginita ti senti sempre oddio ma non so più parlare // è vero è vero // e</t>
  </si>
  <si>
    <t>TOD2012</t>
  </si>
  <si>
    <t>#435372</t>
  </si>
  <si>
    <t>doc#55</t>
  </si>
  <si>
    <t>https://search.corpuskiparla.it/corpus/player/player.cgi?code=TOD2012&amp;begin=1736777&amp;end=1738587</t>
  </si>
  <si>
    <t>TO056</t>
  </si>
  <si>
    <t>https://search.corpuskiparla.it/corpus/conversations/TOD2012.html</t>
  </si>
  <si>
    <t>https://search.corpuskiparla.it/corpus/conversations/TOD2012_jefferson.html</t>
  </si>
  <si>
    <t>e // eh eh // e poi li portava dentro e la moglie // la moglie li coglieva con la fionda cioè li ammazzava veramente? // oh ma</t>
  </si>
  <si>
    <t>che sì sì sì sì // // li ammazzava e li portava dentro e la moglie // più di una volta cercava di dare delle ricette a mia madre</t>
  </si>
  <si>
    <t>#438152</t>
  </si>
  <si>
    <t>https://search.corpuskiparla.it/corpus/player/player.cgi?code=TOD2012&amp;begin=2545064&amp;end=2549768</t>
  </si>
  <si>
    <t>fuori sempre questa stanza mi ha detto in questa stanza // eh primamh // cioè eh cioè diciamo la usavano comemh // ehmh //</t>
  </si>
  <si>
    <t>che nelle case antiche c'' era quella stanza dove tenevi non so le bottiglie d'' olio di sugo insomma // cantina una cantina</t>
  </si>
  <si>
    <t>#459926</t>
  </si>
  <si>
    <t>https://search.corpuskiparla.it/corpus/player/player.cgi?code=BOA3003&amp;begin=2098385&amp;end=2099162</t>
  </si>
  <si>
    <t>BO016</t>
  </si>
  <si>
    <t>e mezza // vieni ele // allora quali libri io porto su tutto no ma tienilo // allora vado a tedescoeh // elè elè elè // ma lo</t>
  </si>
  <si>
    <t>che // no tienili son tuoi // cosa? // elè dai sembra tipo il nome di un mafioso // sembra il nome di un cane // cos'' è questo</t>
  </si>
  <si>
    <t>#460507</t>
  </si>
  <si>
    <t>https://search.corpuskiparla.it/corpus/player/player.cgi?code=BOA3003&amp;begin=2276262&amp;end=2278508</t>
  </si>
  <si>
    <t>BO017</t>
  </si>
  <si>
    <t>fai? // dove soe~ bambine idiote dove siete? // xx xregistra~ // // allora // bello perché la prima cosa che ci insegnano</t>
  </si>
  <si>
    <t>qual èh? // no // è che i ragazzi a partir dalle medie non si possono più chiamare bambini bisogna chiamarli // eh raga~</t>
  </si>
  <si>
    <t>#462201</t>
  </si>
  <si>
    <t>https://search.corpuskiparla.it/corpus/player/player.cgi?code=BOA3003&amp;begin=3467903&amp;end=3469776</t>
  </si>
  <si>
    <t>BO019</t>
  </si>
  <si>
    <t>fai // lo porto un attimo a fare un giro // ma perché // ma perché // perché? // andiamo di là anche noi dai // se se cade</t>
  </si>
  <si>
    <t>che sei mortaeh // sì // raga // devi tenerlo in mano // xxxxx xxxx è quella più vicina vero? // eh sì è là nell''aula sette io</t>
  </si>
  <si>
    <t>#464550</t>
  </si>
  <si>
    <t>https://search.corpuskiparla.it/corpus/player/player.cgi?code=KPC005&amp;begin=388650&amp;end=390141</t>
  </si>
  <si>
    <t>qua no no ops qua gianni noi potremmo aprire un mondo // un dibattito // un mondo si apre su sta cosa // è vero // eh te che ne</t>
  </si>
  <si>
    <t>gianni // io sono la bocca della verità // lo dice non~ lo dice nonna // non è vero // eh l~ mhmh mh gianni // te mh bisogna che</t>
  </si>
  <si>
    <t>#465219</t>
  </si>
  <si>
    <t>https://search.corpuskiparla.it/corpus/player/player.cgi?code=KPC005&amp;begin=598263&amp;end=600565</t>
  </si>
  <si>
    <t>PKP063</t>
  </si>
  <si>
    <t>lo spid? // con lo spid // mh tanto che fa dieci ore tutti i giorni dodici ore tutti i giorni bell''a~ mh bell''affare // tu lo</t>
  </si>
  <si>
    <t>vero quali sono le due parole magiche // lotta sindacale // ~ndacale // cgil // esatto // stop alla cartotecnica // eh</t>
  </si>
  <si>
    <t>#466658</t>
  </si>
  <si>
    <t>https://search.corpuskiparla.it/corpus/player/player.cgi?code=KPC005&amp;begin=1101220&amp;end=1103818</t>
  </si>
  <si>
    <t>PKP064</t>
  </si>
  <si>
    <t>a fa~ qualcosa // no per andare giù a torre melissa a fare la pitta nchiusa con pinuccia // con pinuccia // ma cazzo vai // xx</t>
  </si>
  <si>
    <t>quanto costa l''autostrada andata e ritorno gianni? // eh // cinquanta euro? // costa un casino di soldi sai quanto</t>
  </si>
  <si>
    <t>#467569</t>
  </si>
  <si>
    <t>https://search.corpuskiparla.it/corpus/player/player.cgi?code=KPC005&amp;begin=1363535&amp;end=1365397</t>
  </si>
  <si>
    <t>a magna'' la v~ la polenta // ma se voi dovete andare a mangiare sta cazzo de polenta andate // scherzo gianni // allora</t>
  </si>
  <si>
    <t>qual è la cosa che // mh // che la prima volta che ci hanno invitato marco e xx // noi avevamo beccato il covid // eh // no non //</t>
  </si>
  <si>
    <t>PBA011</t>
  </si>
  <si>
    <t>doc#60</t>
  </si>
  <si>
    <t>BOI070</t>
  </si>
  <si>
    <t>https://search.corpuskiparla.it/corpus/conversations/PBA011.html</t>
  </si>
  <si>
    <t>https://search.corpuskiparla.it/corpus/conversations/PBA011_jefferson.html</t>
  </si>
  <si>
    <t>#473518</t>
  </si>
  <si>
    <t>https://search.corpuskiparla.it/corpus/player/player.cgi?code=PBA011&amp;begin=1212023&amp;end=1215348</t>
  </si>
  <si>
    <t>quando ero incazzato mi prendevo così e andavo // no da noi è successo // da me sì // // eh anche io magari anche a me magari</t>
  </si>
  <si>
    <t>che ne so un sabato // xxxx // te lo passi di merda e dici ma sai cosa io non vado a uscire a bere con i miei amici sai cosa cosa</t>
  </si>
  <si>
    <t>#473535</t>
  </si>
  <si>
    <t>https://search.corpuskiparla.it/corpus/player/player.cgi?code=PBA011&amp;begin=1215918&amp;end=1221992</t>
  </si>
  <si>
    <t>è successo // da me sì // // eh anche io magari anche a me magari sai che ne so un sabato // xxxx // te lo passi di merda e dici ma</t>
  </si>
  <si>
    <t>cosa io non vado a uscire a bere con i miei amici sai cosa cosa faccio mh vado a correre a san luca perchè sono incazzato duro</t>
  </si>
  <si>
    <t>#473548</t>
  </si>
  <si>
    <t>a me magari sai che ne so un sabato // xxxx // te lo passi di merda e dici ma sai cosa io non vado a uscire a bere con i miei amici</t>
  </si>
  <si>
    <t>cosa cosa faccio mh vado a correre a san luca perchè sono incazzato duro // xx eh è un tipo di serata // beh ci può stare //</t>
  </si>
  <si>
    <t>#475514</t>
  </si>
  <si>
    <t>https://search.corpuskiparla.it/corpus/player/player.cgi?code=PBA011&amp;begin=1727041&amp;end=1728329</t>
  </si>
  <si>
    <t>xx l''idea c''è // però magari è da migliorare // xxxxxx // poi vabbè ci sono // perchè è da migliorare? // eh da aggiungere xx</t>
  </si>
  <si>
    <t>// è un po'' vuoto secondo me // sì eh // beh un tavolino e una sedia piano piano è un po'' vuoto // esatto // vabbè ho anche dei</t>
  </si>
  <si>
    <t>#475634</t>
  </si>
  <si>
    <t>https://search.corpuskiparla.it/corpus/player/player.cgi?code=PBA011&amp;begin=1756880&amp;end=1760964</t>
  </si>
  <si>
    <t>io un po'' // // che hai combinato? // tra autobus cioè avevo già cominciato a bere alle // cinque di pomeriggio così //</t>
  </si>
  <si>
    <t>sapete co~ vabbè tu lo sai come sono le lauree sono delle lauree // xxxx // sì a voglia // dove ti distruggi no alle lauree //</t>
  </si>
  <si>
    <t>#476256</t>
  </si>
  <si>
    <t>https://search.corpuskiparla.it/corpus/player/player.cgi?code=PBA011&amp;begin=1903989&amp;end=1908544</t>
  </si>
  <si>
    <t>più magari no? // libertini cioè // abbiamo s~ noi bolognesi abbiamo sempre invidiato il vostro stile perchè magari</t>
  </si>
  <si>
    <t>vi vi godete bologna come vi pare // in un certo senso quindi magari // per voi è tutta nuova tutta no xx stesse storie che</t>
  </si>
  <si>
    <t>#477045</t>
  </si>
  <si>
    <t>https://search.corpuskiparla.it/corpus/player/player.cgi?code=PBA011&amp;begin=2135915&amp;end=2140525</t>
  </si>
  <si>
    <t>sono un po'' stand by // cioè nel senso // perchè? // perchè // si sta rilassando // sì si può anche dire così // nel senso s~ //</t>
  </si>
  <si>
    <t>c''è stato un periodo dove dato veramente il massimo su alcune cose progetti // ho dovuto sistemare molte cose // e quando</t>
  </si>
  <si>
    <t>#477126</t>
  </si>
  <si>
    <t>https://search.corpuskiparla.it/corpus/player/player.cgi?code=PBA011&amp;begin=2161979&amp;end=2163239</t>
  </si>
  <si>
    <t>che devi risolvere poi è chiaro che // ti prendi un periodo appunto dove dici okay per adesso basta così // basta perchè</t>
  </si>
  <si>
    <t>// mh quan~ mh // ci sono persone che magari vivono solo di una passione // altri invece x devono vivere di due tre passioni</t>
  </si>
  <si>
    <t>#480801</t>
  </si>
  <si>
    <t>https://search.corpuskiparla.it/corpus/player/player.cgi?code=PBC013&amp;begin=1283540&amp;end=1293614</t>
  </si>
  <si>
    <t>// sì sì sì // // ehm il giovane studente francese ha lavorato molto anche a torino con chiamparino con // che te non</t>
  </si>
  <si>
    <t>chi è chiamparino ecco è stato presidente eh della regione piemonte è stato sindaco di torino è stato // // io non non mi</t>
  </si>
  <si>
    <t>#481446</t>
  </si>
  <si>
    <t>https://search.corpuskiparla.it/corpus/player/player.cgi?code=PBC013&amp;begin=1550280&amp;end=1554191</t>
  </si>
  <si>
    <t>che si cominciasse a mangiare // cioè // no so se c~ non so se capisci quello che voglio dire // sì sì // eh però un buon uomo</t>
  </si>
  <si>
    <t>non era mica un uomo cattivo ne che trattasse // certo è solo un''idea che è rimasta // non è che trattasse male eh che</t>
  </si>
  <si>
    <t>#481844</t>
  </si>
  <si>
    <t>https://search.corpuskiparla.it/corpus/player/player.cgi?code=PBC013&amp;begin=1679291&amp;end=1683591</t>
  </si>
  <si>
    <t>diciamo niente // non gli diciamo niente no io faccio attività poitica faccio attività nell''arci // che hai detto che lo</t>
  </si>
  <si>
    <t>che cos''è l''arci vagamente mi sembra di capi~ // sì // sì conosco so che comunque qua ci sono vari varie sedi // eh sì sì eh sì</t>
  </si>
  <si>
    <t>#482300</t>
  </si>
  <si>
    <t>https://search.corpuskiparla.it/corpus/player/player.cgi?code=PBC013&amp;begin=1874540&amp;end=1878591</t>
  </si>
  <si>
    <t>i bambini in braccio e li portano dal pullman dal treno col quale erano arrivati a bologna e a modena al pullman // e</t>
  </si>
  <si>
    <t>perchè? perché in terra c''era la neve e i bambini erano scalzi // ah // e quindi il pensiero che due grandi sindaci di due</t>
  </si>
  <si>
    <t>#482550</t>
  </si>
  <si>
    <t>https://search.corpuskiparla.it/corpus/player/player.cgi?code=PBC013&amp;begin=1963093&amp;end=1968391</t>
  </si>
  <si>
    <t>partito comunista e frequentando un ambiente comunque politico un giorno un''amica mi disse guarda eh // ehm non so se tu</t>
  </si>
  <si>
    <t>che la federazione del partito comunista a bologna era in via barberia quattro // no // no // è un pa~ è un palazzo storico</t>
  </si>
  <si>
    <t>#482698</t>
  </si>
  <si>
    <t>https://search.corpuskiparla.it/corpus/player/player.cgi?code=PBC013&amp;begin=2021691&amp;end=2025760</t>
  </si>
  <si>
    <t>// diciamo che questo significava che il partito comunista aveva un sacco di soldi // e successe che un''amica mi disse</t>
  </si>
  <si>
    <t>al partito // noi lo chiamavamo il partito eh senza altro con la pi maiuscola rigorosamente con la pi maiuscola // al</t>
  </si>
  <si>
    <t>#483958</t>
  </si>
  <si>
    <t>https://search.corpuskiparla.it/corpus/player/player.cgi?code=PBC013&amp;begin=2555120&amp;end=2558152</t>
  </si>
  <si>
    <t>// bologna? la vita a bologna? // per lei nella sua esperienza // no bologna secondo me tutto sommato eh diciamo che //</t>
  </si>
  <si>
    <t>che mi ha fatto una domanda complicata ragazza mia? // // eh perché rispetto a certe cose ehm // sicuramente si vive</t>
  </si>
  <si>
    <t>#504789</t>
  </si>
  <si>
    <t>https://search.corpuskiparla.it/corpus/player/player.cgi?code=PTD012&amp;begin=2007054&amp;end=2009644</t>
  </si>
  <si>
    <t>// certo // poi quelli no ma non mi puoi portare a vedere la neve // eh andiamo a vedè la neve // // per cui c''è lì che ar~ sì</t>
  </si>
  <si>
    <t>devono far le riprese per cui // e lì portavi fino a pian del colle che è tre chilometri dopo bardonecchia dove finisce la</t>
  </si>
  <si>
    <t>#505200</t>
  </si>
  <si>
    <t>https://search.corpuskiparla.it/corpus/player/player.cgi?code=PTD012&amp;begin=2102323&amp;end=2106528</t>
  </si>
  <si>
    <t>perchè c''è casino altrove // e ormai si sono x // cioè questo ti dà anche x ti dà la misura si come la gente si abitua per cui</t>
  </si>
  <si>
    <t>// se quella roba lì non fa più notizia // non la racconti più // in realtà non è che a // quindi questo è andato avanti così da</t>
  </si>
  <si>
    <t>#506775</t>
  </si>
  <si>
    <t>https://search.corpuskiparla.it/corpus/player/player.cgi?code=PTD012&amp;begin=2512419&amp;end=2513419</t>
  </si>
  <si>
    <t>ci sono i capi dobbiamo fare tutte le cose fatte bene // tira dritto che cazzo ce ne fotte andiamo a riportarli in italia //</t>
  </si>
  <si>
    <t>da là dal conf~ // da dove c''è la gardiola a claviere sono un chilometro // s~ questi sono andati poi a claviere tu hai la</t>
  </si>
  <si>
    <t>#510466</t>
  </si>
  <si>
    <t>https://search.corpuskiparla.it/corpus/player/player.cgi?code=PTD012&amp;begin=3482743&amp;end=3484239</t>
  </si>
  <si>
    <t>comunque in una valle // soprattutto l''alta valle tendenzialmente culturalmente di destra // ovviamente però //</t>
  </si>
  <si>
    <t>li vedi poco non te ne frega un cazzo // poi in realtà questi qua che sono passati // anche questi non è che li vedi così tanto</t>
  </si>
  <si>
    <t>TOA3001</t>
  </si>
  <si>
    <t>#512559</t>
  </si>
  <si>
    <t>doc#64</t>
  </si>
  <si>
    <t>https://search.corpuskiparla.it/corpus/player/player.cgi?code=TOA3001&amp;begin=172201&amp;end=178341</t>
  </si>
  <si>
    <t>TO033</t>
  </si>
  <si>
    <t>https://search.corpuskiparla.it/corpus/conversations/TOA3001.html</t>
  </si>
  <si>
    <t>https://search.corpuskiparla.it/corpus/conversations/TOA3001_jefferson.html</t>
  </si>
  <si>
    <t>che ovviamente appunto ha detto // ah ma lo stesso abbiamo preso ah // mh // e ha detto ah io ritornerò in sudafrica e poi lo</t>
  </si>
  <si>
    <t>ha fatto anche finta di pensare tipo ah ma // chi potrebbe essere ah sì verdi verdi sì // tanto che poi mh // io boh // si è</t>
  </si>
  <si>
    <t>#514197</t>
  </si>
  <si>
    <t>https://search.corpuskiparla.it/corpus/player/player.cgi?code=TOA3001&amp;begin=699026&amp;end=699723</t>
  </si>
  <si>
    <t>// no perché non ci sono gli zucchini // li hai tolti? // cosa dice? // per disiscriversi da un esame come si fa capito? // lo</t>
  </si>
  <si>
    <t>perché? // perché ieri è arrivata una mail dalla prof di storia che diceva che chi ha passato l'' esame // o chi l'' ha già dato</t>
  </si>
  <si>
    <t>#517393</t>
  </si>
  <si>
    <t>https://search.corpuskiparla.it/corpus/player/player.cgi?code=TOA3001&amp;begin=1584206&amp;end=1589193</t>
  </si>
  <si>
    <t>abbiamo fatto il corso di arabo scusate // eh // altro che francese l'' hanno dato per scontato il francese cazzo // no ma</t>
  </si>
  <si>
    <t>cosa sai che corso sai che corso fanno appunto loro adesso? // di italiano in funzione di // italiano // del del mondo del</t>
  </si>
  <si>
    <t>#518264</t>
  </si>
  <si>
    <t>https://search.corpuskiparla.it/corpus/player/player.cgi?code=TOA3001&amp;begin=1841821&amp;end=1845332</t>
  </si>
  <si>
    <t>hanno chiesto // ma voi quanti paper avevate? io gli ho fatto tipo dieci dodici // ah // e e e come avete fatto a finirli? ma</t>
  </si>
  <si>
    <t>cioè // per disperazione // ti fai il culo come avete fatto cioè // a loro invece hanno fatto xxx // piangendo ogni giorno</t>
  </si>
  <si>
    <t>PBB007</t>
  </si>
  <si>
    <t>doc#66</t>
  </si>
  <si>
    <t>https://search.corpuskiparla.it/corpus/conversations/PBB007.html</t>
  </si>
  <si>
    <t>https://search.corpuskiparla.it/corpus/conversations/PBB007_jefferson.html</t>
  </si>
  <si>
    <t>#526189</t>
  </si>
  <si>
    <t>https://search.corpuskiparla.it/corpus/player/player.cgi?code=PBB007&amp;begin=1760509&amp;end=1761870</t>
  </si>
  <si>
    <t>BOR005</t>
  </si>
  <si>
    <t>aiutami che sono messo male // // questo in via ugo bassi // c''era la controlla // c''era la donna dei fiori // xxx // lo</t>
  </si>
  <si>
    <t>che la controlla è in carcere? // perchè? // come è in carcere // l''hanno arrestata // ah esiste ancora quindi // ma chi è?</t>
  </si>
  <si>
    <t>PBC009</t>
  </si>
  <si>
    <t>doc#67</t>
  </si>
  <si>
    <t>BOI022</t>
  </si>
  <si>
    <t>https://search.corpuskiparla.it/corpus/conversations/PBC009.html</t>
  </si>
  <si>
    <t>https://search.corpuskiparla.it/corpus/conversations/PBC009_jefferson.html</t>
  </si>
  <si>
    <t>#537744</t>
  </si>
  <si>
    <t>https://search.corpuskiparla.it/corpus/player/player.cgi?code=PBC009&amp;begin=4254720&amp;end=4258300</t>
  </si>
  <si>
    <t>rimane // nel senso che le crisi epilettiche gli rimangono però ha potuto fare una vita sostanzialmente normale // no</t>
  </si>
  <si>
    <t>perchè lì se guardi l''indice // grazie // ci sono delle cose proprio grazie per esempio a rossi non so se sei arrivata a</t>
  </si>
  <si>
    <t>#555156</t>
  </si>
  <si>
    <t>https://search.corpuskiparla.it/corpus/player/player.cgi?code=PBC018&amp;begin=1693494&amp;end=1698547</t>
  </si>
  <si>
    <t>una stima per tutti gli autisti cioè vedo proprio // no ci vuol~ come ti dico ci vuole // ci vuole pazienza santa pazienza</t>
  </si>
  <si>
    <t>che devi fare il lavoro e // perché se ti agiti poi se see ti incominci a agitare dopo fai fai più fatica a svolgere il lavoro</t>
  </si>
  <si>
    <t>#556287</t>
  </si>
  <si>
    <t>https://search.corpuskiparla.it/corpus/player/player.cgi?code=PBC018&amp;begin=2056747&amp;end=2059973</t>
  </si>
  <si>
    <t>dovevo far dopo // per eh memorizzare i punti perché dopo cosa succede tu memorizzi // il percorso memorizzi i punti tu</t>
  </si>
  <si>
    <t>che fino lì // e dopo devi voltar~ cioè // devi essere // come dicevamo prima // devi essere // concentrato perché sai si</t>
  </si>
  <si>
    <t>#556310</t>
  </si>
  <si>
    <t>https://search.corpuskiparla.it/corpus/player/player.cgi?code=PBC018&amp;begin=2067233&amp;end=2069693</t>
  </si>
  <si>
    <t>tu sai che fino lì // e dopo devi voltar~ cioè // devi essere // come dicevamo prima // devi essere // concentrato perché</t>
  </si>
  <si>
    <t>si può // per dire come adesso prendiamo l''esempio del quattordici dalla parte di là // van tutti al giovanni</t>
  </si>
  <si>
    <t>#556743</t>
  </si>
  <si>
    <t>https://search.corpuskiparla.it/corpus/player/player.cgi?code=PBC018&amp;begin=2204687&amp;end=2206554</t>
  </si>
  <si>
    <t>stato veramente interessante devo dire // adesso lì puoi chiudere perché tanto hai già // l''unica cosa che non chiedono</t>
  </si>
  <si>
    <t>qual è? // è delle due torri lo sai che io ho sessantasette anni non sono ancora andato sulle due torri? // no davvero? // no</t>
  </si>
  <si>
    <t>#556752</t>
  </si>
  <si>
    <t>https://search.corpuskiparla.it/corpus/player/player.cgi?code=PBC018&amp;begin=2207280&amp;end=2211474</t>
  </si>
  <si>
    <t>dire // adesso lì puoi chiudere perché tanto hai già // l''unica cosa che non chiedono sai qual è? // è delle due torri lo</t>
  </si>
  <si>
    <t>che io ho sessantasette anni non sono ancora andato sulle due torri? // no davvero? // no // ma no // ho sempre detto che ci</t>
  </si>
  <si>
    <t>PBB027</t>
  </si>
  <si>
    <t>#565571</t>
  </si>
  <si>
    <t>doc#71</t>
  </si>
  <si>
    <t>https://search.corpuskiparla.it/corpus/player/player.cgi?code=PBB027&amp;begin=2231562&amp;end=2236167</t>
  </si>
  <si>
    <t>BOI097</t>
  </si>
  <si>
    <t>https://search.corpuskiparla.it/corpus/conversations/PBB027.html</t>
  </si>
  <si>
    <t>https://search.corpuskiparla.it/corpus/conversations/PBB027_jefferson.html</t>
  </si>
  <si>
    <t>parlando // eh eh mi viene in mente delle parole mi viene in mente // vabbè già che stia~ già che è venuto in fuori // sì sì //</t>
  </si>
  <si>
    <t>uno slang bolognese che magari dà a me anche anche // con con altri fuori da da bologna // lo dico così come se fosse normale</t>
  </si>
  <si>
    <t>BOA3016</t>
  </si>
  <si>
    <t>doc#73</t>
  </si>
  <si>
    <t>https://search.corpuskiparla.it/corpus/conversations/BOA3016.html</t>
  </si>
  <si>
    <t>https://search.corpuskiparla.it/corpus/conversations/BOA3016_jefferson.html</t>
  </si>
  <si>
    <t>#574170</t>
  </si>
  <si>
    <t>https://search.corpuskiparla.it/corpus/player/player.cgi?code=BOA3016&amp;begin=609651&amp;end=611380</t>
  </si>
  <si>
    <t>BO148</t>
  </si>
  <si>
    <t>// // due si lasciano a quel punto credo // mh // però se è per un tempo molto determinato tipo tot mesi // si può fare perché</t>
  </si>
  <si>
    <t>che finirà // mh // mh mh // cioè sai okay devo avere pazienza tre mesi quattro mesi sei mesi // che magari ci vediamo una</t>
  </si>
  <si>
    <t>#574180</t>
  </si>
  <si>
    <t>https://search.corpuskiparla.it/corpus/player/player.cgi?code=BOA3016&amp;begin=611567&amp;end=614943</t>
  </si>
  <si>
    <t>credo // mh // però se è per un tempo molto determinato tipo tot mesi // si può fare perché sai che finirà // mh // mh mh // cioè</t>
  </si>
  <si>
    <t>okay devo avere pazienza tre mesi quattro mesi sei mesi // che magari ci vediamo una volta al mese // però poi è finita lì //</t>
  </si>
  <si>
    <t>#576306</t>
  </si>
  <si>
    <t>https://search.corpuskiparla.it/corpus/player/player.cgi?code=PTB015&amp;begin=266588&amp;end=269115</t>
  </si>
  <si>
    <t>TOI052</t>
  </si>
  <si>
    <t>ehm // disegnate così e? // sì ma sono strane come storie cioè nel senso // ah sì? // sì perché // c''è sempre sti coniglietti</t>
  </si>
  <si>
    <t>che sono // eh sì sì // eh // che combinano sempre qualcosa e vengono sgridati cose un po'' strane // // no ma senti è come i</t>
  </si>
  <si>
    <t>#577404</t>
  </si>
  <si>
    <t>https://search.corpuskiparla.it/corpus/player/player.cgi?code=PTB015&amp;begin=534135&amp;end=536800</t>
  </si>
  <si>
    <t>// eh beh certo // // sono qualcuno // senti domenica faceva sessantadue anni di matrimonio // io qua e lui là // eh eh // //</t>
  </si>
  <si>
    <t>cosa mi ha detto che l''ho telefonato mi fa // non è che non ti sei ricordata dell''anniversario ho detto io sì // // // che mi</t>
  </si>
  <si>
    <t>#577713</t>
  </si>
  <si>
    <t>https://search.corpuskiparla.it/corpus/player/player.cgi?code=PTB015&amp;begin=604652&amp;end=608820</t>
  </si>
  <si>
    <t>chiamato // sì eravamo lì eh // eh // non le ha fatto alla zia anna // ah no? // non le ha cantato // non si è più ricordato e</t>
  </si>
  <si>
    <t>che zia anna xxxx è fumina eh // eh ci tiene // // ah ah // eh la fe~ x il giorno dopo mi dice ma papà non mi ha telefonato non mi</t>
  </si>
  <si>
    <t>#579639</t>
  </si>
  <si>
    <t>https://search.corpuskiparla.it/corpus/player/player.cgi?code=PTB015&amp;begin=1064447&amp;end=1071620</t>
  </si>
  <si>
    <t>lei piangeva dietro la porta mamma non mi lasciano entrare perché stanno combinando per il regalo // mah // // // // e</t>
  </si>
  <si>
    <t>invece chi è così? luna solamente che luna è la più grande però è sempre stata così pure lei non è capace a tenere i segreti x</t>
  </si>
  <si>
    <t>#580681</t>
  </si>
  <si>
    <t>https://search.corpuskiparla.it/corpus/player/player.cgi?code=PTB015&amp;begin=1345653&amp;end=1346913</t>
  </si>
  <si>
    <t>si ehm // è tagliato la pelle? // eh non so come ho fatto // però // ma lei è una sarta? // ma va figurati // ma va figurati non</t>
  </si>
  <si>
    <t>// lei cuo~ cuce? // certo lei ha fatto dei vestiti bellissimi // sei una sarta? // ah sì? // davvero? // ti piace fare i</t>
  </si>
  <si>
    <t>#583508</t>
  </si>
  <si>
    <t>https://search.corpuskiparla.it/corpus/player/player.cgi?code=PTB015&amp;begin=2063500&amp;end=2065230</t>
  </si>
  <si>
    <t>di politica // discutete // si discute come dei pazzi // ma più che altro perché // ehm // abbiamo iniziato a parlare //</t>
  </si>
  <si>
    <t>che c''è st~ ha fatto il cominzio? // salvini ha fatto il comizio a settimo // ah sì // sì sì sì // eh sono andati dei ragazzi a</t>
  </si>
  <si>
    <t>BOA3020</t>
  </si>
  <si>
    <t>doc#75</t>
  </si>
  <si>
    <t>BO152</t>
  </si>
  <si>
    <t>https://search.corpuskiparla.it/corpus/conversations/BOA3020.html</t>
  </si>
  <si>
    <t>https://search.corpuskiparla.it/corpus/conversations/BOA3020_jefferson.html</t>
  </si>
  <si>
    <t>#588226</t>
  </si>
  <si>
    <t>https://search.corpuskiparla.it/corpus/player/player.cgi?code=BOA3020&amp;begin=338995&amp;end=340835</t>
  </si>
  <si>
    <t>BO153</t>
  </si>
  <si>
    <t>eh beh effettivamente non essendoci le lezioni e nulla // così // cavolo // non ho niente da fare // eh // a parte la tesi //</t>
  </si>
  <si>
    <t>che ti laurei a marzo // mh mh // no non voglio // non mi laureo allora // ma io mi chiedo scusate come fa uno a laurearsi tipo a</t>
  </si>
  <si>
    <t>#591981</t>
  </si>
  <si>
    <t>https://search.corpuskiparla.it/corpus/player/player.cgi?code=BOA3020&amp;begin=1271970&amp;end=1273190</t>
  </si>
  <si>
    <t>// grazie greg // ti iscrivi? // a? // a che cosa? // // a questo // uno è // crossing me~ medi~ oh io non so l'' inglese // // non</t>
  </si>
  <si>
    <t>l'' inglese? // sì // e poi l'' altro è lingue e letterature europee americane post coloniali // che è doppio diploma in // è</t>
  </si>
  <si>
    <t>#598786</t>
  </si>
  <si>
    <t>https://search.corpuskiparla.it/corpus/player/player.cgi?code=KPS016&amp;begin=1988778&amp;end=1991753</t>
  </si>
  <si>
    <t>PKP084</t>
  </si>
  <si>
    <t>// dall''adria~ però o anche pa~ possono arrivare anche dalla // dal mare // dal mare del nord da altri dalla spagna non lo</t>
  </si>
  <si>
    <t>cioè n // dal po // te lo dicono // c''è scritto // quelle che compri qua // sono ovviamente x di pescatori // se al bennet v~</t>
  </si>
  <si>
    <t>PTA016</t>
  </si>
  <si>
    <t>doc#78</t>
  </si>
  <si>
    <t>TOI033</t>
  </si>
  <si>
    <t>https://search.corpuskiparla.it/corpus/conversations/PTA016.html</t>
  </si>
  <si>
    <t>https://search.corpuskiparla.it/corpus/conversations/PTA016_jefferson.html</t>
  </si>
  <si>
    <t>#623435</t>
  </si>
  <si>
    <t>https://search.corpuskiparla.it/corpus/player/player.cgi?code=PTA016&amp;begin=1347810&amp;end=1352510</t>
  </si>
  <si>
    <t>a fine serata poi vanno pagate // e io sai rimani un attimo // cioè erano delle escort? // cosa? eran delle sì // e io // però</t>
  </si>
  <si>
    <t>io giustamente faccio no no vediamo come va a finire dai che ridere che scasso // che scasso e infatti poi siamo // siamo</t>
  </si>
  <si>
    <t>#626724</t>
  </si>
  <si>
    <t>https://search.corpuskiparla.it/corpus/player/player.cgi?code=PTA016&amp;begin=2268890&amp;end=2272320</t>
  </si>
  <si>
    <t>bambino col signore degli anelli // mhmh // avevo anche letto il libro // mh // un mattone // mia mamma era incredula fa ah</t>
  </si>
  <si>
    <t>leggere quindi sì mamma x xx // // però in realtà vado a vedere un po'' tutti i generi // mhmh // appassionati deleh genere</t>
  </si>
  <si>
    <t>KPN004</t>
  </si>
  <si>
    <t>doc#79</t>
  </si>
  <si>
    <t>PKP016</t>
  </si>
  <si>
    <t>https://search.corpuskiparla.it/corpus/conversations/KPN004.html</t>
  </si>
  <si>
    <t>https://search.corpuskiparla.it/corpus/conversations/KPN004_jefferson.html</t>
  </si>
  <si>
    <t>#630507</t>
  </si>
  <si>
    <t>https://search.corpuskiparla.it/corpus/player/player.cgi?code=KPN004&amp;begin=1173647&amp;end=1175127</t>
  </si>
  <si>
    <t>che ce li fa fare prima invece c''era qualcuno che // non lo riteneva // necessario // ma uno non è che una volta che fa // poi</t>
  </si>
  <si>
    <t>le cose cambiano // eh // in realtà a qualche con convention a qualche congresso ci sia~ ci sono andata // alla camera di</t>
  </si>
  <si>
    <t>#630535</t>
  </si>
  <si>
    <t>https://search.corpuskiparla.it/corpus/player/player.cgi?code=KPN004&amp;begin=1186732&amp;end=1188704</t>
  </si>
  <si>
    <t>// eh // in realtà a qualche con convention a qualche congresso ci sia~ ci sono andata // alla camera di commercio // poi</t>
  </si>
  <si>
    <t>nel tempo le cose diventano xx // comunque nessun lavoro // i corsi di formazione diventano sempre più frequenti //</t>
  </si>
  <si>
    <t>#632859</t>
  </si>
  <si>
    <t>https://search.corpuskiparla.it/corpus/player/player.cgi?code=KPN004&amp;begin=1961620&amp;end=1969341</t>
  </si>
  <si>
    <t>// no beh vabbè uno lo imbastisce però sa già che deve tenere a riferimento quella cosa lì // masticare certe cose // e</t>
  </si>
  <si>
    <t>per esempio dei contra~ per esempio lui ha detto adesso abbiamo parlato di queste cose prendete i vostri contratti</t>
  </si>
  <si>
    <t>PBA014</t>
  </si>
  <si>
    <t>doc#80</t>
  </si>
  <si>
    <t>BOR019</t>
  </si>
  <si>
    <t>https://search.corpuskiparla.it/corpus/conversations/PBA014.html</t>
  </si>
  <si>
    <t>https://search.corpuskiparla.it/corpus/conversations/PBA014_jefferson.html</t>
  </si>
  <si>
    <t>BOI076</t>
  </si>
  <si>
    <t>#637308</t>
  </si>
  <si>
    <t>https://search.corpuskiparla.it/corpus/player/player.cgi?code=PBA014&amp;begin=1634330&amp;end=1636470</t>
  </si>
  <si>
    <t>fatto estate ragazzi e mi ricordo che mh // ahm un giorno si andava in questa villa // qua nei dintorni // oddio // fuori //</t>
  </si>
  <si>
    <t>che la villa non credo di averla mai fatta // io sempre // perchè mi ricordo molto bene // su a san luca che ci sono i campi</t>
  </si>
  <si>
    <t>#638914</t>
  </si>
  <si>
    <t>https://search.corpuskiparla.it/corpus/player/player.cgi?code=KPC003&amp;begin=744281&amp;end=747998</t>
  </si>
  <si>
    <t>allora se mangi troppo svieni se non man~ se mangi poco svieni ma ammazzati scusa eh // no // vuoi altri due peperoni? // lo</t>
  </si>
  <si>
    <t>che ci ho la pressione bassa sì grazie dai dividili te // mh con la pressione che mi ritrovo vai vai xx eh // io non posso //</t>
  </si>
  <si>
    <t>#640660</t>
  </si>
  <si>
    <t>https://search.corpuskiparla.it/corpus/player/player.cgi?code=KPC003&amp;begin=1465152&amp;end=1466255</t>
  </si>
  <si>
    <t>// non so // // non so perchè non sembra un po'' russa da dire non so perchè // non so perchè // comunque // boh non so // non</t>
  </si>
  <si>
    <t>perchè insom~ // no mh // t''ho detto non ne prendere una quintalata // beh dai che le mangi // era poco il carpaccio // eh? //</t>
  </si>
  <si>
    <t>#643482</t>
  </si>
  <si>
    <t>https://search.corpuskiparla.it/corpus/player/player.cgi?code=TOA3002&amp;begin=449301&amp;end=461240</t>
  </si>
  <si>
    <t>ho tipo un libro di metodologia che è un manuale allora mi sono presa male che magari avrei dovuto scrivere qualcosa tipo</t>
  </si>
  <si>
    <t>// sì sì sì // come come ha fatto tal dei tali oppure in accordo col metodo di sticazzi // beh ma alla fine // ecioèmh mi fa</t>
  </si>
  <si>
    <t>TOA3013</t>
  </si>
  <si>
    <t>#658569</t>
  </si>
  <si>
    <t>doc#84</t>
  </si>
  <si>
    <t>https://search.corpuskiparla.it/corpus/player/player.cgi?code=TOA3013&amp;begin=142214&amp;end=143712</t>
  </si>
  <si>
    <t>TO092</t>
  </si>
  <si>
    <t>https://search.corpuskiparla.it/corpus/conversations/TOA3013.html</t>
  </si>
  <si>
    <t>https://search.corpuskiparla.it/corpus/conversations/TOA3013_jefferson.html</t>
  </si>
  <si>
    <t>una volta era molto più xxxxx // e invece xx // cioè non c'' era nes~ cioè non c'' era nessuno // anzi mi ero anche fatta male //</t>
  </si>
  <si>
    <t>che ci sono i sassoni quelli grandi? // mh mh // ero scivolata mi era entrato un sasso nel dito // solo come vi ho detto io</t>
  </si>
  <si>
    <t>PTB004</t>
  </si>
  <si>
    <t>doc#85</t>
  </si>
  <si>
    <t>https://search.corpuskiparla.it/corpus/conversations/PTB004.html</t>
  </si>
  <si>
    <t>https://search.corpuskiparla.it/corpus/conversations/PTB004_jefferson.html</t>
  </si>
  <si>
    <t>#665323</t>
  </si>
  <si>
    <t>https://search.corpuskiparla.it/corpus/player/player.cgi?code=PTB004&amp;begin=1047291&amp;end=1052881</t>
  </si>
  <si>
    <t>TOI019</t>
  </si>
  <si>
    <t>beh // e è stato difficile abituarsi alla città? // no no // no? // io sono una che m~ mi so adattare la mia sofferenza è stata</t>
  </si>
  <si>
    <t>cosa è stata la mia sofferenza? // che mh // sedici mesi prima era morto mio padre // mh // era morto così quasi</t>
  </si>
  <si>
    <t>#670902</t>
  </si>
  <si>
    <t>https://search.corpuskiparla.it/corpus/player/player.cgi?code=PTA005&amp;begin=295753&amp;end=300508</t>
  </si>
  <si>
    <t>padre oltre a quello fa anche // ha aperto anche un locale dove ci lavora dentro quindi lavora venti ore al giorno quindi</t>
  </si>
  <si>
    <t>// va verso i sessant''anni ma niente lo ferma // // non è così facile certe volte // però puoi solo che stimarlo quindi // mh</t>
  </si>
  <si>
    <t>#670954</t>
  </si>
  <si>
    <t>https://search.corpuskiparla.it/corpus/player/player.cgi?code=PTA005&amp;begin=312801&amp;end=315458</t>
  </si>
  <si>
    <t>stimarlo quindi // mh mh mh mh // star a fianco a lui e poi è il tuo lavoro // certo // senza quello non puoi fare niente allora</t>
  </si>
  <si>
    <t>// hai sempre fatto quel lavoro? // sì solo quello // okay ti piacerebbe andare avanti a fare lo stesso lavoro o vorresti</t>
  </si>
  <si>
    <t>#672309</t>
  </si>
  <si>
    <t>https://search.corpuskiparla.it/corpus/player/player.cgi?code=PTA005&amp;begin=759795&amp;end=764370</t>
  </si>
  <si>
    <t>la rigidità sotto certi aspetti // mh mh // mh mh // e ti faccio esempio // comunque ho operai che han lavorato in germania</t>
  </si>
  <si>
    <t>prendo sempre quello come punto di riferimento // mh mh mh // ma perché là sono molto rigidi // mh mh // nel senso tu lavori</t>
  </si>
  <si>
    <t>#673796</t>
  </si>
  <si>
    <t>https://search.corpuskiparla.it/corpus/player/player.cgi?code=PTA005&amp;begin=1209796&amp;end=1213198</t>
  </si>
  <si>
    <t>io // imparassi l''inglese come vorrei fare // imparassi un po'' il computer // posso mangiare in testa a tanta altra gente</t>
  </si>
  <si>
    <t>perché? // beh certo // perché dormono // mh mh mh mh // poi impari a svegliarti poi però è normale // e non so fare alcune</t>
  </si>
  <si>
    <t>#675648</t>
  </si>
  <si>
    <t>https://search.corpuskiparla.it/corpus/player/player.cgi?code=PTA005&amp;begin=1861203&amp;end=1863207</t>
  </si>
  <si>
    <t>a disegnare la gioconda // // posso garantire che disegnato con una matita su un foglio // è andata proprio bene // però</t>
  </si>
  <si>
    <t>son quelle cose // mi son spinto un po'' olt~ // // no forse avrei dovuto intraprendere ecco quello // se dovevo dirti c~ mi</t>
  </si>
  <si>
    <t>#676110</t>
  </si>
  <si>
    <t>https://search.corpuskiparla.it/corpus/player/player.cgi?code=PTA005&amp;begin=1994940&amp;end=1997707</t>
  </si>
  <si>
    <t>o verso lingotto? // no qua // qua in zona // son quelli di football // ah okay // poi vabbè è cambiato tante cose // nel senso</t>
  </si>
  <si>
    <t>e inizi a convivere // si sono allargate le amicizie // però ti devo dire gli amici // xx anche i miei amici // gli amici //</t>
  </si>
  <si>
    <t>#679770</t>
  </si>
  <si>
    <t>https://search.corpuskiparla.it/corpus/player/player.cgi?code=PTA005&amp;begin=3070390&amp;end=3072407</t>
  </si>
  <si>
    <t>// quindi c''era il sano razzismo // cioè su via frejus era proprio cartelli // razzismo // ne parliamo ancora adesso</t>
  </si>
  <si>
    <t>// quando sono arrivati i rumeni // ma dimentichiamo quello che realmente han passato chi veniva da giù // mio nonno si è</t>
  </si>
  <si>
    <t>#681691</t>
  </si>
  <si>
    <t>https://search.corpuskiparla.it/corpus/player/player.cgi?code=PTA005&amp;begin=3680644&amp;end=3683776</t>
  </si>
  <si>
    <t>spaccio di roba // di di case occupate // ma è normale che in una città non ci sia il controllo // qua non si sta parla~ perché</t>
  </si>
  <si>
    <t>cos''è il problema vero // e se tu fai un discorso del genere ti vie~ razzista // tu cosa pensi // ma non c''entra niente è que~</t>
  </si>
  <si>
    <t>#682099</t>
  </si>
  <si>
    <t>https://search.corpuskiparla.it/corpus/player/player.cgi?code=PTA005&amp;begin=3818060&amp;end=3821897</t>
  </si>
  <si>
    <t>// lui fa guarda noi avevamo il il dovere // comunque di andare in giro sai dove spacciavano // loro riprendevano</t>
  </si>
  <si>
    <t>facevano i filmati // mh mh // intercettavano dove spacciavano pesantemente // poi facevan le retate quelle vere //</t>
  </si>
  <si>
    <t>#682940</t>
  </si>
  <si>
    <t>https://search.corpuskiparla.it/corpus/player/player.cgi?code=PTA005&amp;begin=4059299&amp;end=4061255</t>
  </si>
  <si>
    <t>li hanno spostati di là // perché questi son delle marionette non c''entran niente loro // mh mh mh // però il problema</t>
  </si>
  <si>
    <t>cos''è // la marionetta superata l''ora che non ha dato la roba // vuoi vogliamo andarli a riprendere alle tra di notte? //</t>
  </si>
  <si>
    <t>#683058</t>
  </si>
  <si>
    <t>https://search.corpuskiparla.it/corpus/player/player.cgi?code=PTA005&amp;begin=4095559&amp;end=4100087</t>
  </si>
  <si>
    <t>razzismo né altro ma questo è // e poi c''è troppi drogati in giro // non è per niente ma nel mio lavoro // ma se tu vai in giro ma</t>
  </si>
  <si>
    <t>quanta gente mi arriva che è pippata da far schifo // ecco se quello che vuoi che ti dico gira veramente troppa coca // mh mh</t>
  </si>
  <si>
    <t>#683176</t>
  </si>
  <si>
    <t>https://search.corpuskiparla.it/corpus/player/player.cgi?code=PTA005&amp;begin=4123297&amp;end=4126212</t>
  </si>
  <si>
    <t>tempi dei nostri genitori c''era l''eroina // mh mh // xx xx // però che cosa succedeva vedevi proprio le siringhe in giro //</t>
  </si>
  <si>
    <t>che c''è stato il periodo pesante dell''eroina // eh // infatti e poi son riusciti // si è tramutata un po'' in cocaina sai</t>
  </si>
  <si>
    <t>#685128</t>
  </si>
  <si>
    <t>https://search.corpuskiparla.it/corpus/player/player.cgi?code=PTA005&amp;begin=4656264&amp;end=4658773</t>
  </si>
  <si>
    <t>più giocare // non puoi più giocare? // no ma s~ // okay // però ti piace allenare quindi come dire // sì sì // sì sì // ma tu</t>
  </si>
  <si>
    <t>giocare a madden con la play? // sì // xxx // vabbè ci giocavo anni fa // ah okay // perché // perché io me l''ero preso //</t>
  </si>
  <si>
    <t>#686190</t>
  </si>
  <si>
    <t>https://search.corpuskiparla.it/corpus/player/player.cgi?code=PTA005&amp;begin=4916181&amp;end=4918286</t>
  </si>
  <si>
    <t>il problema è che gli è piaciuto anche a lei // xxxx // poi ora fa la gradassa però il discorso è questo // eh no vabbè //</t>
  </si>
  <si>
    <t>perché t~ ti potrebbe piacere? // poi non lo so se ti piace il genere però // tu ti guardi il trono di spade // il trono di</t>
  </si>
  <si>
    <t>#687859</t>
  </si>
  <si>
    <t>https://search.corpuskiparla.it/corpus/player/player.cgi?code=PTA005&amp;begin=5350217&amp;end=5352996</t>
  </si>
  <si>
    <t>// sì // hai guardato star wars? // sì non m''è piaciuto // l''ultimo star wars non non è stato bello // più che al~ // perché</t>
  </si>
  <si>
    <t>che ora è sotto la disney? // sì sì sì // mh mh // c~ c''erano i pokemon in questo star wars // sì // non c''erano gl~ gli animali</t>
  </si>
  <si>
    <t>#688289</t>
  </si>
  <si>
    <t>https://search.corpuskiparla.it/corpus/player/player.cgi?code=PTA005&amp;begin=5480534&amp;end=5483399</t>
  </si>
  <si>
    <t>no davvero // dart fener // e anche l''attore che ha fatto anakin i primi era ragazzino // negli ultimi comunque la faccia</t>
  </si>
  <si>
    <t>la era // un attore pr~ becchi sto deficiente cioè ma raga // mh // che delusione // // che delusione // va bene che lei è una</t>
  </si>
  <si>
    <t>#688621</t>
  </si>
  <si>
    <t>https://search.corpuskiparla.it/corpus/player/player.cgi?code=PTA005&amp;begin=5587304&amp;end=5591370</t>
  </si>
  <si>
    <t>macchina ascolto la musica classica che mi rilassa // // che ti devo dire quando c''ho i momenti eh // xxx musica classica</t>
  </si>
  <si>
    <t>c''è rai uno lì come si chiama // e basta // poi ascolto di tutto e di più // xx // okay // vai ai concerti? // x sono andato ai</t>
  </si>
  <si>
    <t>PBB001</t>
  </si>
  <si>
    <t>#695367</t>
  </si>
  <si>
    <t>doc#87</t>
  </si>
  <si>
    <t>https://search.corpuskiparla.it/corpus/player/player.cgi?code=PBB001&amp;begin=1516500&amp;end=1517905</t>
  </si>
  <si>
    <t>https://search.corpuskiparla.it/corpus/conversations/PBB001.html</t>
  </si>
  <si>
    <t>https://search.corpuskiparla.it/corpus/conversations/PBB001_jefferson.html</t>
  </si>
  <si>
    <t>ma anche lo stadio // anche se non sei troppo vabbè così tifosa // però eh // cosa ne pensi del fatto di fare mh // gli stadi</t>
  </si>
  <si>
    <t>che adesso c''è // un po'' la controversia su stadio // il dall''ara in particolare lo vogliono rifare nuovo // e non si sa se</t>
  </si>
  <si>
    <t>KPN031</t>
  </si>
  <si>
    <t>doc#88</t>
  </si>
  <si>
    <t>https://search.corpuskiparla.it/corpus/conversations/KPN031.html</t>
  </si>
  <si>
    <t>https://search.corpuskiparla.it/corpus/conversations/KPN031_jefferson.html</t>
  </si>
  <si>
    <t>#701524</t>
  </si>
  <si>
    <t>https://search.corpuskiparla.it/corpus/player/player.cgi?code=KPN031&amp;begin=493900&amp;end=495080</t>
  </si>
  <si>
    <t>PKP036</t>
  </si>
  <si>
    <t>// no forse era prima del giappone la pizza // eh // davvero? // è da prima che ci sto pensando ma secondo me sì // mi sa di sì</t>
  </si>
  <si>
    <t>// quindi mi potete raccontare // perché era ancora un po'' estate // mi dovete raccontare del giappone // circa // eh già</t>
  </si>
  <si>
    <t>#702867</t>
  </si>
  <si>
    <t>https://search.corpuskiparla.it/corpus/player/player.cgi?code=KPN031&amp;begin=891713&amp;end=893633</t>
  </si>
  <si>
    <t>PKP033</t>
  </si>
  <si>
    <t>tokyo // ah sì // ma a tokyo cosa si vede // xxx // a tokyo è tipo // son cinque città insieme // new york boh // ah no ma a new york</t>
  </si>
  <si>
    <t>che // cioè io voi ci siete stati // no no // mhmh // cioè secondo me dopo qualche giorno // non c''è più niente // cioè o uno fa</t>
  </si>
  <si>
    <t>#709469</t>
  </si>
  <si>
    <t>https://search.corpuskiparla.it/corpus/player/player.cgi?code=KPN031&amp;begin=2938089&amp;end=2938499</t>
  </si>
  <si>
    <t>adesso // datemi gli aggiornamenti ultimi ma cos''è il progetto? // okay // dell''assegno un prin? no // xxx // xx // non lo</t>
  </si>
  <si>
    <t>// no non xx non // cioè da dove arrivano i soldi? // sì dal pnrr // okay ok~ okay okay // giusto // ehm // sì // però niente è</t>
  </si>
  <si>
    <t>KPS014</t>
  </si>
  <si>
    <t>#717674</t>
  </si>
  <si>
    <t>doc#90</t>
  </si>
  <si>
    <t>https://search.corpuskiparla.it/corpus/player/player.cgi?code=KPS014&amp;begin=140619&amp;end=141648</t>
  </si>
  <si>
    <t>PKP096</t>
  </si>
  <si>
    <t>https://search.corpuskiparla.it/corpus/conversations/KPS014.html</t>
  </si>
  <si>
    <t>https://search.corpuskiparla.it/corpus/conversations/KPS014_jefferson.html</t>
  </si>
  <si>
    <t>FG</t>
  </si>
  <si>
    <t>// sì // cinquecento euro // si soprattutto se hanno fatto di nuovo la passerella ciclabile // eh eh // al mare //</t>
  </si>
  <si>
    <t>com''è utile // così puoi acquistare una bicicletta che ti permetta di non cadere // sì che ti tiene a piombo // a piombo sul</t>
  </si>
  <si>
    <t>#719869</t>
  </si>
  <si>
    <t>https://search.corpuskiparla.it/corpus/player/player.cgi?code=KPS014&amp;begin=1419777&amp;end=1423089</t>
  </si>
  <si>
    <t>permesso di aprire // per la merenda c''era la merenda però mo non ricordo a che ora perchè sono passati molti anni // non lo</t>
  </si>
  <si>
    <t>se era lo spuntino di metà mattina oppure // era lo spuntino di metà mattina si era // ci consentivano di aprire il panaro</t>
  </si>
  <si>
    <t>#726759</t>
  </si>
  <si>
    <t>https://search.corpuskiparla.it/corpus/player/player.cgi?code=KPS004&amp;begin=1457898&amp;end=1459939</t>
  </si>
  <si>
    <t>qualcuna di te giovane con la lambretta? // eh quella tipo tutte quelle mie persona~ // ma me ne hai data qualcuna già xxx</t>
  </si>
  <si>
    <t>// sul cantiere // sulle co~ // secondo me qualcuna me l''hai data // eh beh mo le vedi // io voglio vedere veracruz voglio</t>
  </si>
  <si>
    <t>#729403</t>
  </si>
  <si>
    <t>https://search.corpuskiparla.it/corpus/player/player.cgi?code=KPS004&amp;begin=2188640&amp;end=2194861</t>
  </si>
  <si>
    <t>è andata a finire là dentro subito il nero è sceso e l''ha salvata sì perchè tutti volevamo vedere eccetera e allora</t>
  </si>
  <si>
    <t>// vero? // che guarda un po'' dentro è scivolante cioè l''attenzione // e poi abbiamo visto i leoni i leoni madonna mia eh //</t>
  </si>
  <si>
    <t>#729625</t>
  </si>
  <si>
    <t>https://search.corpuskiparla.it/corpus/player/player.cgi?code=KPS004&amp;begin=2252871&amp;end=2254062</t>
  </si>
  <si>
    <t>go~ // però guarda // e poi cattivini // no ma poi ci stavan~ ci stavano i neri // i i masai è un discorso // so'' belli // che ne</t>
  </si>
  <si>
    <t>tu xxx // però dei masai un altro // xxxxxxxx // xxxx // ah ma ci sono più // i m~ i masai li devi andare a trovare fuori dalla //</t>
  </si>
  <si>
    <t>#729812</t>
  </si>
  <si>
    <t>https://search.corpuskiparla.it/corpus/player/player.cgi?code=KPS004&amp;begin=2304850&amp;end=2308111</t>
  </si>
  <si>
    <t>// passami quel finoccchio // io i kenyoti viene proprio per i neri xxxxxxxxxx quel vecchio là // e poi mi ricordo //</t>
  </si>
  <si>
    <t>che facevano quelle feste là sai quando fanno nel xx // le feste allora devono // ma comunque // sì quello che mi ricordo</t>
  </si>
  <si>
    <t>PKP035</t>
  </si>
  <si>
    <t>#733834</t>
  </si>
  <si>
    <t>https://search.corpuskiparla.it/corpus/player/player.cgi?code=KPS004&amp;begin=3481080&amp;end=3484731</t>
  </si>
  <si>
    <t>// qui c''è un museo // fammi andare a vedere quello che c''è andiamo insieme voglio vedere quello che c''è // ad esempio</t>
  </si>
  <si>
    <t>nei musei ci sta tutta la storia de~ del posto // eh sì eh sì // e io guarda luna di miele // ma poi non è la luna di miele // è è una</t>
  </si>
  <si>
    <t>#734206</t>
  </si>
  <si>
    <t>https://search.corpuskiparla.it/corpus/player/player.cgi?code=KPS004&amp;begin=3558795&amp;end=3567816</t>
  </si>
  <si>
    <t>sopra tutto vedi tutto poi scendemmo ha detto nonna camminiamo qua che qua è bello ecce~ dopo un po'' la nonna mia madre</t>
  </si>
  <si>
    <t>che disse // dice ma non // non si mangia dice // // voleva anda'' a mangia'' // vedi questa è la sostanza // dice tu // dice ma</t>
  </si>
  <si>
    <t>#735599</t>
  </si>
  <si>
    <t>https://search.corpuskiparla.it/corpus/player/player.cgi?code=KPS004&amp;begin=3915653&amp;end=3918597</t>
  </si>
  <si>
    <t>non s''è voluta andare // attraverso villa borghese // ma non siamo già andati al pincio lì c''è il pincio // allora // tu la</t>
  </si>
  <si>
    <t>quelle filastrocche senza senso? // a ai tempi di rascel renato rascel hai sentito nominare? // no no no no // comico</t>
  </si>
  <si>
    <t>#736153</t>
  </si>
  <si>
    <t>https://search.corpuskiparla.it/corpus/player/player.cgi?code=KPS004&amp;begin=4068398&amp;end=4069655</t>
  </si>
  <si>
    <t>io mi ricordo a quei tempi xx // ma non è stata male? // è sta~ quella volta che è stata male // è quella quando è stata male lo</t>
  </si>
  <si>
    <t>// sì sì sì // allora stavamo // sì no questa la so // stavamo a positano // e io avevo fatto già i biglietti tutta per il</t>
  </si>
  <si>
    <t>#736309</t>
  </si>
  <si>
    <t>https://search.corpuskiparla.it/corpus/player/player.cgi?code=KPS004&amp;begin=4106356&amp;end=4107440</t>
  </si>
  <si>
    <t>poi mettiamo den~ dentro i xx lì // ho detto // xx ecco // usciamo un''altra volta perchè amalfi siamo andati // questo</t>
  </si>
  <si>
    <t>come si dice? // mh // #menescia // mh // #menescia dentro // cioè la minestra // #lì rovesciata menescia // ah dici che è la</t>
  </si>
  <si>
    <t>#739597</t>
  </si>
  <si>
    <t>https://search.corpuskiparla.it/corpus/player/player.cgi?code=KPS004&amp;begin=5055286&amp;end=5057768</t>
  </si>
  <si>
    <t>proprio sono contenta guarda // lo so lo so // ora io non mi voglio neanche riempire di cose che // vabbè è una cosa che</t>
  </si>
  <si>
    <t>che te la metti non la butti // infatti // questa non piglia manco tanto posto tanto è leggera // no no ma lo so // è che ho poco</t>
  </si>
  <si>
    <t>#741170</t>
  </si>
  <si>
    <t>https://search.corpuskiparla.it/corpus/player/player.cgi?code=KPS004&amp;begin=5528124&amp;end=5532327</t>
  </si>
  <si>
    <t>tremendo guarda mio nonno giovane era // ehm era giovane rispetto a mia nonna perchè avevano vent''anni di differenza lo</t>
  </si>
  <si>
    <t>no? // mhmh // e quindi lui partiva s''organizzava tutto bene e partiva // e andò lì // e poi quando andò a trovare questi</t>
  </si>
  <si>
    <t>#742020</t>
  </si>
  <si>
    <t>https://search.corpuskiparla.it/corpus/player/player.cgi?code=KPS004&amp;begin=5788325&amp;end=5792367</t>
  </si>
  <si>
    <t>tengo // poi dipende eh // non ho cose di san gabriele inso~ // e faceva i lavoretti così con le perline per la chiesa perchè</t>
  </si>
  <si>
    <t>a quei tempi // facevano tutte ste no e facevano tutt~ e si passa il tempo con ste cose qui della chiesa // mio nonno // la</t>
  </si>
  <si>
    <t>#743270</t>
  </si>
  <si>
    <t>https://search.corpuskiparla.it/corpus/player/player.cgi?code=KPS004&amp;begin=6187081&amp;end=6192673</t>
  </si>
  <si>
    <t>è stato pio dodi~ sì dodicesimo senz''altro // che mandava gli auguri perchè mio padre aveva lasciato una mancia una</t>
  </si>
  <si>
    <t>come fai nella chiesa e quindi arrivava ques~ // poi loro partirono subito in viaggio di nozze // e andarono // a a napoli a</t>
  </si>
  <si>
    <t>#743926</t>
  </si>
  <si>
    <t>https://search.corpuskiparla.it/corpus/player/player.cgi?code=KPS004&amp;begin=6409224&amp;end=6411381</t>
  </si>
  <si>
    <t>nella guerra che stess~ stavan~ // in previsione pot~ che potevano // che potevano peggiorare // perchè era l''inizio</t>
  </si>
  <si>
    <t>le cose eccetera // eccetera e lui allora disse allora mo prendo u~ una ca~ un''altra casa // l''ha presa lì eh // a quella lì</t>
  </si>
  <si>
    <t>#744252</t>
  </si>
  <si>
    <t>https://search.corpuskiparla.it/corpus/player/player.cgi?code=KPS004&amp;begin=6513091&amp;end=6515755</t>
  </si>
  <si>
    <t>detto ma dov''è capito? // mia madre dice sì va bene // però poi non sei curata che ha det~ che ha // che le~ // la so questa // la</t>
  </si>
  <si>
    <t>sta cosa e lei la cristiana se n''è scesa // mhmh // per conto suo e io scesa per conto mio // xx quattro piani a piedi // allora</t>
  </si>
  <si>
    <t>KPC001</t>
  </si>
  <si>
    <t>#749145</t>
  </si>
  <si>
    <t>doc#93</t>
  </si>
  <si>
    <t>https://search.corpuskiparla.it/corpus/player/player.cgi?code=KPC001&amp;begin=850367&amp;end=854228</t>
  </si>
  <si>
    <t>PKP025</t>
  </si>
  <si>
    <t>https://search.corpuskiparla.it/corpus/conversations/KPC001.html</t>
  </si>
  <si>
    <t>https://search.corpuskiparla.it/corpus/conversations/KPC001_jefferson.html</t>
  </si>
  <si>
    <t>è piccolissima poi c''è quella sala rossa // minusc~ // no piccola no // piccolissima // quella rossa è piccolissima ma</t>
  </si>
  <si>
    <t>cos''è è che le porte so chiuse // sì ma lì cosa c''era // l''afro // eh // bellissima però era talmente piccola e chiusa // e poi</t>
  </si>
  <si>
    <t>BOA3011</t>
  </si>
  <si>
    <t>#752532</t>
  </si>
  <si>
    <t>doc#94</t>
  </si>
  <si>
    <t>https://search.corpuskiparla.it/corpus/player/player.cgi?code=BOA3011&amp;begin=242387&amp;end=246468</t>
  </si>
  <si>
    <t>BO097</t>
  </si>
  <si>
    <t>https://search.corpuskiparla.it/corpus/conversations/BOA3011.html</t>
  </si>
  <si>
    <t>https://search.corpuskiparla.it/corpus/conversations/BOA3011_jefferson.html</t>
  </si>
  <si>
    <t>// un po'' raffreddata // xxxx // se ti va abbiamo le tisanine quelle allo zenzero quelle fanno bene per la gola // sì no</t>
  </si>
  <si>
    <t>che ieri me ne sono mangiata un sacco di zenzero // perché mi piace un sacco quello candito // quello candito? // cioè non</t>
  </si>
  <si>
    <t>#752609</t>
  </si>
  <si>
    <t>https://search.corpuskiparla.it/corpus/player/player.cgi?code=BOA3011&amp;begin=283799&amp;end=285212</t>
  </si>
  <si>
    <t>BO095</t>
  </si>
  <si>
    <t>adesso mi voglio muovere un po'' // pilates? // sì dopo all'' una // mi devo fare la ceretta // // non la faccio da secoli // io</t>
  </si>
  <si>
    <t>cosa non faccio da secoli? // mh // la spesa // devo fare anche quella dopo // non c'' ho voglia // // dice e che mangi? boh // //</t>
  </si>
  <si>
    <t>#752930</t>
  </si>
  <si>
    <t>https://search.corpuskiparla.it/corpus/player/player.cgi?code=BOA3011&amp;begin=671340&amp;end=673354</t>
  </si>
  <si>
    <t>di sforzi // // sperando che abbiano cachimela decenti alla coop perché ogni volta mamma mia me li giro tutti // // eva tu</t>
  </si>
  <si>
    <t>per caso che cos'' è? // eh una cosa che si chiama hera? xxx? // qui a bologna? // mh sì è l'' azienda che distribuisce gas e luce</t>
  </si>
  <si>
    <t>#762014</t>
  </si>
  <si>
    <t>https://search.corpuskiparla.it/corpus/player/player.cgi?code=PTD016&amp;begin=366270&amp;end=366670</t>
  </si>
  <si>
    <t>ciucci // mh mh // però i ciucci durano meno // ogni tot lo puoi mettere nell''acqua a bollire e lo sterilizzi così // ah // lo</t>
  </si>
  <si>
    <t>che // cioè ad esempio le coppette cioè sostituiscono i // i gli assorbenti eh risparmi in un anno se fai xxx hanno fatto un</t>
  </si>
  <si>
    <t>#762317</t>
  </si>
  <si>
    <t>https://search.corpuskiparla.it/corpus/player/player.cgi?code=PTD016&amp;begin=448565&amp;end=449105</t>
  </si>
  <si>
    <t>e // un po'' di tutto // mh mh // da // ma? // da // da? // // eh che senti che scuole avete fatto? // da è russo // che ne so // da no //</t>
  </si>
  <si>
    <t>che da // // magari secondo me è // eh eh no // per esempio il suo amichetto diceva da che è rumeno // da è russo e si anche</t>
  </si>
  <si>
    <t>#764841</t>
  </si>
  <si>
    <t>https://search.corpuskiparla.it/corpus/player/player.cgi?code=PTD016&amp;begin=1076325&amp;end=1078620</t>
  </si>
  <si>
    <t>TOI077</t>
  </si>
  <si>
    <t>// ha fatto l''idraulico ha fatto // giulio sa tutto // come mio papà praticamente // giulio sa tutto cioè // sì // servono</t>
  </si>
  <si>
    <t>quelli sono vecchio stampo // sì sì sì sì // sì che tipo ti si rompe qualche mio papà mi ricordo si è rotto un</t>
  </si>
  <si>
    <t>#764938</t>
  </si>
  <si>
    <t>https://search.corpuskiparla.it/corpus/player/player.cgi?code=PTD016&amp;begin=1098216&amp;end=1099956</t>
  </si>
  <si>
    <t>mette lì apre tutto ripara cosa // poi lui // ha fatto tutto ha fatto l''idraulico ha fatto // elettricista eh eh // poi // ma</t>
  </si>
  <si>
    <t>ha fatto anche il salda~ no // qualche cosa di elettricista poi // tubista forse no // sì poi ha fatto // in aziende ha</t>
  </si>
  <si>
    <t>#765705</t>
  </si>
  <si>
    <t>https://search.corpuskiparla.it/corpus/player/player.cgi?code=PTD016&amp;begin=1273593&amp;end=1277883</t>
  </si>
  <si>
    <t>conosciuta bene // eh vabbè poi dopo però // // xx // subito così e ho detto mah // xx // faccio vedere però // mi sa che que~ eh</t>
  </si>
  <si>
    <t>quando vedi quello perché devi xxx son passati eh di di di gente // non avevo le unghie già lì dovevi capire se x ho le unghie</t>
  </si>
  <si>
    <t>#767419</t>
  </si>
  <si>
    <t>https://search.corpuskiparla.it/corpus/player/player.cgi?code=PTD016&amp;begin=1659080&amp;end=1662870</t>
  </si>
  <si>
    <t>fare le torte zia ma io non so neanche montare la panna cioè // // voglio dire // mh // eh però boh almeno io preferirei pu~ //</t>
  </si>
  <si>
    <t>te da quello che mi raccontava lei comunque in cassa dopo un po'' minchia sei sempre lì // la cassa è sempre una cosa al // in</t>
  </si>
  <si>
    <t>#771297</t>
  </si>
  <si>
    <t>https://search.corpuskiparla.it/corpus/player/player.cgi?code=PTD016&amp;begin=2597210&amp;end=2599415</t>
  </si>
  <si>
    <t>e tutto // // io mi ricordo che ogni tanto aprivo gli occhi e facevo così // // vi giuro madonna mia che roba // ma tu la</t>
  </si>
  <si>
    <t>la storia di mia nonna e le mummie? // infatti non mi ricordo poco e niente mi ricordo // infatti sa un cacchio lei quando</t>
  </si>
  <si>
    <t>#771376</t>
  </si>
  <si>
    <t>https://search.corpuskiparla.it/corpus/player/player.cgi?code=PTD016&amp;begin=2613013&amp;end=2616113</t>
  </si>
  <si>
    <t>// ma tu la sa~ voi la sapete la storia di mia nonna e la bresaola? // no // forse sì non so non mi ricordo // praticamente //</t>
  </si>
  <si>
    <t>che mia nonna aveva il banco? che vendeva i salumi? // eh // eh praticamente l''hanno portata a vedere il museo egizio // e</t>
  </si>
  <si>
    <t>#776160</t>
  </si>
  <si>
    <t>https://search.corpuskiparla.it/corpus/player/player.cgi?code=PBB025&amp;begin=507684&amp;end=509592</t>
  </si>
  <si>
    <t>per altri lavorano e quindi // tu quando eri piccola fes~ cioè era festeggiava san petronio? // eh // a // la mia famiglia</t>
  </si>
  <si>
    <t>che non mi ricordo // boh non me lo ricordo cioè proprio // però le scuole venivano chiuse // eh anche questo sai che non me</t>
  </si>
  <si>
    <t>BOR030</t>
  </si>
  <si>
    <t>PBB020</t>
  </si>
  <si>
    <t>#784575</t>
  </si>
  <si>
    <t>doc#99</t>
  </si>
  <si>
    <t>https://search.corpuskiparla.it/corpus/player/player.cgi?code=PBB020&amp;begin=630488&amp;end=638388</t>
  </si>
  <si>
    <t>BOI059</t>
  </si>
  <si>
    <t>https://search.corpuskiparla.it/corpus/conversations/PBB020.html</t>
  </si>
  <si>
    <t>https://search.corpuskiparla.it/corpus/conversations/PBB020_jefferson.html</t>
  </si>
  <si>
    <t>sul nuovo posto // esatto sul~ esatto // ed è fondamentale eh // #sì anche perchè altrimenti ascolta mi dai il tiro? tu non</t>
  </si>
  <si>
    <t>cos''è dici cosa devo fare di questo campanello in cui c''è scritto tiro? // // #io le prime volte ero sconvolto da dammi un</t>
  </si>
  <si>
    <t>KPS010</t>
  </si>
  <si>
    <t>doc#100</t>
  </si>
  <si>
    <t>PKP047</t>
  </si>
  <si>
    <t>https://search.corpuskiparla.it/corpus/conversations/KPS010.html</t>
  </si>
  <si>
    <t>https://search.corpuskiparla.it/corpus/conversations/KPS010_jefferson.html</t>
  </si>
  <si>
    <t>#791831</t>
  </si>
  <si>
    <t>https://search.corpuskiparla.it/corpus/player/player.cgi?code=KPS010&amp;begin=874084&amp;end=875604</t>
  </si>
  <si>
    <t>di più quella lievitata // domani ti svegli ti svegli con me alle otto e andiamo a camminare // no? è il volume // mai //</t>
  </si>
  <si>
    <t>chi mi sembrano tourettici? // quelli di x factor // quelli di x factor? // con i capelli a quella con i capelli rasati</t>
  </si>
  <si>
    <t>#792874</t>
  </si>
  <si>
    <t>https://search.corpuskiparla.it/corpus/player/player.cgi?code=KPS010&amp;begin=1290470&amp;end=1290918</t>
  </si>
  <si>
    <t>le provincie // dovremmo chiederlo infatti // xx se lo avessero nonon sarebbe da richiedere // siccome è un sogno // lo</t>
  </si>
  <si>
    <t>che comun~ // i sogni son // io comunque sono a favore della lombardia a statuto speciale lo sai? // desideri // eh si ormai</t>
  </si>
  <si>
    <t>KPC009</t>
  </si>
  <si>
    <t>#795573</t>
  </si>
  <si>
    <t>doc#101</t>
  </si>
  <si>
    <t>https://search.corpuskiparla.it/corpus/player/player.cgi?code=KPC009&amp;begin=419820&amp;end=422880</t>
  </si>
  <si>
    <t>PKP090</t>
  </si>
  <si>
    <t>https://search.corpuskiparla.it/corpus/conversations/KPC009.html</t>
  </si>
  <si>
    <t>https://search.corpuskiparla.it/corpus/conversations/KPC009_jefferson.html</t>
  </si>
  <si>
    <t>PG</t>
  </si>
  <si>
    <t>ma ''ndo va ? // semo vecchie // amh l''itis // non te lo volevo di'' // eh ? // all''itis // davvero io nno lo sapevo // si // mo'' lo</t>
  </si>
  <si>
    <t>si fa il primo // ma scusa quindi // de l''itis // e come va? // xxx quindici anni quanto c''ha il tuo fratello'' // male? // mh //</t>
  </si>
  <si>
    <t>#800814</t>
  </si>
  <si>
    <t>https://search.corpuskiparla.it/corpus/player/player.cgi?code=KPC009&amp;begin=1705121&amp;end=1706838</t>
  </si>
  <si>
    <t>e basta // #so ita al bagno gli ho detto me raccomando non pagare me raccomando non pagare so'' ita al bagno ha pagato // lo</t>
  </si>
  <si>
    <t>no // gli ho fatto quando è pagato ? gli ho detto perchè so'' curiosa diciott''euro quanto ? gli ho detto ? diciotto euro? non</t>
  </si>
  <si>
    <t>#800868</t>
  </si>
  <si>
    <t>https://search.corpuskiparla.it/corpus/player/player.cgi?code=KPC009&amp;begin=1719717&amp;end=1723141</t>
  </si>
  <si>
    <t>non em preso niente eh // diciotto euro // madonna // ma el s''è // quell''altra metà ( dei soldi) è la mia gli ho ditto // ma lo</t>
  </si>
  <si>
    <t>n''dove avevano portato tanta roba ? // a arezzo è visto ''ndo c''è zara ? // mh // visto che c''è un barrettino davanti lì</t>
  </si>
  <si>
    <t>#809141</t>
  </si>
  <si>
    <t>https://search.corpuskiparla.it/corpus/player/player.cgi?code=KPN025&amp;begin=51400&amp;end=51806</t>
  </si>
  <si>
    <t>puoi mangiare tutti i giorni // secondo me non ha senso andare stasera perché se piove // c''è lì è anche al all''aperto // ma</t>
  </si>
  <si>
    <t>// questo tempo // ormai ultimamente è molto // balzano // eh // e quindi // da un momento all''altro può smettere può</t>
  </si>
  <si>
    <t>#815979</t>
  </si>
  <si>
    <t>https://search.corpuskiparla.it/corpus/player/player.cgi?code=KPN025&amp;begin=1746613&amp;end=1746926</t>
  </si>
  <si>
    <t>x // pure tutto sto allarmi~ // cioè // okay un minimo sì // però // quando si passa dall''altra parte è troppo // eh // eh xx //</t>
  </si>
  <si>
    <t>// lei ha perso la madre // che non è tanto // mhmh // infatti anche quello // allora xx // sì ma non l''ha persa mica per il</t>
  </si>
  <si>
    <t>#825016</t>
  </si>
  <si>
    <t>https://search.corpuskiparla.it/corpus/player/player.cgi?code=PBA013&amp;begin=1177664&amp;end=1180966</t>
  </si>
  <si>
    <t>futuro lo vedi // con vabbè ovviamente una persona accanto un figlio una figlia un bambino ics // mhmh // mh x // sì oddio</t>
  </si>
  <si>
    <t>non ho pensato tanto a // con chi av~ perchè sai ci sono anche papà e madri // x // single quello sì // sole // certo certo //</t>
  </si>
  <si>
    <t>#825027</t>
  </si>
  <si>
    <t>https://search.corpuskiparla.it/corpus/player/player.cgi?code=PBA013&amp;begin=1181305&amp;end=1184213</t>
  </si>
  <si>
    <t>accanto un figlio una figlia un bambino ics // mhmh // mh x // sì oddio sai non ho pensato tanto a // con chi av~ perchè</t>
  </si>
  <si>
    <t>ci sono anche papà e madri // x // single quello sì // sole // certo certo // alla fin dei conti basta trovar l''amore // cioè</t>
  </si>
  <si>
    <t>#825532</t>
  </si>
  <si>
    <t>https://search.corpuskiparla.it/corpus/player/player.cgi?code=PBA013&amp;begin=1317848&amp;end=1321967</t>
  </si>
  <si>
    <t>una volta no? sicuramente lo avrò lo devo avere // no no certo // adesso giustamente c''è molta più titubanza perché non</t>
  </si>
  <si>
    <t>cosa ti aspetta il giorno dopo // sì // assolutamente // vabbè // // è un mondo complesso // eh sì // eh invece no allora mi va</t>
  </si>
  <si>
    <t>#826387</t>
  </si>
  <si>
    <t>https://search.corpuskiparla.it/corpus/player/player.cgi?code=PBA013&amp;begin=1527616&amp;end=1530977</t>
  </si>
  <si>
    <t>che non finirà mai // mhmh // cioè i membri si continuano a sostituire fino all''infinito // aggiornamento // ma ma</t>
  </si>
  <si>
    <t>come mai è arrivata questa cosa qua del nome cugini di campagna? // sì // perch~ gliel''hanno chiesto e loro fa beh // per la</t>
  </si>
  <si>
    <t>#826823</t>
  </si>
  <si>
    <t>https://search.corpuskiparla.it/corpus/player/player.cgi?code=PBA013&amp;begin=1650191&amp;end=1653475</t>
  </si>
  <si>
    <t>anche prima di queste espressioni bolognesi poi tu avevi detto // che non è // bolognese dialetto ma è gergo // sì // tu che</t>
  </si>
  <si>
    <t>tutte queste cose fammi tipo degli esempi di proprio di // parole bolognesi che non sono proprio italiane // allora</t>
  </si>
  <si>
    <t>#828690</t>
  </si>
  <si>
    <t>https://search.corpuskiparla.it/corpus/player/player.cgi?code=PBA013&amp;begin=2154723&amp;end=2156194</t>
  </si>
  <si>
    <t>che non ti piace secondo me è rimini // xx // no il contrario ravenna // no // sul serio? ti piace più rimini di // ma s~ no</t>
  </si>
  <si>
    <t>perché // no perché siam // sono andata vabbè era sempre con matteo // a ravenna siamo andati una domenica domenica tutto</t>
  </si>
  <si>
    <t>#830461</t>
  </si>
  <si>
    <t>https://search.corpuskiparla.it/corpus/player/player.cgi?code=PBA013&amp;begin=2625070&amp;end=2628666</t>
  </si>
  <si>
    <t>// io l''ho visto // però cioè troppe scene splatter // sì ma è esagerato cioè dopo che ne guardi uno o due tutti gli altri</t>
  </si>
  <si>
    <t>già come // io poi ho guarda~ vabbè tipo di s~ // mh de come si chiama quello con samara non mi ricordo il nome // sono tipo //</t>
  </si>
  <si>
    <t>#832466</t>
  </si>
  <si>
    <t>https://search.corpuskiparla.it/corpus/player/player.cgi?code=PBA013&amp;begin=3104102&amp;end=3104692</t>
  </si>
  <si>
    <t>// xxx // eh però sai adesso con le ultime indicazioni dall''alto mi sa che cambiano molto la trama // in che senso? // beh</t>
  </si>
  <si>
    <t>// uccidono i // abb~ // // dai sai comunque si parla comunque già all''epoca fece scalpore del fatto un bacio gay // ah // ah</t>
  </si>
  <si>
    <t>#832475</t>
  </si>
  <si>
    <t>https://search.corpuskiparla.it/corpus/player/player.cgi?code=PBA013&amp;begin=3108230&amp;end=3112354</t>
  </si>
  <si>
    <t>le ultime indicazioni dall''alto mi sa che cambiano molto la trama // in che senso? // beh sai // uccidono i // abb~ // // dai</t>
  </si>
  <si>
    <t>comunque si parla comunque già all''epoca fece scalpore del fatto un bacio gay // ah // ah alla rai è vero // eh capito eh</t>
  </si>
  <si>
    <t>KPS025</t>
  </si>
  <si>
    <t>doc#105</t>
  </si>
  <si>
    <t>PKP132</t>
  </si>
  <si>
    <t>https://search.corpuskiparla.it/corpus/conversations/KPS025.html</t>
  </si>
  <si>
    <t>https://search.corpuskiparla.it/corpus/conversations/KPS025_jefferson.html</t>
  </si>
  <si>
    <t>#837393</t>
  </si>
  <si>
    <t>https://search.corpuskiparla.it/corpus/player/player.cgi?code=KPS025&amp;begin=1530828&amp;end=1534073</t>
  </si>
  <si>
    <t>// sì soggiornare però hanno fatto tre giorni // poco pochissimo // ma loro accettavano il bonus vacanza? // no</t>
  </si>
  <si>
    <t>che non ce l''ho chiesto xx mi sa che non lo accettava // no troppo in per accettare il bonus vacanza // ah sì? // non credo</t>
  </si>
  <si>
    <t>PBA021</t>
  </si>
  <si>
    <t>#839946</t>
  </si>
  <si>
    <t>doc#106</t>
  </si>
  <si>
    <t>https://search.corpuskiparla.it/corpus/player/player.cgi?code=PBA021&amp;begin=433068&amp;end=434719</t>
  </si>
  <si>
    <t>https://search.corpuskiparla.it/corpus/conversations/PBA021.html</t>
  </si>
  <si>
    <t>https://search.corpuskiparla.it/corpus/conversations/PBA021_jefferson.html</t>
  </si>
  <si>
    <t>cosa però in generale è molto bello poi so che a bologna fanno tante feste su il quattro di ottobre quindi // ad esempio?</t>
  </si>
  <si>
    <t>qualcosa? // mh x so che comunque delle m~ manifestazioni per l''appunto in piazza e poi se non mi sbaglio fanno una specie</t>
  </si>
  <si>
    <t>#842030</t>
  </si>
  <si>
    <t>https://search.corpuskiparla.it/corpus/player/player.cgi?code=PBA021&amp;begin=1135912&amp;end=1140197</t>
  </si>
  <si>
    <t>BOI090</t>
  </si>
  <si>
    <t>// siam sempre stati ma // non per forza festoni troppo elaborati cioè anche stare in spiaggia tutta notte // perchè tu</t>
  </si>
  <si>
    <t>che tutta notte in spiaggia ci sarà la musica ci saranno i bar // posti in cui ci si può divertire senza fare danni ecco //</t>
  </si>
  <si>
    <t>#843464</t>
  </si>
  <si>
    <t>https://search.corpuskiparla.it/corpus/player/player.cgi?code=PBA021&amp;begin=1625710&amp;end=1628303</t>
  </si>
  <si>
    <t>in piazza maggiore // sì assolutamente ci sono anche stata // mh che film hai visto? // l''anno // allora // quell''anno</t>
  </si>
  <si>
    <t>che non me lo ricordo // non me lo ricordo però ci sono stata // ed è stato bellissimo // non mi ricordo che film ho visto ci</t>
  </si>
  <si>
    <t>#846971</t>
  </si>
  <si>
    <t>https://search.corpuskiparla.it/corpus/player/player.cgi?code=BOA3004&amp;begin=75054&amp;end=76052</t>
  </si>
  <si>
    <t>tutte le nostre robbe infizzate nei vari spazi // perché mh c'' è è un po'' piccolo per cinque persone // sì vabbè</t>
  </si>
  <si>
    <t>// no poi sono arrivati anche i genitori di antonio che gli hanno portato un sacco di cibo da giù robe eccetera // c'' erano</t>
  </si>
  <si>
    <t>#848099</t>
  </si>
  <si>
    <t>https://search.corpuskiparla.it/corpus/player/player.cgi?code=BOA3004&amp;begin=426242&amp;end=427305</t>
  </si>
  <si>
    <t>sì // ori non so perchè so che sara e ori hanno un po'' litigacchiato // chi? // sara e ori // sara l'' amica di giada? // mh mh //</t>
  </si>
  <si>
    <t>che vive da lei? // mh mh // però comunque ha avuto sua sorella ida sto weekend // ah è vero // sì che l'' ho sentita // mi so''</t>
  </si>
  <si>
    <t>#850258</t>
  </si>
  <si>
    <t>https://search.corpuskiparla.it/corpus/player/player.cgi?code=BOA3004&amp;begin=1150863&amp;end=1151810</t>
  </si>
  <si>
    <t>un fattore di fibre cose varie // il frullato è stato frullato // mentre il centrifugato è stato centrifugato // no</t>
  </si>
  <si>
    <t>cosa? // adesso l'' ho trovata aspettate aspettate ho la differenza // quando fai un frullato tipo di frutti o di verdure</t>
  </si>
  <si>
    <t>#852346</t>
  </si>
  <si>
    <t>https://search.corpuskiparla.it/corpus/player/player.cgi?code=BOA3004&amp;begin=1767899&amp;end=1768812</t>
  </si>
  <si>
    <t>in aldrovandi // dopo l'' au~ fra vi l'' aula studio di via petroni ed aldrovandi // ma è il // è indiano // parsit? // eh lo</t>
  </si>
  <si>
    <t>fors~ // eh // ehno // quello iraniano? // no no no no no // no // è indiano // no infatti perché parsit mi sa che è proprio un</t>
  </si>
  <si>
    <t>#857432</t>
  </si>
  <si>
    <t>https://search.corpuskiparla.it/corpus/player/player.cgi?code=BOA3004&amp;begin=3385515&amp;end=3388326</t>
  </si>
  <si>
    <t>di fillon in francia che sta avendo problemi e voglio x insomma x // e quell'' attentato nell'' aereoporto maria che mi</t>
  </si>
  <si>
    <t>dire? // non ne so niente quale aereoporto? // ho visto una // non ho capito se era una notizia del cazzo che escono sai che</t>
  </si>
  <si>
    <t>#858937</t>
  </si>
  <si>
    <t>https://search.corpuskiparla.it/corpus/player/player.cgi?code=BOA3004&amp;begin=3814579&amp;end=3821609</t>
  </si>
  <si>
    <t>non che mi piglia ammale che con tutti quei posti liberi ti sei messo nella prima stanza sfigata quando oramai mi sa che lo</t>
  </si>
  <si>
    <t>anche tu che io lì non mi ci metto // // accusato // boh prova a rintracciarlo // no però in realtà io mi ero data una timeline</t>
  </si>
  <si>
    <t>#861241</t>
  </si>
  <si>
    <t>https://search.corpuskiparla.it/corpus/player/player.cgi?code=PTB007&amp;begin=133255&amp;end=136500</t>
  </si>
  <si>
    <t>// mh // e sono emigrati negli anni cinquantuno // negli anni cinquanta ecco // mh // eh sono emigrati perché? // cioè tu lo</t>
  </si>
  <si>
    <t>perché sono emigrati t~ o te lo immagini? // no il mio papà lavorava in miniera // e il lavoro ce l''aveva // ma era</t>
  </si>
  <si>
    <t>#866124</t>
  </si>
  <si>
    <t>https://search.corpuskiparla.it/corpus/player/player.cgi?code=PTB007&amp;begin=1864371&amp;end=1865940</t>
  </si>
  <si>
    <t>TOI021</t>
  </si>
  <si>
    <t>in soggezione anche // messa in soggezione dall''insegnante // e poi a un po'' derisa anche dai compagni // perché se non</t>
  </si>
  <si>
    <t>la lezione // i tempi in cui erano // venivi anche derisa // e quindi l''insegnante proprio anzi // derideva anche lei // ah</t>
  </si>
  <si>
    <t>PTB001</t>
  </si>
  <si>
    <t>#892369</t>
  </si>
  <si>
    <t>doc#111</t>
  </si>
  <si>
    <t>https://search.corpuskiparla.it/corpus/player/player.cgi?code=PTB001&amp;begin=2601940&amp;end=2602580</t>
  </si>
  <si>
    <t>TOI023</t>
  </si>
  <si>
    <t>https://search.corpuskiparla.it/corpus/conversations/PTB001.html</t>
  </si>
  <si>
    <t>https://search.corpuskiparla.it/corpus/conversations/PTB001_jefferson.html</t>
  </si>
  <si>
    <t>ha fatto lei? // sì // anche questo qui grosso // abbiamo dato una mano anche noi quelli tutto eh in lungo dora no? // mh //</t>
  </si>
  <si>
    <t>quello lì // quel // quel quelle vetrate che ci sono // che c''è la posta persino sotto anche no? // ah sì quel palazzo alto</t>
  </si>
  <si>
    <t>KPN015</t>
  </si>
  <si>
    <t>#900324</t>
  </si>
  <si>
    <t>doc#112</t>
  </si>
  <si>
    <t>https://search.corpuskiparla.it/corpus/player/player.cgi?code=KPN015&amp;begin=38746&amp;end=40820</t>
  </si>
  <si>
    <t>https://search.corpuskiparla.it/corpus/conversations/KPN015.html</t>
  </si>
  <si>
    <t>https://search.corpuskiparla.it/corpus/conversations/KPN015_jefferson.html</t>
  </si>
  <si>
    <t>da preparare // mh // questo l''hai preso un sacco di tempo fa però // eh l''avrò preso // dieci giorni fa // un po'' di più // ma</t>
  </si>
  <si>
    <t>sotto sale poi non è che // mh // sì sì non fa niente // mh // quindi questo è quello che si chiama alla vicentina? // sì alla</t>
  </si>
  <si>
    <t>#900818</t>
  </si>
  <si>
    <t>https://search.corpuskiparla.it/corpus/player/player.cgi?code=KPN015&amp;begin=215460&amp;end=219630</t>
  </si>
  <si>
    <t>secco qui o sì? // no io sono partita proprio dal baccalà non dallo stoccafisso // ah // il baccalà parte con il baccalà mh</t>
  </si>
  <si>
    <t>che è sottosale // là però partivano partivano dal da quello secco dal // dallo stoccafisso // ma secondo me son due cose</t>
  </si>
  <si>
    <t>#904232</t>
  </si>
  <si>
    <t>https://search.corpuskiparla.it/corpus/player/player.cgi?code=KPN015&amp;begin=1493106&amp;end=1497188</t>
  </si>
  <si>
    <t>PKP062</t>
  </si>
  <si>
    <t>è anche molto costoso e e lungo lo lo tengono lungo per giustificare anche // eh così mh sì eh tre anni di corso //</t>
  </si>
  <si>
    <t>dai devono loro cioè poi è la loro attività e quindi // c''è anche della gente brava eh // hanno anche d~ d~ dei docenti e //</t>
  </si>
  <si>
    <t>#904935</t>
  </si>
  <si>
    <t>https://search.corpuskiparla.it/corpus/player/player.cgi?code=KPN015&amp;begin=1723560&amp;end=1727308</t>
  </si>
  <si>
    <t>cosa stai bevendo devi dire cioè io il vino lo intendo anche così // è difficile // c''è una cosa scusa eh c''è c''è // un se tu</t>
  </si>
  <si>
    <t>com''è fatto un vino che che quali sono i suoi componenti // allora quando lo bevi sei in grado di distinguere fra acidità</t>
  </si>
  <si>
    <t>#905270</t>
  </si>
  <si>
    <t>https://search.corpuskiparla.it/corpus/player/player.cgi?code=KPN015&amp;begin=1846800&amp;end=1850400</t>
  </si>
  <si>
    <t>PKP057</t>
  </si>
  <si>
    <t>// ma anche anche anche questo qua alla fine sotto in mezzo al misto di roba che senti // per me sa anche di biscotto //</t>
  </si>
  <si>
    <t>tipo l''odore dei cantucci? che ha quell''odore // sì sì // tipo ma~ quei quei gusti un po'' di di vani~ di farina vanigliata</t>
  </si>
  <si>
    <t>PTD010</t>
  </si>
  <si>
    <t>#911489</t>
  </si>
  <si>
    <t>doc#113</t>
  </si>
  <si>
    <t>https://search.corpuskiparla.it/corpus/player/player.cgi?code=PTD010&amp;begin=1286679&amp;end=1287817</t>
  </si>
  <si>
    <t>TOI065</t>
  </si>
  <si>
    <t>https://search.corpuskiparla.it/corpus/conversations/PTD010.html</t>
  </si>
  <si>
    <t>https://search.corpuskiparla.it/corpus/conversations/PTD010_jefferson.html</t>
  </si>
  <si>
    <t>salvario // quindi // oltre allo shock // // di trovarsi immersi nella più totale movida // eh // oltre al trauma magari //</t>
  </si>
  <si>
    <t>no eh // scendi hai lasciato l''auto parcheggiata ci trovi fior fiore di ehm // maschioni seduti sopra // chi ti piscia</t>
  </si>
  <si>
    <t>PBB015</t>
  </si>
  <si>
    <t>#921570</t>
  </si>
  <si>
    <t>doc#114</t>
  </si>
  <si>
    <t>https://search.corpuskiparla.it/corpus/player/player.cgi?code=PBB015&amp;begin=499645&amp;end=507060</t>
  </si>
  <si>
    <t>BOI046</t>
  </si>
  <si>
    <t>https://search.corpuskiparla.it/corpus/conversations/PBB015.html</t>
  </si>
  <si>
    <t>https://search.corpuskiparla.it/corpus/conversations/PBB015_jefferson.html</t>
  </si>
  <si>
    <t>41-45</t>
  </si>
  <si>
    <t>me perchè // ma i turni perchè son pesanti? // no per organizzazione dei turni perchè comunque sì è complesso perchè eh</t>
  </si>
  <si>
    <t>non è che tu lavori dalle sei a mezzogiorno puoi lavorare dalle sei e mezza alle tre oppure // sì // a volte lo sappiamo la</t>
  </si>
  <si>
    <t>BOA3006</t>
  </si>
  <si>
    <t>#926130</t>
  </si>
  <si>
    <t>doc#115</t>
  </si>
  <si>
    <t>https://search.corpuskiparla.it/corpus/player/player.cgi?code=BOA3006&amp;begin=406850&amp;end=410520</t>
  </si>
  <si>
    <t>BO072</t>
  </si>
  <si>
    <t>https://search.corpuskiparla.it/corpus/conversations/BOA3006.html</t>
  </si>
  <si>
    <t>https://search.corpuskiparla.it/corpus/conversations/BOA3006_jefferson.html</t>
  </si>
  <si>
    <t>quel taglio lì quanto èopinabile? e~ e~ è proprio un taglio da pedofilo // sono fredde e schifose // io le butto // ma tu lo</t>
  </si>
  <si>
    <t>che l'' ha istituzionalizzato come taglio pubblico? // si quello assurdo // cioè in nord corea i maschi se c'' hanno i</t>
  </si>
  <si>
    <t>#926495</t>
  </si>
  <si>
    <t>https://search.corpuskiparla.it/corpus/player/player.cgi?code=BOA3006&amp;begin=499630&amp;end=506720</t>
  </si>
  <si>
    <t>avevano fottuto dieci centesimi // anche maria // no eh // no io ficcando la mano nel forno come una mongola tra l'' altro lo</t>
  </si>
  <si>
    <t>quando? quando abbiamo fatto il gioco da tavolo a casa // bastarda // i miei die~ // i miei dieci centesimi no // quando ho</t>
  </si>
  <si>
    <t>PTB021</t>
  </si>
  <si>
    <t>#944141</t>
  </si>
  <si>
    <t>doc#117</t>
  </si>
  <si>
    <t>https://search.corpuskiparla.it/corpus/player/player.cgi?code=PTB021&amp;begin=1304276&amp;end=1307010</t>
  </si>
  <si>
    <t>TOI067</t>
  </si>
  <si>
    <t>https://search.corpuskiparla.it/corpus/conversations/PTB021.html</t>
  </si>
  <si>
    <t>https://search.corpuskiparla.it/corpus/conversations/PTB021_jefferson.html</t>
  </si>
  <si>
    <t>rimane convinta delle loro abitudini dei loro usi e costumi // chi si ribella è finito // l''uomo poi lasciamo perdere //</t>
  </si>
  <si>
    <t>che sono anche un po'' femminista quindi // // però l''uomo lo vedo poco bene // ho più speranza nel mondo femminile</t>
  </si>
  <si>
    <t>#946126</t>
  </si>
  <si>
    <t>https://search.corpuskiparla.it/corpus/player/player.cgi?code=PTB021&amp;begin=1946055&amp;end=1951199</t>
  </si>
  <si>
    <t>in dialetto non non è una cosa bella xxx // eh // secondo me invece è una cosa bella // se non è sguaiata // ma eh perché se</t>
  </si>
  <si>
    <t>parlare anche in italiano non vedo perché il tuo dialetto non lo devi ignorare // no? ma questo vale per tutte le regioni</t>
  </si>
  <si>
    <t>TOD2001</t>
  </si>
  <si>
    <t>#947534</t>
  </si>
  <si>
    <t>doc#118</t>
  </si>
  <si>
    <t>https://search.corpuskiparla.it/corpus/player/player.cgi?code=TOD2001&amp;begin=47111&amp;end=53440</t>
  </si>
  <si>
    <t>TO082</t>
  </si>
  <si>
    <t>https://search.corpuskiparla.it/corpus/conversations/TOD2001.html</t>
  </si>
  <si>
    <t>https://search.corpuskiparla.it/corpus/conversations/TOD2001_jefferson.html</t>
  </si>
  <si>
    <t>// zona fighetta ma in realtà è ancora mh abbastanza torinese // mh // eh buona tipo ci son tutti i negozi quelli vecchi</t>
  </si>
  <si>
    <t>quelli specifici le boutique // le boutique // sì sì sì in quel senso // capito e ti piace vivere lì? // sì è molto carino //</t>
  </si>
  <si>
    <t>#948148</t>
  </si>
  <si>
    <t>https://search.corpuskiparla.it/corpus/player/player.cgi?code=TOD2001&amp;begin=258733&amp;end=260008</t>
  </si>
  <si>
    <t>molto di più badare a alla polvere a queste cose qua però no l'' ordine è un concetto relativo // certo // come ben</t>
  </si>
  <si>
    <t>// spero // // tu hai mai condiviso case con persone che non fossero la tua famiglia? // sì sì sì son stata fuori cinque anni</t>
  </si>
  <si>
    <t>#949429</t>
  </si>
  <si>
    <t>https://search.corpuskiparla.it/corpus/player/player.cgi?code=TOD2001&amp;begin=675630&amp;end=680380</t>
  </si>
  <si>
    <t>// ma sì secondo me è cambiata un po'' la cioè non so dirti se in bene o in male cioè cambiata un po'' l'' idea che // magari prima</t>
  </si>
  <si>
    <t>cercavi solo una casa e quindi l'' importante era avere un tetto adesso invece // mhmh // hai bisogno anche di avere tutte</t>
  </si>
  <si>
    <t>#949985</t>
  </si>
  <si>
    <t>https://search.corpuskiparla.it/corpus/player/player.cgi?code=TOD2001&amp;begin=849958&amp;end=856043</t>
  </si>
  <si>
    <t>è un problema // eh forse più per magari i libri queste cose qua che dici mh poi a un certo punto cominci ad avere roba e non</t>
  </si>
  <si>
    <t>dove metterla e quindi // però // cioè però con disponibilità infinita diciamo // sì sì lì vabbè cioè farei la sala pesi</t>
  </si>
  <si>
    <t>#952367</t>
  </si>
  <si>
    <t>https://search.corpuskiparla.it/corpus/player/player.cgi?code=KPN028&amp;begin=317050&amp;end=317930</t>
  </si>
  <si>
    <t>lui è come lui è come charlie chaplin xxx // vabbè che lei è giovane // cioè // la sally cos''ha trentasette anni // sì // mh //</t>
  </si>
  <si>
    <t>com''è // eh // guarda lui // lui può avere anche novant''anni // ah sì // basta che la // l''unico problema è che quando torna a</t>
  </si>
  <si>
    <t>#952776</t>
  </si>
  <si>
    <t>https://search.corpuskiparla.it/corpus/player/player.cgi?code=KPN028&amp;begin=482140&amp;end=484233</t>
  </si>
  <si>
    <t>PKP118</t>
  </si>
  <si>
    <t>a fine ottobre // se la vabbè se vuol venire prima va bene // questa chi la carolina? // ma te ma // mh // ma dagliela una data</t>
  </si>
  <si>
    <t>già la data? // gliel''ho detto si si ma infatti me l''aveva chiesto // l''ha già la data? // cioè so che è o il ventotto o il</t>
  </si>
  <si>
    <t>#956785</t>
  </si>
  <si>
    <t>https://search.corpuskiparla.it/corpus/player/player.cgi?code=KPN028&amp;begin=1945266&amp;end=1946099</t>
  </si>
  <si>
    <t>volte la lavatrice // e non gli avevo chiesto mai niente // poi // chiama sempre te sei il suo tecnico // la xx sì sì sì // beh</t>
  </si>
  <si>
    <t>com''è // il lampadario in casa // la lam~ // ehmh // ''spetti che preparo // il file // mi ricorda il suo nome // allora io mi</t>
  </si>
  <si>
    <t>#978330</t>
  </si>
  <si>
    <t>https://search.corpuskiparla.it/corpus/player/player.cgi?code=PBA006&amp;begin=560705&amp;end=561495</t>
  </si>
  <si>
    <t>e propria incognita // quando tu esci la sera puoi uscire puoi uscire un martedì come puoi uscire un sabato sera // non</t>
  </si>
  <si>
    <t>// l~ // la l''energia che si respira // mh // all''interno delle vie // delle mh è tutta diversa // e ti sembra di essere a casa</t>
  </si>
  <si>
    <t>#981929</t>
  </si>
  <si>
    <t>https://search.corpuskiparla.it/corpus/player/player.cgi?code=PBA006&amp;begin=1642805&amp;end=1646725</t>
  </si>
  <si>
    <t>// delle costruzioni sono ferme qua da // centinaia di anni // sì al cinema in ce~ // rurali ruralissime e comunque non</t>
  </si>
  <si>
    <t>mai cosa sta per acca~ // poi ho un''altra cosa bellissima da dire di bologna // che ehm // durante il weekend con i t days //</t>
  </si>
  <si>
    <t>#982937</t>
  </si>
  <si>
    <t>https://search.corpuskiparla.it/corpus/player/player.cgi?code=PBA006&amp;begin=1923190&amp;end=1927970</t>
  </si>
  <si>
    <t>// possiam chiamarlo vandalismo? // non è vandalismo perchè comunque // forse un po''? // ma no in linea di ma~ cioè sì e no e</t>
  </si>
  <si>
    <t>co~ sai come si dice è è illegale se ti trovano // certo // è illegale se ti beccano se non ti beccano // habibi everything</t>
  </si>
  <si>
    <t>#985924</t>
  </si>
  <si>
    <t>https://search.corpuskiparla.it/corpus/player/player.cgi?code=PBA006&amp;begin=2765589&amp;end=2771488</t>
  </si>
  <si>
    <t>che qua ehm // non è una città perfetta perchè i matti ci stanno ovunque e però sì è abbastanza sicura perchè ad esempio</t>
  </si>
  <si>
    <t>che // se ti sta per succedere qualcosa di brutto c''è // probabilmente qualcuno di fianco che // non è così indifferente</t>
  </si>
  <si>
    <t>BOA3019</t>
  </si>
  <si>
    <t>#991230</t>
  </si>
  <si>
    <t>doc#124</t>
  </si>
  <si>
    <t>https://search.corpuskiparla.it/corpus/player/player.cgi?code=BOA3019&amp;begin=312576&amp;end=313639</t>
  </si>
  <si>
    <t>https://search.corpuskiparla.it/corpus/conversations/BOA3019.html</t>
  </si>
  <si>
    <t>https://search.corpuskiparla.it/corpus/conversations/BOA3019_jefferson.html</t>
  </si>
  <si>
    <t>// è dietro l'' arena del sole // dove c'' è la gelateria // di fronte alla gelateria // è un posto // un po'' // arena del s~ // non</t>
  </si>
  <si>
    <t>cos'' è l'' arena del? // questo nome non mi è nuovo // è il teatro gigante // quello di fianco a otto agosto? // mh mh // sì // ah</t>
  </si>
  <si>
    <t>#992024</t>
  </si>
  <si>
    <t>https://search.corpuskiparla.it/corpus/player/player.cgi?code=BOA3019&amp;begin=517415&amp;end=519949</t>
  </si>
  <si>
    <t>BO150</t>
  </si>
  <si>
    <t>chiamano così // ah allora // affittate zocca in cambio di geremeas // è fatta // affittiamo esatto // eh oddio // oddio //</t>
  </si>
  <si>
    <t>un eh come si chiama quel gioco con // softair // mh? // tutta geremeas nostra // soffi teir // soffi teir // bellissimo</t>
  </si>
  <si>
    <t>#993211</t>
  </si>
  <si>
    <t>https://search.corpuskiparla.it/corpus/player/player.cgi?code=BOA3019&amp;begin=762416&amp;end=763523</t>
  </si>
  <si>
    <t>BO151</t>
  </si>
  <si>
    <t>polizio~ nel senso // boh a me // ma // delle due vederne tanti dà senso di meno sicurezza perché // no okay ma // sì ma perché</t>
  </si>
  <si>
    <t>che è // se ci sono vuol dire che c'' è qualcosa // xxx // non so quanti erano effettivamente // sì in effetti è veramente // no</t>
  </si>
  <si>
    <t>#993617</t>
  </si>
  <si>
    <t>https://search.corpuskiparla.it/corpus/player/player.cgi?code=BOA3019&amp;begin=851220&amp;end=854188</t>
  </si>
  <si>
    <t>forchette per sinistri? // // non sono fatte perché a nessuno importa // per fare del male per fare i sinistri // eh // si //</t>
  </si>
  <si>
    <t>che comunque ci sono sempre più più mancini? // statisticamente? // cosa come mai? // il gender // controcorrente //</t>
  </si>
  <si>
    <t>TOD2014</t>
  </si>
  <si>
    <t>#1000501</t>
  </si>
  <si>
    <t>doc#125</t>
  </si>
  <si>
    <t>https://search.corpuskiparla.it/corpus/player/player.cgi?code=TOD2014&amp;begin=1395050&amp;end=1401510</t>
  </si>
  <si>
    <t>TO059</t>
  </si>
  <si>
    <t>https://search.corpuskiparla.it/corpus/conversations/TOD2014.html</t>
  </si>
  <si>
    <t>https://search.corpuskiparla.it/corpus/conversations/TOD2014_jefferson.html</t>
  </si>
  <si>
    <t>scioccanti // ok~ // e quindi lei è rimasta traumatizzata da mh un giorno e il lo il giorno della befana l'' epifania // no</t>
  </si>
  <si>
    <t>la befana scende dal camino tutte ''ste cose e mio padre si era inventato una roba assurda aveva registrato // eh con un</t>
  </si>
  <si>
    <t>#1005860</t>
  </si>
  <si>
    <t>https://search.corpuskiparla.it/corpus/player/player.cgi?code=BOD2005&amp;begin=1375730&amp;end=1377464</t>
  </si>
  <si>
    <t>grazie // poi cioè è antiossidante no è un è un prodotto // che va un sac~ cioè che va un sacco ed è naturale quindi // quello</t>
  </si>
  <si>
    <t>che non l'' avrei mai detto? // non ti fa male // no no è buonissimo lascia perdere // ma poi come la raccogli la bava di lumaca</t>
  </si>
  <si>
    <t>#1007985</t>
  </si>
  <si>
    <t>https://search.corpuskiparla.it/corpus/player/player.cgi?code=KPN006&amp;begin=46248&amp;end=49200</t>
  </si>
  <si>
    <t>debbo fare? // niente // più niente? // niente niente // guarda // posso? // eh // forse a te non ti xxx // eh // se dalla coppa</t>
  </si>
  <si>
    <t>la coppa d''estate // non d''iinverno // eh // non quella di maiale // no è sempre maiale ma la coppa d''estate è più del</t>
  </si>
  <si>
    <t>PKP020</t>
  </si>
  <si>
    <t>#1010603</t>
  </si>
  <si>
    <t>https://search.corpuskiparla.it/corpus/player/player.cgi?code=KPN006&amp;begin=895717&amp;end=897997</t>
  </si>
  <si>
    <t>qualcuno // davvero eh non si sa è assurdo come ma in qualche modo si arrangia sempr+eµ // c''è la cloe che viene a mangiare</t>
  </si>
  <si>
    <t>// per la xxx // sai // chico vai a mangiare l''osso // no basta adesso vai a letto // no m~ a // // vuol stare in compagnia vuole</t>
  </si>
  <si>
    <t>#1010752</t>
  </si>
  <si>
    <t>https://search.corpuskiparla.it/corpus/player/player.cgi?code=KPN006&amp;begin=948922&amp;end=951212</t>
  </si>
  <si>
    <t>PKP021</t>
  </si>
  <si>
    <t>eran buoni i maccheroni // beh oh c''ero io come cuoco // sì eran stra buoni // ecco // guarda che si prende i meriti // tu non</t>
  </si>
  <si>
    <t>mai niente ma con i meriti xx // guardate ben // // guardate ben bene // s~ s~ son stato io // che io son partito anzi // io non</t>
  </si>
  <si>
    <t>#1012381</t>
  </si>
  <si>
    <t>https://search.corpuskiparla.it/corpus/player/player.cgi?code=KPN006&amp;begin=1347226&amp;end=1348606</t>
  </si>
  <si>
    <t>l''avete vista la raffaella // no comunque // no comunque pensavo // beh ce~ certo che mi dispiace // dato che è // lo</t>
  </si>
  <si>
    <t>perchè mi dispiace? // dai metti via il xxxx // perchè è sola // no ma infatti dato che siamo sotto natale ah beh che avrà dei</t>
  </si>
  <si>
    <t>#1012700</t>
  </si>
  <si>
    <t>https://search.corpuskiparla.it/corpus/player/player.cgi?code=KPN006&amp;begin=1412529&amp;end=1413969</t>
  </si>
  <si>
    <t>no ma lei è è buona // cioè così sì sì sì // no facciamo facciamo un pensierino sarà contenta // è buona buona buona gente //</t>
  </si>
  <si>
    <t>cosa diceva li~ // poi tua mamma ( mamma əh era pesa) // sai cosa diceva paolo? // paolo quando sapeva che doveva morire? //</t>
  </si>
  <si>
    <t>#1012961</t>
  </si>
  <si>
    <t>https://search.corpuskiparla.it/corpus/player/player.cgi?code=KPN006&amp;begin=1480649&amp;end=1481989</t>
  </si>
  <si>
    <t>esiste il karma eh // la moglie fumava come un turco eh // io io parlerei piano // sì esiste il karma // ecco // torna tutto //</t>
  </si>
  <si>
    <t>che a ugo // eh mi mi mi dispiacciono loro // spe ma che ti dispiace ascolta qui // ugo si io l''ho incontrato due o tre volte</t>
  </si>
  <si>
    <t>#1014087</t>
  </si>
  <si>
    <t>https://search.corpuskiparla.it/corpus/player/player.cgi?code=KPN006&amp;begin=1738347&amp;end=1739807</t>
  </si>
  <si>
    <t>è tua // ecco // grazie della compagnia // ah prego prego // prego nonno // comunque oggi ho fatto il cuoco // mh mh // ''spè</t>
  </si>
  <si>
    <t>perchè dico questo? // mh // eh // non ho fatto niente io // ho cotto // ma metter la roba dentro così era cosa c''era</t>
  </si>
  <si>
    <t>#1014808</t>
  </si>
  <si>
    <t>https://search.corpuskiparla.it/corpus/player/player.cgi?code=KPN006&amp;begin=1903292&amp;end=1904282</t>
  </si>
  <si>
    <t>camino // ma sì non accendiamo il ca~ // però per dire che c''è il caminetto // quindi in qualche modo si accende // sì // però</t>
  </si>
  <si>
    <t>cosa? // sai cosa nonno? // il il termo // l''hanno costruito loro l''hanno reso abitabile // è comodo // il termo // capito?</t>
  </si>
  <si>
    <t>PBC010</t>
  </si>
  <si>
    <t>#1041061</t>
  </si>
  <si>
    <t>doc#131</t>
  </si>
  <si>
    <t>https://search.corpuskiparla.it/corpus/player/player.cgi?code=PBC010&amp;begin=2508330&amp;end=2514240</t>
  </si>
  <si>
    <t>https://search.corpuskiparla.it/corpus/conversations/PBC010.html</t>
  </si>
  <si>
    <t>https://search.corpuskiparla.it/corpus/conversations/PBC010_jefferson.html</t>
  </si>
  <si>
    <t>dopo però // mh è più un orientamento per dire nella mia università c''è questo questo quest''altro // ma tu non</t>
  </si>
  <si>
    <t>cioè io ho fatto lo scientifico se avessi~ o anche i miei compagni che hanno scelto economia // tu non hai mai fatto una</t>
  </si>
  <si>
    <t>#1041101</t>
  </si>
  <si>
    <t>https://search.corpuskiparla.it/corpus/player/player.cgi?code=PBC010&amp;begin=2517590&amp;end=2519841</t>
  </si>
  <si>
    <t>compagni che hanno scelto economia // tu non hai mai fatto una lezione di economia in vita tua // sì sì s~ // quindi non è che</t>
  </si>
  <si>
    <t>cos~ cioè magari // di che cosa si tratta // sì eh ti~ mi~ pensi che ti piaccia però poi vai all''università e vedi che in</t>
  </si>
  <si>
    <t>#1042759</t>
  </si>
  <si>
    <t>https://search.corpuskiparla.it/corpus/player/player.cgi?code=PTD001&amp;begin=427629&amp;end=432412</t>
  </si>
  <si>
    <t>hanno mandato da da roma per le carte elettroniche // e in effetti ci ci sono delle cose // che comunque proprio non no~ non</t>
  </si>
  <si>
    <t>perchè o non ti fanno il corso // eh mh quindi ti // cioè non ci sono corsi di formazione? // no ti fanno però cioè che ne so</t>
  </si>
  <si>
    <t>#1044844</t>
  </si>
  <si>
    <t>https://search.corpuskiparla.it/corpus/player/player.cgi?code=PTD001&amp;begin=1149422&amp;end=1155556</t>
  </si>
  <si>
    <t>nel senso che non dormivamo a casa // non c''erano delle situazioni // non dormivamo a casa di nessuno quindi // eh</t>
  </si>
  <si>
    <t>non hai l''obbligo poi di tornare perchè comunque a una certa ora sei a casa di altri così // sì sei a casa di altri // c''hanno</t>
  </si>
  <si>
    <t>#1045388</t>
  </si>
  <si>
    <t>https://search.corpuskiparla.it/corpus/player/player.cgi?code=PTD001&amp;begin=1321811&amp;end=1324202</t>
  </si>
  <si>
    <t>se ero diventata vedova e loro non l''a~ te lo giuro // veramente // // e non l''avevano saputo // e tu cos''hai detto? //</t>
  </si>
  <si>
    <t>io niente proprio io gli ho detto no // veramente è ancora vivo // sono andati dalla cugina di mio marito perchè un anno</t>
  </si>
  <si>
    <t>#1047682</t>
  </si>
  <si>
    <t>https://search.corpuskiparla.it/corpus/player/player.cgi?code=PTD001&amp;begin=2053792&amp;end=2055322</t>
  </si>
  <si>
    <t>// sì non ci troviamo più // e qu~ non ti trovi più e diventa // perdi // posso? // sì sì // xx marcello mangia come un // no no</t>
  </si>
  <si>
    <t>che non me lo ri~ // no no no // e quindi no sì stavo registrando // eh che // no mi stavi dicendo che vi trovate a alla viglia di</t>
  </si>
  <si>
    <t>#1048028</t>
  </si>
  <si>
    <t>https://search.corpuskiparla.it/corpus/player/player.cgi?code=PTD001&amp;begin=2159884&amp;end=2163797</t>
  </si>
  <si>
    <t>al tuo paese una storia che potresti raccontarmi // meh // in che senso? // non so una storiella o uneh proverbio //</t>
  </si>
  <si>
    <t>no? ci sono magari delle ninna nanne che si cantano delle cose // sì // eh così adesso non mi // o magari una cosa che ti</t>
  </si>
  <si>
    <t>#1057758</t>
  </si>
  <si>
    <t>https://search.corpuskiparla.it/corpus/player/player.cgi?code=PBB022&amp;begin=927530&amp;end=933320</t>
  </si>
  <si>
    <t>BOI086</t>
  </si>
  <si>
    <t>pasta sfoglia ma fatta con la farina di riso? cioè proprio col riso? ah // no no no no no eh col riso sìsì // eh cotto con mh</t>
  </si>
  <si>
    <t>che non non ho neanche x // // ci piace così tanto che non sappiamo nemmeno come si fa // esatto credo credo sia una delle</t>
  </si>
  <si>
    <t>#1061399</t>
  </si>
  <si>
    <t>https://search.corpuskiparla.it/corpus/player/player.cgi?code=PBB022&amp;begin=1975790&amp;end=1980480</t>
  </si>
  <si>
    <t>si sono // o per quella che è la mia vita insomma si è perduto insomma // si sono perse // mh // perchè lo facevo soprattutto</t>
  </si>
  <si>
    <t>sempre lì quando quando ero piccola e mia madre che era che era // contadina e quindi che avevano possibilità di tutto il</t>
  </si>
  <si>
    <t>#1061953</t>
  </si>
  <si>
    <t>https://search.corpuskiparla.it/corpus/player/player.cgi?code=PBB022&amp;begin=2116890&amp;end=2123759</t>
  </si>
  <si>
    <t>noi eravamo venivamo dalla campagna un po'' per cui lei mia ha eh // nei giorni prima avevamo fatto il giro un po'' per vedere</t>
  </si>
  <si>
    <t>gli autobus la la corriera io poi prendevo la corriera no il giro che dovevo fare // mhmh // eh mh e quindi mi a~ mi</t>
  </si>
  <si>
    <t>#1062248</t>
  </si>
  <si>
    <t>https://search.corpuskiparla.it/corpus/player/player.cgi?code=PBB022&amp;begin=2203730&amp;end=2212840</t>
  </si>
  <si>
    <t>proiettato un un film porno no // oddio che ridere è vero è vero // e io l''ho trovata una cosa ma spiritosissima nel senso eh</t>
  </si>
  <si>
    <t>proprio la la voglia ancora di fare una goliardata una cretinata hai capito una // sì // l''ho trovata una cosa veramente</t>
  </si>
  <si>
    <t>#1062460</t>
  </si>
  <si>
    <t>https://search.corpuskiparla.it/corpus/player/player.cgi?code=PBB022&amp;begin=2263560&amp;end=2269590</t>
  </si>
  <si>
    <t>in cortili di palazzi // che normalmente sono chiusi // che normalmente sono chiusi che tu magari puoi sbirciare</t>
  </si>
  <si>
    <t>quando si apre un cancello esce una macchina così vuoi un po'' sbirciare però // mh // bello // la possibilità di entrare di</t>
  </si>
  <si>
    <t>#1064556</t>
  </si>
  <si>
    <t>https://search.corpuskiparla.it/corpus/player/player.cgi?code=PBB022&amp;begin=2833240&amp;end=2839400</t>
  </si>
  <si>
    <t>sono gli alberi ovviamente quindi è molto ombreggiato // mh // eh dove fanno la la festa dell''unità dove fanno eh mh eh //</t>
  </si>
  <si>
    <t>che fanno anche un''altra eh un''altra manifestazione ti ricordi che ci siamo andati anche che mh avete scalato l''albero</t>
  </si>
  <si>
    <t>#1065097</t>
  </si>
  <si>
    <t>https://search.corpuskiparla.it/corpus/player/player.cgi?code=PBB022&amp;begin=2983810&amp;end=2991190</t>
  </si>
  <si>
    <t>di aratura? // sì sì sì sì // sì // morta // oppure per dire i magi fanno per la befana bruciano il vecchione hai presente? x</t>
  </si>
  <si>
    <t>che non mi ricordo se // bruciano la befana ah ecco anche la cosa del del fatto che bruciano il vecchione // eh // ne avevamo</t>
  </si>
  <si>
    <t>#1066174</t>
  </si>
  <si>
    <t>https://search.corpuskiparla.it/corpus/player/player.cgi?code=PBB022&amp;begin=3274150&amp;end=3275430</t>
  </si>
  <si>
    <t>BOR025</t>
  </si>
  <si>
    <t>con lo spillo vuol dire molto eh // eh no quello sì eh // è una forza nel senso che eh ci sono delle eh mh // forse non sa</t>
  </si>
  <si>
    <t>cos''è lo spillo? // no // è // bisogna insegnargli tutto a questa gente io non lo so // ma no ma da noi carnevale // non esiste</t>
  </si>
  <si>
    <t>#1072551</t>
  </si>
  <si>
    <t>https://search.corpuskiparla.it/corpus/player/player.cgi?code=KPC002&amp;begin=1427123&amp;end=1428205</t>
  </si>
  <si>
    <t>// io l''ho mangiato // tra l''altro di quelle cose che ho portato è f~ è l''u~ uhm è v~ c''è c''è rimasto solo questo no? // sì // lo</t>
  </si>
  <si>
    <t>cosa? // occhio ti tagli un dito ora però // no vabbè dai questo mangialo tu // // oddio stasera avrei bisogno di un film</t>
  </si>
  <si>
    <t>#1073358</t>
  </si>
  <si>
    <t>https://search.corpuskiparla.it/corpus/player/player.cgi?code=KPC002&amp;begin=1671330&amp;end=1676083</t>
  </si>
  <si>
    <t>che la pallavolo è anche pericolosa // esatto // per il fatto che toccano tutte la stessa palla // bravo ecco // sì ma</t>
  </si>
  <si>
    <t>teoricamente basta che basterebbe che non si toccassero la barba // xx // basterebbe che tra tra un palleggio e</t>
  </si>
  <si>
    <t>#1073477</t>
  </si>
  <si>
    <t>https://search.corpuskiparla.it/corpus/player/player.cgi?code=KPC002&amp;begin=1707194&amp;end=1712538</t>
  </si>
  <si>
    <t>male // // vieni vieni // quindi però dopo si lavano però è vero cioè // mh dice anche la serie a anche di pallavolo così</t>
  </si>
  <si>
    <t>come fanno a andare avanti? // come la mh il calcio // cioè gli fanno un tampone // no un sierologico cinque giorni prima e</t>
  </si>
  <si>
    <t>#1074430</t>
  </si>
  <si>
    <t>https://search.corpuskiparla.it/corpus/player/player.cgi?code=KPC002&amp;begin=1995630&amp;end=1999972</t>
  </si>
  <si>
    <t>// e stanno facendo didattica a distanza integrata // ma la gente in quarantena sta a casa? // stan~ eh eh oh ma scherzi //</t>
  </si>
  <si>
    <t>tipo lorenzo ros~ no perché lorenzo rossini l''hanno mandato in un hotel a siena // sì lui è andato in un ehm covid hotel // e</t>
  </si>
  <si>
    <t>#1074524</t>
  </si>
  <si>
    <t>https://search.corpuskiparla.it/corpus/player/player.cgi?code=KPC002&amp;begin=2017768&amp;end=2018851</t>
  </si>
  <si>
    <t>// era l''hanno mandato da solo in questo albergo // anche perché lui qualche sintomo l''ha avuto eh // ma te cosa ne</t>
  </si>
  <si>
    <t>// eh me l''ha detto la madre // ma la xxxx // eh ve~ eh // eh eh eh se lo sa // eh magari // voi che non lo sappia // eh // mah // lui</t>
  </si>
  <si>
    <t>#1076074</t>
  </si>
  <si>
    <t>https://search.corpuskiparla.it/corpus/player/player.cgi?code=KPC002&amp;begin=2475328&amp;end=2477652</t>
  </si>
  <si>
    <t>invece secondo me sì beh è una di quelle cose // che proprio con l''età ti viene x te // no no // un giorno ti trovi lì non</t>
  </si>
  <si>
    <t>perché ma // a lui le cose pratiche non sono mai piaciute // no ma no perché un giorno ti tro~ // ecco // // no ma m~ // xx quello</t>
  </si>
  <si>
    <t>#1077105</t>
  </si>
  <si>
    <t>https://search.corpuskiparla.it/corpus/player/player.cgi?code=KPC002&amp;begin=2735065&amp;end=2737991</t>
  </si>
  <si>
    <t>// questa questa è grande eh bisogna ammettere // // il grande gianni togni // unico inimitabile // mamma mia // // ma // lo</t>
  </si>
  <si>
    <t>quando facevo il cantiere c''avevo il cantiere lì de mh // del mh gazebo insomma del // in che senso c''avevo il cantiere //</t>
  </si>
  <si>
    <t>#1088517</t>
  </si>
  <si>
    <t>https://search.corpuskiparla.it/corpus/player/player.cgi?code=PTA001&amp;begin=3340110&amp;end=3343702</t>
  </si>
  <si>
    <t>// ho visto uno spicchio atipico allora // mah può essere cioè anche perchè noi eravamo veramente quattro gatti quindi</t>
  </si>
  <si>
    <t>// mah // vai // sìsì // cioè // e // ce n''è sei da fuori e sembra che sono tutti da fuori invece sei veramente due sfigati // xx</t>
  </si>
  <si>
    <t>#1088702</t>
  </si>
  <si>
    <t>https://search.corpuskiparla.it/corpus/player/player.cgi?code=PTA001&amp;begin=3427510&amp;end=3432707</t>
  </si>
  <si>
    <t>come fai a farle così male // quello che cos''è? a che bello sìsìsìsìsìsì // vai // vai // ehi // cosa vuoi? ehi // vai // ma</t>
  </si>
  <si>
    <t>poi torino comunque anche solo il fatto che la vita costi molto di meno riesci a godertela anche un po'' di più // sì sì sì //</t>
  </si>
  <si>
    <t>#1092807</t>
  </si>
  <si>
    <t>https://search.corpuskiparla.it/corpus/player/player.cgi?code=PTA001&amp;begin=5379110&amp;end=5380301</t>
  </si>
  <si>
    <t>te ne avanza una // eh // ehsì che ne avanza una xxx // eh // // ma a te quante ne avanzano adesso? // una // mh // è quella che //</t>
  </si>
  <si>
    <t>cosa faccio? // nel gioco mancano un paio di car~ // io vado sulla giocata monocarta // che sei xxx eh ho capito ho capito ho</t>
  </si>
  <si>
    <t>KPS002</t>
  </si>
  <si>
    <t>#1100938</t>
  </si>
  <si>
    <t>doc#138</t>
  </si>
  <si>
    <t>https://search.corpuskiparla.it/corpus/player/player.cgi?code=KPS002&amp;begin=698635&amp;end=700173</t>
  </si>
  <si>
    <t>https://search.corpuskiparla.it/corpus/conversations/KPS002.html</t>
  </si>
  <si>
    <t>https://search.corpuskiparla.it/corpus/conversations/KPS002_jefferson.html</t>
  </si>
  <si>
    <t>marracash non non c''è // // io penso // la trippa // eh la trippa sì // non è morzello sono mh // la preferisco al morzello // e</t>
  </si>
  <si>
    <t>che non sono mai andata alla // come si chiama? sempre da pepe? // da beppe // beppe // no come si chiama? // i fratelli che</t>
  </si>
  <si>
    <t>#1101578</t>
  </si>
  <si>
    <t>https://search.corpuskiparla.it/corpus/player/player.cgi?code=KPS002&amp;begin=864296&amp;end=868210</t>
  </si>
  <si>
    <t>PKP105</t>
  </si>
  <si>
    <t>advisor // con cinquecento commenti positivi // perchè quello che interessa sono quelle negative quelle positive eh</t>
  </si>
  <si>
    <t>no // si possono essere tutte positive // si ma su cinquecentotre recensioni // si // vabbè vedi che sono tre negative può</t>
  </si>
  <si>
    <t>#1105993</t>
  </si>
  <si>
    <t>https://search.corpuskiparla.it/corpus/player/player.cgi?code=KPS002&amp;begin=1989686&amp;end=1993991</t>
  </si>
  <si>
    <t>po'' il me~ maestrino a volte // sì sì sì sì // però // insomma quindi dico magari non è tutta colpa mia insomma // vabbè però</t>
  </si>
  <si>
    <t>la cina non è un paese è quasi un continente // se non mi hanno dato delle basi buone // ammazza sì si // capito // percui mh</t>
  </si>
  <si>
    <t>KPN019</t>
  </si>
  <si>
    <t>#1118509</t>
  </si>
  <si>
    <t>doc#141</t>
  </si>
  <si>
    <t>https://search.corpuskiparla.it/corpus/player/player.cgi?code=KPN019&amp;begin=514605&amp;end=517905</t>
  </si>
  <si>
    <t>PKP009</t>
  </si>
  <si>
    <t>https://search.corpuskiparla.it/corpus/conversations/KPN019.html</t>
  </si>
  <si>
    <t>https://search.corpuskiparla.it/corpus/conversations/KPN019_jefferson.html</t>
  </si>
  <si>
    <t>basta un''insalatina? // #un pochetìn de bacaeà bacaeà co l''insalatina in umido // no // tong // xx // eh? // prenditelo tu</t>
  </si>
  <si>
    <t>dove l''hai messo // #ti more cossa ti vol? // # al fio ghe domando e a ti no ti se in dieta // quello che c''è // #po'' a se mette</t>
  </si>
  <si>
    <t>#1120771</t>
  </si>
  <si>
    <t>https://search.corpuskiparla.it/corpus/player/player.cgi?code=KPN019&amp;begin=1517045&amp;end=1522335</t>
  </si>
  <si>
    <t>a casa // l''ho preso alla fine il regalo comunque // #cossa ti ga tolto? // un orologino da xx non una roba esagerata perché</t>
  </si>
  <si>
    <t>che gli orologi costano però // #ah beo // per chi? // la ale // ah per la ale? // per l''alessia sì no pensavi per la stella? no</t>
  </si>
  <si>
    <t>TOA3006</t>
  </si>
  <si>
    <t>#1123557</t>
  </si>
  <si>
    <t>doc#142</t>
  </si>
  <si>
    <t>https://search.corpuskiparla.it/corpus/player/player.cgi?code=TOA3006&amp;begin=570945&amp;end=580260</t>
  </si>
  <si>
    <t>https://search.corpuskiparla.it/corpus/conversations/TOA3006.html</t>
  </si>
  <si>
    <t>https://search.corpuskiparla.it/corpus/conversations/TOA3006_jefferson.html</t>
  </si>
  <si>
    <t>prova scritta // mhmh // a novembre // e poi se passi questa cosa qua non sei entrato fai il corso propedeutico e ad aprile</t>
  </si>
  <si>
    <t>se sei entrato ad aprile // cioè quindi tu nell'' ipotetico caso che passi la prima selezione devi andare a vivere a roma //</t>
  </si>
  <si>
    <t>#1123596</t>
  </si>
  <si>
    <t>https://search.corpuskiparla.it/corpus/player/player.cgi?code=TOA3006&amp;begin=588409&amp;end=599600</t>
  </si>
  <si>
    <t>la prima selezione devi andare a vivere a roma // fare fino ad aprile che comunque cioè tu fai proprio ogni giorno che non</t>
  </si>
  <si>
    <t>se se ti hanno preso se non ti hanno preso quindi secondo me proprio la vivi malissimo e io sono una persona ansiosa quindi</t>
  </si>
  <si>
    <t>#1124353</t>
  </si>
  <si>
    <t>https://search.corpuskiparla.it/corpus/player/player.cgi?code=TOA3006&amp;begin=780746&amp;end=795781</t>
  </si>
  <si>
    <t>mi guardo tutti i film che non ho visto mi leggo tutti i libri che non ho letto mi guardo tutte le serie che non ho guardato</t>
  </si>
  <si>
    <t>faccio un po'' di no? // sì sì sì sì // un po'' di ripiglio e e poi capisco cosa fare cioè poi ho visto anche che ci sono dei</t>
  </si>
  <si>
    <t>#1125959</t>
  </si>
  <si>
    <t>https://search.corpuskiparla.it/corpus/player/player.cgi?code=TOA3006&amp;begin=1243340&amp;end=1251972</t>
  </si>
  <si>
    <t>TO054</t>
  </si>
  <si>
    <t>sto e gli insegnanti e // mi faceva un po'' paura perché sapendo che era una scuola molto bro~ buona temevo che ci fossero</t>
  </si>
  <si>
    <t>piena di gente con la puzza sotto il naso // presuntuosetti eh eh // sia gli insegnanti chei gli allievi // e invece no //</t>
  </si>
  <si>
    <t>#1136490</t>
  </si>
  <si>
    <t>https://search.corpuskiparla.it/corpus/player/player.cgi?code=BOA3015&amp;begin=610366&amp;end=612645</t>
  </si>
  <si>
    <t>lavorare con con persone che magari non // prendi l'' artee ciao ciao belli // si // dev~ non lo so poi ci sono persone che</t>
  </si>
  <si>
    <t>// le persone che sono veramente appassionate lo fanno e è bellissimo io non non so se sono appassionata così tanto da</t>
  </si>
  <si>
    <t>#1138054</t>
  </si>
  <si>
    <t>https://search.corpuskiparla.it/corpus/player/player.cgi?code=BOA3015&amp;begin=1125981&amp;end=1129066</t>
  </si>
  <si>
    <t>// e poi super coinvolgente presa bene // sì sì sì gi~ ti fa un sacco di domande // eh si che ridere // tra l'' altro adesso lo</t>
  </si>
  <si>
    <t>no l~ dopo loro m vanno andranno in francia // sì // vicino a montpellier // mh mh // o vicino a dove si sono conosciuti // si</t>
  </si>
  <si>
    <t>#1138698</t>
  </si>
  <si>
    <t>https://search.corpuskiparla.it/corpus/player/player.cgi?code=BOA3015&amp;begin=1293106&amp;end=1296064</t>
  </si>
  <si>
    <t>anno e ti giuro mi ha fatto impressione perchè non non era in s~ ma proprio non era in sè // cioè non che dici vabbè era un po''</t>
  </si>
  <si>
    <t>in aria no? // ed era con un altro ragazzo che mi sembrava tutto tatuato non so // e mi ha mi ha fermata in via zamboni // e mi</t>
  </si>
  <si>
    <t>BOA3021</t>
  </si>
  <si>
    <t>#1139628</t>
  </si>
  <si>
    <t>doc#146</t>
  </si>
  <si>
    <t>https://search.corpuskiparla.it/corpus/player/player.cgi?code=BOA3021&amp;begin=311710&amp;end=313147</t>
  </si>
  <si>
    <t>BO158</t>
  </si>
  <si>
    <t>https://search.corpuskiparla.it/corpus/conversations/BOA3021.html</t>
  </si>
  <si>
    <t>https://search.corpuskiparla.it/corpus/conversations/BOA3021_jefferson.html</t>
  </si>
  <si>
    <t>m'' ha detto ah io vorrei imparare il mh il linguaggio dei segni // mh mh // aveva avuto a che fare con queste cose // vabbè già</t>
  </si>
  <si>
    <t>questo // non era così è così // no eh è così // configurazione ics della mano eh così // il linguaggio tecnico per mandare a</t>
  </si>
  <si>
    <t>#1143053</t>
  </si>
  <si>
    <t>https://search.corpuskiparla.it/corpus/player/player.cgi?code=BOA3021&amp;begin=1377712&amp;end=1383532</t>
  </si>
  <si>
    <t>BO156</t>
  </si>
  <si>
    <t>// x // di auto elettriche // di auto elettriche // e fa da quello che s~ da da quello che scrivi mi pare di capire che non ne</t>
  </si>
  <si>
    <t>un cazzo di di // // // // // x // // no ma poi io ho iniziato a usare la locuzione vecchi di merda // // // e mi sta x mi sta dando un</t>
  </si>
  <si>
    <t>#1150779</t>
  </si>
  <si>
    <t>https://search.corpuskiparla.it/corpus/player/player.cgi?code=BOA3021&amp;begin=3817658&amp;end=3821050</t>
  </si>
  <si>
    <t>BO157</t>
  </si>
  <si>
    <t>// // ma poi dopo che dopo mi tocca badarlo mi tocca badarlo x // ti scandalizzi // madonna tuo cugino puttana eva // ma</t>
  </si>
  <si>
    <t>che mio cugino si è trovato la ragazza? anche carina // sì me l'' hai detto ma son contentissimo per lui così non rompe più i</t>
  </si>
  <si>
    <t>TO055</t>
  </si>
  <si>
    <t>PBC017</t>
  </si>
  <si>
    <t>#1193291</t>
  </si>
  <si>
    <t>doc#153</t>
  </si>
  <si>
    <t>https://search.corpuskiparla.it/corpus/player/player.cgi?code=PBC017&amp;begin=2618210&amp;end=2621949</t>
  </si>
  <si>
    <t>BOI042</t>
  </si>
  <si>
    <t>https://search.corpuskiparla.it/corpus/conversations/PBC017.html</t>
  </si>
  <si>
    <t>https://search.corpuskiparla.it/corpus/conversations/PBC017_jefferson.html</t>
  </si>
  <si>
    <t>hanno la f~ sanno che ci sei te dietro che spingi e che fai paura all''azienda // ma in tre persone solo a andar là l''azienda</t>
  </si>
  <si>
    <t>quando dici che paura ha? niente // eh // e questo è in d~ così in d~ dappertutto in tutte le cose non solo in azienda // sì sì</t>
  </si>
  <si>
    <t>#1194260</t>
  </si>
  <si>
    <t>https://search.corpuskiparla.it/corpus/player/player.cgi?code=PBC017&amp;begin=2917370&amp;end=2920732</t>
  </si>
  <si>
    <t>scelto fra // non dico comandare ma dirigere qualcosa perché questi non lo sanno fare // prima che arrivino quello che</t>
  </si>
  <si>
    <t>fare tu qui ci mettono del tempo quindi // hanno in mano un avvenire i giovani che è molto grande solo che non lo sanno</t>
  </si>
  <si>
    <t>PBB030</t>
  </si>
  <si>
    <t>doc#154</t>
  </si>
  <si>
    <t>BOI102</t>
  </si>
  <si>
    <t>https://search.corpuskiparla.it/corpus/conversations/PBB030.html</t>
  </si>
  <si>
    <t>https://search.corpuskiparla.it/corpus/conversations/PBB030_jefferson.html</t>
  </si>
  <si>
    <t>#1197841</t>
  </si>
  <si>
    <t>https://search.corpuskiparla.it/corpus/player/player.cgi?code=PBB030&amp;begin=894549&amp;end=899607</t>
  </si>
  <si>
    <t>delle grappe quelle buone fatte magari // mezze in casa alcune proprio da ba~ da bassano // e // cosa dire // // // e // però</t>
  </si>
  <si>
    <t>cioè che fai tipo l''assaggino quelle cose un po'' un po'' strambe rega // mhmh // mhmh mh mhmh // però dai // m~ e ed era buono</t>
  </si>
  <si>
    <t>#1201414</t>
  </si>
  <si>
    <t>https://search.corpuskiparla.it/corpus/player/player.cgi?code=PBB030&amp;begin=1853017&amp;end=1855047</t>
  </si>
  <si>
    <t>perfetti cioè anche noi non solo i turisti lasciano sporco // non io // però // mhmh // cioè anche i locali // mhmh // però</t>
  </si>
  <si>
    <t>mh // si cerca un attimino di // cioè di stare più tranquilli almeno // certo // mhmh // un po'' così // ma ma a me invece è</t>
  </si>
  <si>
    <t>#1203211</t>
  </si>
  <si>
    <t>https://search.corpuskiparla.it/corpus/player/player.cgi?code=PBB030&amp;begin=2352415&amp;end=2354398</t>
  </si>
  <si>
    <t>ma cosa fate // cioè mi mi guardate ma // non // cioè sono molto più // più distaccati // sì // non non ti approciano // zero //</t>
  </si>
  <si>
    <t>che anche la mia amica di roma dice sempre così // sì sì sì sì // che giù sono più // sì // sì che quando // ah giù devi devi stare</t>
  </si>
  <si>
    <t>#1204336</t>
  </si>
  <si>
    <t>https://search.corpuskiparla.it/corpus/player/player.cgi?code=PBB030&amp;begin=2622392&amp;end=2625847</t>
  </si>
  <si>
    <t>del cavolo // cos''è il palio // e // hai presente non // quello di siena anche quello grande quello dove corrono i cavalli</t>
  </si>
  <si>
    <t>che c''è tutta // mhmh // eh praticamente a ferrara è molto famosa per il palio cioè è una tradizione antichissima e ogni //</t>
  </si>
  <si>
    <t>#1215454</t>
  </si>
  <si>
    <t>https://search.corpuskiparla.it/corpus/player/player.cgi?code=PBC024&amp;begin=3118083&amp;end=3121400</t>
  </si>
  <si>
    <t>delle volte un cinno che non chiede mai niente ho detto io // cesare che ne dici se andiamo a prendere un gelato? // nonna</t>
  </si>
  <si>
    <t>che ti dico? // ottima idea // // // andiamo a prendere il gelato // e~ e~ e lui diceva buona e brava eh nonna te come lo vuoi?</t>
  </si>
  <si>
    <t>#1216822</t>
  </si>
  <si>
    <t>https://search.corpuskiparla.it/corpus/player/player.cgi?code=PBC024&amp;begin=3673480&amp;end=3674548</t>
  </si>
  <si>
    <t>bionda // come porti i capelli bella bionda olé // tu li porti alla bella marinara // li porti alla bella marinara // la</t>
  </si>
  <si>
    <t>questa? // sì // eh ma io non lo so // secondo me la sapeva // non la sai questa? poi cantava // no ce n''è un''altra // mh // e la</t>
  </si>
  <si>
    <t>#1216841</t>
  </si>
  <si>
    <t>https://search.corpuskiparla.it/corpus/player/player.cgi?code=PBC024&amp;begin=3676180&amp;end=3678929</t>
  </si>
  <si>
    <t>bella marinara // li porti alla bella marinara // la sai questa? // sì // eh ma io non lo so // secondo me la sapeva // non la</t>
  </si>
  <si>
    <t>questa? poi cantava // no ce n''è un''altra // mh // e la poesia la poesia di~ di~ di chiccolino // chiccolino lo sai te? // no</t>
  </si>
  <si>
    <t>KPN012</t>
  </si>
  <si>
    <t>doc#156</t>
  </si>
  <si>
    <t>https://search.corpuskiparla.it/corpus/conversations/KPN012.html</t>
  </si>
  <si>
    <t>https://search.corpuskiparla.it/corpus/conversations/KPN012_jefferson.html</t>
  </si>
  <si>
    <t>MI</t>
  </si>
  <si>
    <t>#1220539</t>
  </si>
  <si>
    <t>https://search.corpuskiparla.it/corpus/player/player.cgi?code=KPN012&amp;begin=616230&amp;end=618131</t>
  </si>
  <si>
    <t>PKP044</t>
  </si>
  <si>
    <t>un volto // è quella di piermarco // è di piermarco capito? che gli scrive piermarco per il biglie~ // mh mh // ma allora</t>
  </si>
  <si>
    <t>che il signor bianchi è proprio // un dottor stranamore // // ora vivrò anch''io in questa casa // sì però quella cosa di</t>
  </si>
  <si>
    <t>#1223309</t>
  </si>
  <si>
    <t>https://search.corpuskiparla.it/corpus/player/player.cgi?code=KPN012&amp;begin=1408513&amp;end=1411100</t>
  </si>
  <si>
    <t>è lei il nano salentino? // ho detto sì è lei // ma io non so perchè a me quella persona non sfiora proprio // s~ // a me invece</t>
  </si>
  <si>
    <t>sì cioè mh // xxxxxxxxxxxx // cioè nel senso non mi sfiora proprio capito? cioè proprio non esiste // no per me secondo me è</t>
  </si>
  <si>
    <t>PKP046</t>
  </si>
  <si>
    <t>#1226093</t>
  </si>
  <si>
    <t>https://search.corpuskiparla.it/corpus/player/player.cgi?code=KPN012&amp;begin=2185111&amp;end=2186370</t>
  </si>
  <si>
    <t>guarda // grado base eh // anzi sai che cosa ti faccio? // cosa cosa posso fare con questo grado base da dove posso part~ //</t>
  </si>
  <si>
    <t>cosa ti faccio? guarda // parto da grado base // ti metto anche l // il xx // ma che scatto quando // e poi un''altra cosa //</t>
  </si>
  <si>
    <t>PTA018</t>
  </si>
  <si>
    <t>#1228347</t>
  </si>
  <si>
    <t>doc#157</t>
  </si>
  <si>
    <t>https://search.corpuskiparla.it/corpus/player/player.cgi?code=PTA018&amp;begin=163796&amp;end=165794</t>
  </si>
  <si>
    <t>TOI031</t>
  </si>
  <si>
    <t>https://search.corpuskiparla.it/corpus/conversations/PTA018.html</t>
  </si>
  <si>
    <t>https://search.corpuskiparla.it/corpus/conversations/PTA018_jefferson.html</t>
  </si>
  <si>
    <t>lavoro era // più pericoloso era imballare proprio // le lamiere // perché erano molto // le lamiere delle macchine come</t>
  </si>
  <si>
    <t>sono molto // affilate // no? // quindi quello era molto più pericoloso che // che spara~ che montare le casse in legno //</t>
  </si>
  <si>
    <t>#1229943</t>
  </si>
  <si>
    <t>https://search.corpuskiparla.it/corpus/player/player.cgi?code=PTA018&amp;begin=729400&amp;end=730180</t>
  </si>
  <si>
    <t>ti ha detto di no // se tu l''avessi detto in modo // in modo ambiguo // magari // a quest''ora // eh hai anche ragione però //</t>
  </si>
  <si>
    <t>nella vita // quando si è giovani // vabbè // quindi // hai venduto finestre // sì poi // poi cos''è successo? // poi // mi</t>
  </si>
  <si>
    <t>#1233054</t>
  </si>
  <si>
    <t>https://search.corpuskiparla.it/corpus/player/player.cgi?code=PTA018&amp;begin=1792090&amp;end=1794075</t>
  </si>
  <si>
    <t>una pianta // // qui c''è sempre gian in posa con un // non lo so adesso non vedo bene un agrifoglio dovrebbe essere // ma tu</t>
  </si>
  <si>
    <t>riconoscere tutte le piante? // no quelle che vedo qui // le conosco // quelle che non ho visto // mai // non le conosco //</t>
  </si>
  <si>
    <t>#1233089</t>
  </si>
  <si>
    <t>https://search.corpuskiparla.it/corpus/player/player.cgi?code=PTA018&amp;begin=1801479&amp;end=1805055</t>
  </si>
  <si>
    <t>// no quelle che vedo qui // le conosco // quelle che non ho visto // mai // non le conosco // però se tu vai in un bosco //</t>
  </si>
  <si>
    <t>fare tipo questo è un salice questa è una betulla o no? // sì abbastanza // e coi fiori pure? // coi fiori abbastanza sì //</t>
  </si>
  <si>
    <t>#1233279</t>
  </si>
  <si>
    <t>https://search.corpuskiparla.it/corpus/player/player.cgi?code=PTA018&amp;begin=1858775&amp;end=1859555</t>
  </si>
  <si>
    <t>// che un gran bel giorno in un chiostro di // storico di // di torino // stavamo togliendo dei tondini di ferro //</t>
  </si>
  <si>
    <t>cosa sono? // no // sono // sono delle barre // di ferro // che si piantano in genere per // quando si fa il cemento // no per //</t>
  </si>
  <si>
    <t>#1245131</t>
  </si>
  <si>
    <t>https://search.corpuskiparla.it/corpus/player/player.cgi?code=BOA3010&amp;begin=3285414&amp;end=3288405</t>
  </si>
  <si>
    <t>// sono difficili gli aggettivi // sì // è che ci sono tanti suffissi per farli e // come olimpico e olimpionico // e tu non</t>
  </si>
  <si>
    <t>quando devi usare uno e dev~ e quando devi usare l'' altro // da quello che ho capito olimpico è se ha participato alle</t>
  </si>
  <si>
    <t>#1249477</t>
  </si>
  <si>
    <t>https://search.corpuskiparla.it/corpus/player/player.cgi?code=PTD017&amp;begin=507455&amp;end=512101</t>
  </si>
  <si>
    <t>// mh mh mh mh // son quelle piccole cose che fanno poi gruppo no? // quindi ti senti poi all''interno vagamente protetto e</t>
  </si>
  <si>
    <t>che se hai mh necessità // bene o male // qualcuno per strada prima o poi si ferma no? cosa che // // magari in altre zone in</t>
  </si>
  <si>
    <t>#1265266</t>
  </si>
  <si>
    <t>https://search.corpuskiparla.it/corpus/player/player.cgi?code=KPS005&amp;begin=1048777&amp;end=1050800</t>
  </si>
  <si>
    <t>be che è normale scusami hai mai visto un cocktail bevuto freddo? bevuto caldo? // eh che sono meno un quarto // e tu che ne</t>
  </si>
  <si>
    <t>dei cocktail? fammi capi'' // no non si mette il ghiaccio // a proposito quello che sapevi tu uguale // esatto // che non lo</t>
  </si>
  <si>
    <t>#1266348</t>
  </si>
  <si>
    <t>https://search.corpuskiparla.it/corpus/player/player.cgi?code=KPS005&amp;begin=1410374&amp;end=1415889</t>
  </si>
  <si>
    <t>odio mi dà fastidio il suono // perche''? ma l''unico nella vita // invece no // no non è vero la chitarra è molto bella se la se</t>
  </si>
  <si>
    <t>suonare adeguatamente // non è vero è soggettivo è soggettivo // ho capito ma da che mondo è mondo la chiatrra piace a</t>
  </si>
  <si>
    <t>#1285262</t>
  </si>
  <si>
    <t>https://search.corpuskiparla.it/corpus/player/player.cgi?code=KPN001&amp;begin=674395&amp;end=684437</t>
  </si>
  <si>
    <t>modo // avoglia // ehm trovi effettivamente dei piatti poi magari è vero non è che esci da lì e sei sazio però comunque</t>
  </si>
  <si>
    <t>che le cose sono fre~ cioè tipo là devi veramente prenotare // sì li paghi per tutta l''esperienza è vero eh e sei sazio // sì</t>
  </si>
  <si>
    <t>#1285441</t>
  </si>
  <si>
    <t>https://search.corpuskiparla.it/corpus/player/player.cgi?code=KPN001&amp;begin=726515&amp;end=734400</t>
  </si>
  <si>
    <t>andare a mangiare // non ma nemmeno in quello stellato però sei al ristorante a farti un determinato tipo di cena dove</t>
  </si>
  <si>
    <t>che spenderai un po'' di più // mhmh // e quindi dicevamo c''è gente che invece sta sempre a pensare a risparmiare su ste cose</t>
  </si>
  <si>
    <t>#1285660</t>
  </si>
  <si>
    <t>https://search.corpuskiparla.it/corpus/player/player.cgi?code=KPN001&amp;begin=799020&amp;end=805102</t>
  </si>
  <si>
    <t>io molto poco perchè per me tipo vado in vacanza è fondamentale cosa mangio dove vado // certo o comunque appunto tu sei lì</t>
  </si>
  <si>
    <t>che c''è un ristorante xx ma anche che può essere // ehm // mh // vai vai // scusa no è che stiamo anche registrando nel mentre</t>
  </si>
  <si>
    <t>#1286447</t>
  </si>
  <si>
    <t>https://search.corpuskiparla.it/corpus/player/player.cgi?code=KPN001&amp;begin=1033096&amp;end=1044489</t>
  </si>
  <si>
    <t>c''ho i soldi ci sto un mese ma mi compro tutte le robe che mi posso ser~ cioè ci vado lì fatto bene non sono che comunque dici</t>
  </si>
  <si>
    <t>non mi posso permettere uno di starci un mese due di improvvisare una cosa // mh // esatto // tre comunque l''attrezzatura</t>
  </si>
  <si>
    <t>#1286813</t>
  </si>
  <si>
    <t>https://search.corpuskiparla.it/corpus/player/player.cgi?code=KPN001&amp;begin=1138424&amp;end=1142538</t>
  </si>
  <si>
    <t>// assolutamente cioè tu // no no ma infatti io su questo cioè anch''io la penso allo stesso modo però da un lato penso</t>
  </si>
  <si>
    <t>che c''è // vaffanculo per come si sta adesso anche // // non mi toccare con quelle mani sporchine // aiuto // e che ti dev~ eh</t>
  </si>
  <si>
    <t>#1288734</t>
  </si>
  <si>
    <t>https://search.corpuskiparla.it/corpus/player/player.cgi?code=KPN001&amp;begin=1815225&amp;end=1816333</t>
  </si>
  <si>
    <t>a quanto sono abituato a mangiarlo // sì sì sì // sì ma era con te che parlavo del competizione di piccantezza? // non lo so</t>
  </si>
  <si>
    <t>// che tu mi hai detto forse che // che c''era un programma in cui la gente mangiava piccante // no io l~ l~ lo so che c''è quel</t>
  </si>
  <si>
    <t>#1288781</t>
  </si>
  <si>
    <t>https://search.corpuskiparla.it/corpus/player/player.cgi?code=KPN001&amp;begin=1825446&amp;end=1827580</t>
  </si>
  <si>
    <t>mangiava piccante // no io l~ l~ lo so che c''è quel programma // ah eh allora me l''hai detto tu // però non so se te l''ho detto</t>
  </si>
  <si>
    <t>non mi ricordo // forse quella sera xxxxx // dici? mh // mh // della gente che si mangia i peperoncini nelle competizioni?</t>
  </si>
  <si>
    <t>#1289879</t>
  </si>
  <si>
    <t>https://search.corpuskiparla.it/corpus/player/player.cgi?code=KPN001&amp;begin=2169784&amp;end=2172772</t>
  </si>
  <si>
    <t>o comunque però se lo vuoi un po'' stemperare lo lo bagno lì quindi non c''era nemmeno la salsina che dici // boh magari</t>
  </si>
  <si>
    <t>si mangia in questo modo xx // beh però non lo sai neanche // no non lo sai però capito? che ne so // boh // quindi lui prende</t>
  </si>
  <si>
    <t>#1289891</t>
  </si>
  <si>
    <t>https://search.corpuskiparla.it/corpus/player/player.cgi?code=KPN001&amp;begin=2171782&amp;end=2173200</t>
  </si>
  <si>
    <t>PKP007</t>
  </si>
  <si>
    <t>lo lo bagno lì quindi non c''era nemmeno la salsina che dici // boh magari sai si mangia in questo modo xx // beh però non lo</t>
  </si>
  <si>
    <t>neanche // no non lo sai però capito? che ne so // boh // quindi lui prende sta cosa se se la mette tutta in bocca // appunto</t>
  </si>
  <si>
    <t>#1290041</t>
  </si>
  <si>
    <t>https://search.corpuskiparla.it/corpus/player/player.cgi?code=KPN001&amp;begin=2211673&amp;end=2221072</t>
  </si>
  <si>
    <t>quindi sei già andato in giro da solo per dirti anche solo a farti le le cene con gli amici che ne so ti è capitato o comunque</t>
  </si>
  <si>
    <t>più o meno cos''è eravamo piccole entrambe quindi // quindi mio padre ha iniziato a diventare rosso ha inizato a tossire</t>
  </si>
  <si>
    <t>PTD007</t>
  </si>
  <si>
    <t>#1301446</t>
  </si>
  <si>
    <t>doc#168</t>
  </si>
  <si>
    <t>https://search.corpuskiparla.it/corpus/player/player.cgi?code=PTD007&amp;begin=386691&amp;end=389602</t>
  </si>
  <si>
    <t>TOI041</t>
  </si>
  <si>
    <t>https://search.corpuskiparla.it/corpus/conversations/PTD007.html</t>
  </si>
  <si>
    <t>https://search.corpuskiparla.it/corpus/conversations/PTD007_jefferson.html</t>
  </si>
  <si>
    <t>riuscire a riciclarti perché tendono a proporti sempre // é difficile // posizioni che hanno a che fare con quello che</t>
  </si>
  <si>
    <t>già fare // mhmh // no? non c''è molta disponibilità // a continuare la formazione // si parla tanto di formazione</t>
  </si>
  <si>
    <t>#1308675</t>
  </si>
  <si>
    <t>https://search.corpuskiparla.it/corpus/player/player.cgi?code=PTD007&amp;begin=2296169&amp;end=2296850</t>
  </si>
  <si>
    <t>// mh mh // io sono non sono una da multisa~ // odio le multisala // eh perché odio mangiare con l''odore del popcorn //</t>
  </si>
  <si>
    <t>proprio mi dà // cioè guardare il film con l''odore del popcorn mi dà proprio fastidio // fastidio // e poi non mi piacciono</t>
  </si>
  <si>
    <t>KPS015</t>
  </si>
  <si>
    <t>doc#169</t>
  </si>
  <si>
    <t>https://search.corpuskiparla.it/corpus/conversations/KPS015.html</t>
  </si>
  <si>
    <t>https://search.corpuskiparla.it/corpus/conversations/KPS015_jefferson.html</t>
  </si>
  <si>
    <t>#1315326</t>
  </si>
  <si>
    <t>https://search.corpuskiparla.it/corpus/player/player.cgi?code=KPS015&amp;begin=1666308&amp;end=1667070</t>
  </si>
  <si>
    <t>PKP082</t>
  </si>
  <si>
    <t>sì sì adesso me li lavo i denti // vuoi a~ // ma ce l''ha~ // ar~ arrivi in ritardo? // ce l''hai lo spazzolino qua? // sì sì // lo</t>
  </si>
  <si>
    <t>dove sta? // arrivi in ritardo? // sì sì // eh no non arrivo in ritardo perchè sono le // ah // dodici e quarantaqua~ no eh //</t>
  </si>
  <si>
    <t>#1317728</t>
  </si>
  <si>
    <t>https://search.corpuskiparla.it/corpus/player/player.cgi?code=KPS015&amp;begin=2238413&amp;end=2239447</t>
  </si>
  <si>
    <t>nonna // ah // // esagera~ mo // no no io te l''ho detto questo sugo è buonissimo // // no è o'' vero è buono veramente // no lo</t>
  </si>
  <si>
    <t>che cosa // aspetta l''unica volta che mi è uscito un sugo proprio buono buono buono degno di nota // // è stato quando a</t>
  </si>
  <si>
    <t>PTD011</t>
  </si>
  <si>
    <t>doc#171</t>
  </si>
  <si>
    <t>TOI066</t>
  </si>
  <si>
    <t>https://search.corpuskiparla.it/corpus/conversations/PTD011.html</t>
  </si>
  <si>
    <t>https://search.corpuskiparla.it/corpus/conversations/PTD011_jefferson.html</t>
  </si>
  <si>
    <t>#1322681</t>
  </si>
  <si>
    <t>https://search.corpuskiparla.it/corpus/player/player.cgi?code=PTD011&amp;begin=534213&amp;end=536031</t>
  </si>
  <si>
    <t>// eh // sì no vabbè // un soggiorno l''avevo fatto // ma quando eravamo alle mh // più piccola // alle superiori ho fatto //</t>
  </si>
  <si>
    <t>le tre settimane // in irlanda // avevo fatto sai lo studio // ah // un corso una vacanza studio? // sì sì // le vacanze</t>
  </si>
  <si>
    <t>#1323143</t>
  </si>
  <si>
    <t>https://search.corpuskiparla.it/corpus/player/player.cgi?code=PTD011&amp;begin=677606&amp;end=679000</t>
  </si>
  <si>
    <t>adesso // nel passaggio // tra anna e ale comunque // sono riuscita anche a riprendermi degli spazi // delle // delle mh //</t>
  </si>
  <si>
    <t>uscite con le amiche // // piccole // cosa xxx ? // niente xxx // monelli // scusa // e diciamo che // appunto forse dal</t>
  </si>
  <si>
    <t>#1323675</t>
  </si>
  <si>
    <t>https://search.corpuskiparla.it/corpus/player/player.cgi?code=PTD011&amp;begin=837706&amp;end=840007</t>
  </si>
  <si>
    <t>sì // no no // oppure fa xxx adesso inizia // il periodo delle sagre // certo // di paese le // grigliate fanno un sacco di //</t>
  </si>
  <si>
    <t>l~ la la band // no poi sai vasco e liga // portano un sacco di // di pubblico // hanno un vasto seguito // sì // sì sì // e tu</t>
  </si>
  <si>
    <t>#1323683</t>
  </si>
  <si>
    <t>https://search.corpuskiparla.it/corpus/player/player.cgi?code=PTD011&amp;begin=840206&amp;end=841995</t>
  </si>
  <si>
    <t>adesso inizia // il periodo delle sagre // certo // di paese le // grigliate fanno un sacco di // sai l~ la la band // no poi</t>
  </si>
  <si>
    <t>vasco e liga // portano un sacco di // di pubblico // hanno un vasto seguito // sì // sì sì // e tu invece non // non hai</t>
  </si>
  <si>
    <t>#1324282</t>
  </si>
  <si>
    <t>https://search.corpuskiparla.it/corpus/player/player.cgi?code=PTD011&amp;begin=1014213&amp;end=1016497</t>
  </si>
  <si>
    <t>loro // cioè meglio // forse nel giardino // che in mezzo // alla strada che poi // sì certo // non raccolgono almeno lì okay</t>
  </si>
  <si>
    <t>che // ci vanno // eviti di andare // però tanto non è che vai a giocare qua sotto // i bimbi vanno a giocare qua sotto // cioè</t>
  </si>
  <si>
    <t>#1327771</t>
  </si>
  <si>
    <t>https://search.corpuskiparla.it/corpus/player/player.cgi?code=KPN021&amp;begin=365239&amp;end=368859</t>
  </si>
  <si>
    <t>sono diplomato // quando io ti dico una cosa voglio che la fai subito // // va bene mamma sì // va bene mh // però io ti amo e lo</t>
  </si>
  <si>
    <t>che è così mi ritroverai nei tuoi sogni più intimi // dovrei essere uno dei doni più sinceri che hai io // si chiamano</t>
  </si>
  <si>
    <t>#1329604</t>
  </si>
  <si>
    <t>https://search.corpuskiparla.it/corpus/player/player.cgi?code=KPN021&amp;begin=895359&amp;end=898509</t>
  </si>
  <si>
    <t>PKP072</t>
  </si>
  <si>
    <t>privato che ci compra lui // tipo appartamento capito che però è tuo e dici // ah sì sì sì tipo mi faccio le vacanze to'' // sì</t>
  </si>
  <si>
    <t>quelli che hanno le finestre che arrivano fino al tetto // non so se hai presente // sì sì tipo // tutta vetrata // che è solo</t>
  </si>
  <si>
    <t>#1329714</t>
  </si>
  <si>
    <t>https://search.corpuskiparla.it/corpus/player/player.cgi?code=KPN021&amp;begin=914159&amp;end=918189</t>
  </si>
  <si>
    <t>quelle sintetiche // no no quelle no // non le voglio // no // no no no // sintetiche sì // no no no no ma su tante foto mettono</t>
  </si>
  <si>
    <t>la pelliccia dell''anima~ // sì fanno un po'' s~ ansia // che // no non fa per me // poi anche stra tanta polvere // è come tipo i</t>
  </si>
  <si>
    <t>#1329949</t>
  </si>
  <si>
    <t>https://search.corpuskiparla.it/corpus/player/player.cgi?code=KPN021&amp;begin=987655&amp;end=993469</t>
  </si>
  <si>
    <t>lo stesso perchè // agrumens sono della twinings e questo li~ lipton // com''è che si pronuncia // twinings // twinings //</t>
  </si>
  <si>
    <t>cosa che tè devo provare della twinings c''è il prince of wales // xx // mh // e quello // non li conosco io // principe delle</t>
  </si>
  <si>
    <t>#1329990</t>
  </si>
  <si>
    <t>https://search.corpuskiparla.it/corpus/player/player.cgi?code=KPN021&amp;begin=998828&amp;end=1002549</t>
  </si>
  <si>
    <t>PKP070</t>
  </si>
  <si>
    <t>wales // xx // mh // e quello // non li conosco io // principe delle balene // quello white chinese tea // no w~ whale no tu non</t>
  </si>
  <si>
    <t>cosa ha appena detto // chi // principe delle balene // balena non si dice // le buste // whale // eh // marina // e tu cosa hai</t>
  </si>
  <si>
    <t>#1331985</t>
  </si>
  <si>
    <t>https://search.corpuskiparla.it/corpus/player/player.cgi?code=KPN021&amp;begin=1649199&amp;end=1654999</t>
  </si>
  <si>
    <t>tutta per crescere i ragazzi con i giusti principi // comunque grazie sono contenta di quello che hai scritto tu non</t>
  </si>
  <si>
    <t>quanto siamo contenti di aver trovato te non potevamo sperare di meglio // cara // avranno sbagliato contatto // ma stai</t>
  </si>
  <si>
    <t>#1332014</t>
  </si>
  <si>
    <t>https://search.corpuskiparla.it/corpus/player/player.cgi?code=KPN021&amp;begin=1664540&amp;end=1666100</t>
  </si>
  <si>
    <t>trovato te non potevamo sperare di meglio // cara // avranno sbagliato contatto // ma stai zitto // // raga // continuo //</t>
  </si>
  <si>
    <t>fare una roba // una // prima xx // a quanto pare no // prima ho provato tre volte a // // a togliere la come si chiama //</t>
  </si>
  <si>
    <t>#1336633</t>
  </si>
  <si>
    <t>https://search.corpuskiparla.it/corpus/player/player.cgi?code=KPN021&amp;begin=3065292&amp;end=3072124</t>
  </si>
  <si>
    <t>sta settimana perchè // doveva lavorare // ah per lavoro // e mi hanno detto di quelle robe cioè intanto parlano e perchè</t>
  </si>
  <si>
    <t>le quattordicenni io ero tipo madonna xx // // raga // le duemila e tre // io qua dentro okay // no amo // fa e no perchè vedi</t>
  </si>
  <si>
    <t>#1337571</t>
  </si>
  <si>
    <t>https://search.corpuskiparla.it/corpus/player/player.cgi?code=KPN021&amp;begin=3367656&amp;end=3370981</t>
  </si>
  <si>
    <t>a letto e dire madonna sto per buttare fuori pure l''anima // // di quelli venuti prima di me // // ma non lo e non lo n~ non lo</t>
  </si>
  <si>
    <t>cioè non è che dici // ah allora questo per forza ogni volta mi fa così // sì sì sì // no perchè magari poi un''altra volta lo</t>
  </si>
  <si>
    <t>#1338012</t>
  </si>
  <si>
    <t>https://search.corpuskiparla.it/corpus/player/player.cgi?code=KPN021&amp;begin=3547863&amp;end=3553444</t>
  </si>
  <si>
    <t>mh? // beh oh me ovviamente // sì eh // cioè ci vuole poco // ah sì ti piace di più lo zio lori? // // // mi fai molto ridere così</t>
  </si>
  <si>
    <t>chi mi ricordi quello dell''era glaciale con le zanne la tigre va // eh oddio com''è che si chiama // perchè ha i denti sì</t>
  </si>
  <si>
    <t>PTB003</t>
  </si>
  <si>
    <t>#1342512</t>
  </si>
  <si>
    <t>doc#173</t>
  </si>
  <si>
    <t>https://search.corpuskiparla.it/corpus/player/player.cgi?code=PTB003&amp;begin=1560249&amp;end=1566829</t>
  </si>
  <si>
    <t>https://search.corpuskiparla.it/corpus/conversations/PTB003.html</t>
  </si>
  <si>
    <t>https://search.corpuskiparla.it/corpus/conversations/PTB003_jefferson.html</t>
  </si>
  <si>
    <t>vivi eh // comunque niente e insomma alla fine // eh ho detto senti vabbè // se hai piacere andiamo a ballare qualche volta</t>
  </si>
  <si>
    <t>rimaniamo amici se vuoi se poi non vuoi lascia~ // non so come poi è andato a finire // mia mamma ti devi sposare ti devi</t>
  </si>
  <si>
    <t>#1351330</t>
  </si>
  <si>
    <t>https://search.corpuskiparla.it/corpus/player/player.cgi?code=PTB023&amp;begin=172323&amp;end=174370</t>
  </si>
  <si>
    <t>// guà? // ma no non // eh? // no non puzzi // strano // davvero strano // di solito ho una sudura~ sudorazione // però</t>
  </si>
  <si>
    <t>cosa? il fatto di avere i peli // mi trattiene l''odore lì // perchè tu non te li togli? // no // ma va // che sbatta // che // //</t>
  </si>
  <si>
    <t>#1352090</t>
  </si>
  <si>
    <t>https://search.corpuskiparla.it/corpus/player/player.cgi?code=PTB023&amp;begin=432479&amp;end=435710</t>
  </si>
  <si>
    <t>TOI113</t>
  </si>
  <si>
    <t>varie esperienze xxx // mhm // e io faccio un po'' fatica con quelle // della mia generazione o un po'' più vecchie quelle no?</t>
  </si>
  <si>
    <t>// mh mh // perchè hanno un approccio // cazzo ancora adesso durissimo eh cioè // sì // e invece parlare con voi che è un</t>
  </si>
  <si>
    <t>#1352624</t>
  </si>
  <si>
    <t>https://search.corpuskiparla.it/corpus/player/player.cgi?code=PTB023&amp;begin=631328&amp;end=632826</t>
  </si>
  <si>
    <t>di fronte a casa mia // c''è il presidio // sì lo so // e siamo noi che l''abbiamo organizzato // ah // carovane migranti // ma</t>
  </si>
  <si>
    <t>che? non avevo capi~ // non ci sono non mi sono mai fermata cioè me ne sono un po'' fregata ma perchè sono in sessione // è una</t>
  </si>
  <si>
    <t>#1354311</t>
  </si>
  <si>
    <t>https://search.corpuskiparla.it/corpus/player/player.cgi?code=PTB023&amp;begin=1180070&amp;end=1182952</t>
  </si>
  <si>
    <t>// al ritmo semplice e misericordioso della vita // vedi ragazza che non ho // stasera saremo in tanti ad attenderti lo</t>
  </si>
  <si>
    <t>ma tu // fai così non pensare a me // a furia di credere in miracoli ho imparato a reggerne l''assenza // ma uno di noi questa</t>
  </si>
  <si>
    <t>#1354713</t>
  </si>
  <si>
    <t>https://search.corpuskiparla.it/corpus/player/player.cgi?code=PTB023&amp;begin=1320549&amp;end=1321700</t>
  </si>
  <si>
    <t>male ma // eh // mi dice ma come cazzo fai tu? // e io vedo quella parte lì // è difficile questa cosa perchè // // mi è successo</t>
  </si>
  <si>
    <t>// vabbè è stato // per me non so per quale motivo // nonostante ci siano un sacco di robe // cristo ho steso fuori vabbè // un</t>
  </si>
  <si>
    <t>#1355591</t>
  </si>
  <si>
    <t>https://search.corpuskiparla.it/corpus/player/player.cgi?code=PTB023&amp;begin=1649914&amp;end=1653592</t>
  </si>
  <si>
    <t>// che un po'' è vero eh // eh // m''è successo // mi son successe abbastanza cose nella vita ma // si vede che sono uno stronzo</t>
  </si>
  <si>
    <t>che gli stronzi galleggiano sempre // ma no non credo // n~ non pare // ma cosa ne facciamo poi di questa chiacchierata? //</t>
  </si>
  <si>
    <t>#1356516</t>
  </si>
  <si>
    <t>https://search.corpuskiparla.it/corpus/player/player.cgi?code=PTB023&amp;begin=1996723&amp;end=1998583</t>
  </si>
  <si>
    <t>tempo fa? // nel duemila e undici // ah okay // ho aggiustato nasi // fatto di tutto // ci credo // e poi la mia testimonianza</t>
  </si>
  <si>
    <t>// non essendo io // un pericoloso black bloc ma un medico che all''epoca aveva cinquantasette anni // mh mh mh // certo //</t>
  </si>
  <si>
    <t>#1358157</t>
  </si>
  <si>
    <t>https://search.corpuskiparla.it/corpus/player/player.cgi?code=PTB023&amp;begin=2872628&amp;end=2874792</t>
  </si>
  <si>
    <t>gioco da quando ho cinque anni // ah // eh però // ti piace anche tifare // eh // eh // nessuno è perfetto // ah ecco allora lo</t>
  </si>
  <si>
    <t>// dai che devo star qua // no vabbè // ma bella che sei // xx // eh ah // allora niente io sono autoctona // di bologna // eh è la</t>
  </si>
  <si>
    <t>PBA008</t>
  </si>
  <si>
    <t>#1361023</t>
  </si>
  <si>
    <t>doc#176</t>
  </si>
  <si>
    <t>https://search.corpuskiparla.it/corpus/player/player.cgi?code=PBA008&amp;begin=1071227&amp;end=1074584</t>
  </si>
  <si>
    <t>BOI067</t>
  </si>
  <si>
    <t>https://search.corpuskiparla.it/corpus/conversations/PBA008.html</t>
  </si>
  <si>
    <t>https://search.corpuskiparla.it/corpus/conversations/PBA008_jefferson.html</t>
  </si>
  <si>
    <t>lì dietro la scrivania tutti i cataloghi ma non è // mh // non avrebbe neanche quasi un senso // tanto è importante che tu li</t>
  </si>
  <si>
    <t>usare come strumento e sai dove // si trovano le cose // e poi li vai a cercare vai un po'' a comporre tutto quanto // è molto</t>
  </si>
  <si>
    <t>#1361028</t>
  </si>
  <si>
    <t>i cataloghi ma non è // mh // non avrebbe neanche quasi un senso // tanto è importante che tu li sai usare come strumento e</t>
  </si>
  <si>
    <t>dove // si trovano le cose // e poi li vai a cercare vai un po'' a comporre tutto quanto // è molto articolato // ci sono tante</t>
  </si>
  <si>
    <t>#1362967</t>
  </si>
  <si>
    <t>https://search.corpuskiparla.it/corpus/player/player.cgi?code=PBA008&amp;begin=1755516&amp;end=1759131</t>
  </si>
  <si>
    <t>// anche quello // sì sì // il fumo // in generale quello si può dire // sì che si può dire certo che si può dire // e // e no</t>
  </si>
  <si>
    <t>cosa mi è rimasto di street la cosa più bella? // di street // tipico di bologna tra l''altro // conoscere gente a caso //</t>
  </si>
  <si>
    <t>PBA029</t>
  </si>
  <si>
    <t>#1365273</t>
  </si>
  <si>
    <t>doc#177</t>
  </si>
  <si>
    <t>https://search.corpuskiparla.it/corpus/player/player.cgi?code=PBA029&amp;begin=36410&amp;end=42720</t>
  </si>
  <si>
    <t>BOI114</t>
  </si>
  <si>
    <t>https://search.corpuskiparla.it/corpus/conversations/PBA029.html</t>
  </si>
  <si>
    <t>https://search.corpuskiparla.it/corpus/conversations/PBA029_jefferson.html</t>
  </si>
  <si>
    <t>meglio di di bologna // prima vabbè che i miei primi sette anni di vita però // eh però comunque bologna è un po'' più caotica</t>
  </si>
  <si>
    <t>quindi casalecchio di reno invece è più bello è bello // se cade x // // ma mettilo lì mettilo x // scusa mettilo giù // ma qui</t>
  </si>
  <si>
    <t>#1366605</t>
  </si>
  <si>
    <t>https://search.corpuskiparla.it/corpus/player/player.cgi?code=PBA029&amp;begin=449447&amp;end=456236</t>
  </si>
  <si>
    <t>lo fai perchè lo devi fare per fare casino ecco allora lì no // son d''accordo // e te invece da casalecchiese cosa // eh mh ma</t>
  </si>
  <si>
    <t>io è che ho ventisette anni e sono tanti a bologna in questo senso // mh // perchè mh io l''ho già passata la parte del delle</t>
  </si>
  <si>
    <t>#1367291</t>
  </si>
  <si>
    <t>https://search.corpuskiparla.it/corpus/player/player.cgi?code=PBA029&amp;begin=659470&amp;end=668680</t>
  </si>
  <si>
    <t>BOI113</t>
  </si>
  <si>
    <t>sì // perchè tanto alla fine c''hai sempre la tua cerchia la tua compagnia fai quelle cose lì ti ritrovi in quel punto lì che</t>
  </si>
  <si>
    <t>che voi del posto sapete che quello è il punto di ritrovo // fate quelle robe lì loro c''hanno il matis noi ci sta lo</t>
  </si>
  <si>
    <t>#1368020</t>
  </si>
  <si>
    <t>https://search.corpuskiparla.it/corpus/player/player.cgi?code=PBA029&amp;begin=865410&amp;end=870240</t>
  </si>
  <si>
    <t>fatto durante la giornata // te lo devi di'' da sola se te lo dici da sola hai bisogno di una continuità di una routine che te</t>
  </si>
  <si>
    <t>// che mantieni quella cosa lì quella pace lì che non fai tanti eccessi fai gli eccessi necessari ma // ti mantieni una</t>
  </si>
  <si>
    <t>#1369650</t>
  </si>
  <si>
    <t>https://search.corpuskiparla.it/corpus/player/player.cgi?code=PBA029&amp;begin=1371870&amp;end=1378720</t>
  </si>
  <si>
    <t>BOR028</t>
  </si>
  <si>
    <t>del cibo // // perchè si lega molto alla tradizione bolognese no? // // quindi qui s~ la domanda va diretta a lui ma se te</t>
  </si>
  <si>
    <t>qualcosa poi ti infili tanto vedo che // // // che tradizioni av~ cioè se se avete tradizioni in casa le seguite // no sai</t>
  </si>
  <si>
    <t>#1376762</t>
  </si>
  <si>
    <t>https://search.corpuskiparla.it/corpus/player/player.cgi?code=KPN017&amp;begin=139939&amp;end=141359</t>
  </si>
  <si>
    <t>spinaci // mh // e poi li ha fatti andare con un po'' di di verdure secondo me un pochino di carote di e e del pomodoro // lo</t>
  </si>
  <si>
    <t>che erano buonissime? // davvero? // sì // ma spinaci quelli surgelati però? // mh sì // carote e pomodoro? // no sai tipo</t>
  </si>
  <si>
    <t>#1376849</t>
  </si>
  <si>
    <t>https://search.corpuskiparla.it/corpus/player/player.cgi?code=KPN017&amp;begin=163590&amp;end=166239</t>
  </si>
  <si>
    <t>fa il suo solito? // eh // e poi e del pomodoro della passata e poi dopo c''ha gli ha // mh c''ha messo dentro gli spinaci // ah //</t>
  </si>
  <si>
    <t>che non erano mica male? veramente? // beh possiam provare ce li abbiamo // mh mh // abbiamo un po'' di verdure se vuoi</t>
  </si>
  <si>
    <t>#1378012</t>
  </si>
  <si>
    <t>https://search.corpuskiparla.it/corpus/player/player.cgi?code=KPN017&amp;begin=739999&amp;end=742245</t>
  </si>
  <si>
    <t>ce l''ho sempre xxx // eh // e allora potresti provare a leggere un po'' perché la lettura veramente concilia // e lo so però</t>
  </si>
  <si>
    <t>devo accendere la luce // non me ne accorgo se dormo // non me ne accorgo per niente // mh buonissimo // ho preso un po'' di</t>
  </si>
  <si>
    <t>#1378158</t>
  </si>
  <si>
    <t>https://search.corpuskiparla.it/corpus/player/player.cgi?code=KPN017&amp;begin=820600&amp;end=823820</t>
  </si>
  <si>
    <t>sciatico // può essere la vitamina bi in cosa è contenuta? nelle verdure? // mh la vitamina bi non lo so dove perché ehm //</t>
  </si>
  <si>
    <t>che la vitamina b sono tante bi uno bi due // eh sì sì sì // è un com~ è una vitamina fondamentale ha detto // quella e la ci //</t>
  </si>
  <si>
    <t>#1379345</t>
  </si>
  <si>
    <t>https://search.corpuskiparla.it/corpus/player/player.cgi?code=KPN017&amp;begin=1424270&amp;end=1426742</t>
  </si>
  <si>
    <t>che quello c''è di mh di prassi // sì // ma c''è anche se per caso uno non si~ di loro non si mette la cintura // ah okay // perché</t>
  </si>
  <si>
    <t>saresti responsabile tu e mh // sì // se cioè nel senso che se lui si fa male la tua assicurazione paga i suoi danni anche di</t>
  </si>
  <si>
    <t>#1380948</t>
  </si>
  <si>
    <t>https://search.corpuskiparla.it/corpus/player/player.cgi?code=KPN017&amp;begin=1993401&amp;end=1996587</t>
  </si>
  <si>
    <t>lui ha comprato su in~ fa appena m''arriva ci provo e // secondo me mh // secondo me'' valeva la pena di provarci // che</t>
  </si>
  <si>
    <t>le tengono dei pezzi gli sf~ gli sfasciacarrozze // eh lo so lo so // anzi adesso vorrei andare una volta che ci passo</t>
  </si>
  <si>
    <t>KPS007</t>
  </si>
  <si>
    <t>#1396825</t>
  </si>
  <si>
    <t>doc#182</t>
  </si>
  <si>
    <t>https://search.corpuskiparla.it/corpus/player/player.cgi?code=KPS007&amp;begin=516962&amp;end=518857</t>
  </si>
  <si>
    <t>PKP134</t>
  </si>
  <si>
    <t>https://search.corpuskiparla.it/corpus/conversations/KPS007.html</t>
  </si>
  <si>
    <t>https://search.corpuskiparla.it/corpus/conversations/KPS007_jefferson.html</t>
  </si>
  <si>
    <t>al cancello // al cancelletto quello all''ingresso // stava uscendo // mhmh // sì ah mo lo stava rifacendo e io non //</t>
  </si>
  <si>
    <t>col fatto che stava sotto col nonno // non riuscivamo a farla rientrare alla fine l''ho fatta salire sopra l''abbiamo</t>
  </si>
  <si>
    <t>#1399170</t>
  </si>
  <si>
    <t>https://search.corpuskiparla.it/corpus/player/player.cgi?code=KPS007&amp;begin=1292437&amp;end=1296400</t>
  </si>
  <si>
    <t>// ho detto sì ma dove ti siedi che non ci sta né un muretto né niente? // esce questo signore ne~ mh che tipo dal suo garage //</t>
  </si>
  <si>
    <t>quello dove ci sta tipo l''officina? andando verso le po~ no prima // // e praticamente esce sto signore e fa ah ti vuoi</t>
  </si>
  <si>
    <t>#1401235</t>
  </si>
  <si>
    <t>https://search.corpuskiparla.it/corpus/player/player.cgi?code=KPS007&amp;begin=1965205&amp;end=1966615</t>
  </si>
  <si>
    <t>no // non ci si fa un cazzo // co~? // no stavo a pensare alle varie zeppe cose che avevamo // sì ma le zeppe poi ti prego // ah no</t>
  </si>
  <si>
    <t>che abbiamo lì? // no vabbè // che ci potrebbero star bene? // quelle bianche della mamma // tipo giapponesi // oddio mo</t>
  </si>
  <si>
    <t>#1407424</t>
  </si>
  <si>
    <t>https://search.corpuskiparla.it/corpus/player/player.cgi?code=BOD1001&amp;begin=211105&amp;end=212235</t>
  </si>
  <si>
    <t>TO999</t>
  </si>
  <si>
    <t>su xxx // hai trovato? // sì qualcosina sì però ci devi spender tempo a cercare // eh ci devi spender tempo devi avere // non</t>
  </si>
  <si>
    <t>la qualità com'' è // vabbè tanto quello xxx la qualità xxx scrivere // no // xxxxx // no sì sì io su questo // però xxx in</t>
  </si>
  <si>
    <t>#1415011</t>
  </si>
  <si>
    <t>https://search.corpuskiparla.it/corpus/player/player.cgi?code=BOD1001&amp;begin=3390365&amp;end=3394979</t>
  </si>
  <si>
    <t>cocco no? e non può fare una brutta figura non può essere preso in giro dai bambini ignoranti // e poi offuscato spiò non le</t>
  </si>
  <si>
    <t>fare le aste? no fece vrivugnoso michilino // ti ci vorrà una vita per imparare a leggere e a scrivere commentò acido il</t>
  </si>
  <si>
    <t>#1421227</t>
  </si>
  <si>
    <t>https://search.corpuskiparla.it/corpus/player/player.cgi?code=BOD1001&amp;begin=5600912&amp;end=5604370</t>
  </si>
  <si>
    <t>euro rilegato e tutto e già stampato // sì? // ma sì tanto così si va avanti // no no ma a me non mi importa niente tanto</t>
  </si>
  <si>
    <t>non è che camilleri diventa povero // sì sì infatti esatto // se ~ se // se se non ha le royalties di // di di quaranta copie di</t>
  </si>
  <si>
    <t>#1430637</t>
  </si>
  <si>
    <t>https://search.corpuskiparla.it/corpus/player/player.cgi?code=KPS001&amp;begin=278382&amp;end=284020</t>
  </si>
  <si>
    <t>buon appetito // x x x x // buon appetito // buon appetito // eh // mamma sta cosa che lei ha cantato // di nuovo t''appartengo</t>
  </si>
  <si>
    <t>che è stato un successone è stato un successone mhmh questa cosa che lei ha ricantato t''ap~ // ma aveva messo x // eh? //</t>
  </si>
  <si>
    <t>#1431165</t>
  </si>
  <si>
    <t>https://search.corpuskiparla.it/corpus/player/player.cgi?code=KPS001&amp;begin=432496&amp;end=434193</t>
  </si>
  <si>
    <t>eh // no no // ah ah // mangia queste // e un mome~ // ne ho avuta una in più // ah no // no ci sono due mozzarelline c(ioè) // mh //</t>
  </si>
  <si>
    <t>quando è x x mozzarelline eh // infatti // mh // mh // queste so'' un po'' anestiose però vabbé // mh // eh sì non x x x // // // // mh</t>
  </si>
  <si>
    <t>#1431446</t>
  </si>
  <si>
    <t>https://search.corpuskiparla.it/corpus/player/player.cgi?code=KPS001&amp;begin=511645&amp;end=513605</t>
  </si>
  <si>
    <t>un cazzo // non c''ha un cazzo // è pesantuccio // mhmh // sì // pesantuccio // e poi non li sopporto certi // eh? // quando fa</t>
  </si>
  <si>
    <t>che so proprio x x x x // mh // io pure sì // eh papà ei // sono ti~ ma sono tipo zeppole alla fine sono tutte impasti // buoni //</t>
  </si>
  <si>
    <t>#1432447</t>
  </si>
  <si>
    <t>https://search.corpuskiparla.it/corpus/player/player.cgi?code=KPS001&amp;begin=773831&amp;end=777018</t>
  </si>
  <si>
    <t>pare che mh è una cosa che sto facendo solo io perché lui si mette comunque ma tutti gli altri // eh perché tu un altro po'' non</t>
  </si>
  <si>
    <t>manco del posto mh // devo farlo io // no eh infa~ // mi pare che x x con chiesa x // ma a me va benissimo pa io lo sper // con</t>
  </si>
  <si>
    <t>#1437145</t>
  </si>
  <si>
    <t>https://search.corpuskiparla.it/corpus/player/player.cgi?code=KPS001&amp;begin=2044936&amp;end=2047015</t>
  </si>
  <si>
    <t>PKP100</t>
  </si>
  <si>
    <t>eh mh // poi abbiamo la casa // basta non ha scritto più niente né dove // e eh // # quasi gratis ch ré x x x x // ma lo spero mamma</t>
  </si>
  <si>
    <t>quanto // ma è a gratis x // puoi quasi dire // ma i~ io l''avevo pure detto // ma se ci tenessimo un piano bi tipo a casa di</t>
  </si>
  <si>
    <t>#1440272</t>
  </si>
  <si>
    <t>https://search.corpuskiparla.it/corpus/player/player.cgi?code=KPS001&amp;begin=2745541&amp;end=2746718</t>
  </si>
  <si>
    <t>// ah sì sì // ma secondo me guarda per niente assimoglia a x a matteo niente né naso né cose nie~ // non ci ha fatto pagare //</t>
  </si>
  <si>
    <t>che non lo so // ma chi x x padre x x x // eh niente è di matteo // no // x matteo x // e allora il padre // aiuta barra lavora nel e //</t>
  </si>
  <si>
    <t>#1444193</t>
  </si>
  <si>
    <t>https://search.corpuskiparla.it/corpus/player/player.cgi?code=KPS001&amp;begin=3695932&amp;end=3696480</t>
  </si>
  <si>
    <t>hanno fatto uno schi~ hann pisciato per terra // perché? // chi è? // x x x // perché perché non dovevano farlo //</t>
  </si>
  <si>
    <t>perché? // li hanno li hanno li hanno cacciati dalla dalla non so se è vero però // no ma io // ah si dice // hanno smentito no</t>
  </si>
  <si>
    <t>#1445310</t>
  </si>
  <si>
    <t>https://search.corpuskiparla.it/corpus/player/player.cgi?code=KPS001&amp;begin=4036228&amp;end=4041278</t>
  </si>
  <si>
    <t>// vedo // ah questi qua fa mamma cagare // // buone sono eh? // è che da quando // è che ci sono quelle persone mamma dopo che</t>
  </si>
  <si>
    <t>una cosa non riesci più a prenderle sul serio come marco carta quando ormai // x x // mh // ha rubato alla rinascente // a</t>
  </si>
  <si>
    <t>#1447146</t>
  </si>
  <si>
    <t>https://search.corpuskiparla.it/corpus/player/player.cgi?code=KPS001&amp;begin=4479057&amp;end=4479998</t>
  </si>
  <si>
    <t>è no no no infatti non è que di que~ e di che che film è questa // s~ non la so // eh? // che film è? // i wanna be good by my se // mh //</t>
  </si>
  <si>
    <t>che non mi ricordo? // i will lo // boh io me la ricordo da glee non lo so di chi è // eh // // allora c''era anche ah bridget johns</t>
  </si>
  <si>
    <t>#1448679</t>
  </si>
  <si>
    <t>https://search.corpuskiparla.it/corpus/player/player.cgi?code=KPS001&amp;begin=4752827&amp;end=4754046</t>
  </si>
  <si>
    <t>// e chi è allo~? // x x x // no x x x // no dice c''erano dei commenti che allora // sembra quello che film era? // le valigie lo</t>
  </si>
  <si>
    <t>lo sai // s~ // si vede benissimo che x x x x // guarda // # le valigie lu sai // eh? // le valigie // e le facciamo // michael dei</t>
  </si>
  <si>
    <t>#1448681</t>
  </si>
  <si>
    <t>chi è allo~? // x x x // no x x x // no dice c''erano dei commenti che allora // sembra quello che film era? // le valigie lo sai lo</t>
  </si>
  <si>
    <t>// s~ // si vede benissimo che x x x x // guarda // # le valigie lu sai // eh? // le valigie // e le facciamo // michael dei</t>
  </si>
  <si>
    <t>#1459021</t>
  </si>
  <si>
    <t>https://search.corpuskiparla.it/corpus/player/player.cgi?code=KPC011&amp;begin=2368971&amp;end=2371801</t>
  </si>
  <si>
    <t>PKP148</t>
  </si>
  <si>
    <t>proprio la nebbia lì dentro io ho detto io non c''artorno citti // l''aspiratore // ah allora // allora ho capito // ma lo</t>
  </si>
  <si>
    <t>che lo sai te che xxx chiuso // xxx // #quei citti erano fuori che mangiavano // eh te credo ah pensa davvero? // sì // me dà</t>
  </si>
  <si>
    <t>#1462197</t>
  </si>
  <si>
    <t>https://search.corpuskiparla.it/corpus/player/player.cgi?code=KPS024&amp;begin=321716&amp;end=323679</t>
  </si>
  <si>
    <t>PKP125</t>
  </si>
  <si>
    <t>io le fai lei // comunque mamma il giorno dopo è dovuta anche andare a pulire // xx che non ce la faceva // mi sento male //</t>
  </si>
  <si>
    <t>pure che che disastro che hanno combinato // sì // hanno smontato anche i mobili // tipo che è caduto un piatto in testa a</t>
  </si>
  <si>
    <t>#1463937</t>
  </si>
  <si>
    <t>https://search.corpuskiparla.it/corpus/player/player.cgi?code=KPS024&amp;begin=946645&amp;end=947182</t>
  </si>
  <si>
    <t>di // dieci anni fa // in tutte xx dicono oh la mia ragazza // di qua e di là // comunque a un certo punto // mi viene // da fare</t>
  </si>
  <si>
    <t>// quello // (quel giro su facebook // che lì ogni tanto ti fai di quelle persone che non vedi da tanto tempo? // mhmh //</t>
  </si>
  <si>
    <t>#1465525</t>
  </si>
  <si>
    <t>https://search.corpuskiparla.it/corpus/player/player.cgi?code=KPS024&amp;begin=1567819&amp;end=1568556</t>
  </si>
  <si>
    <t>anastasia // non so se anastasia sta con de luca onestamente // bella // per dire // chi devi votare ah // mh // ho capito //</t>
  </si>
  <si>
    <t>che non lo so? // cioè mh // non lo so // ti giuro che su queste cose // sono la persona meno informata del // xx // dell''xx</t>
  </si>
  <si>
    <t>#1466904</t>
  </si>
  <si>
    <t>https://search.corpuskiparla.it/corpus/player/player.cgi?code=KPS024&amp;begin=2063436&amp;end=2066266</t>
  </si>
  <si>
    <t>antonietta andò là in mezzo // #o'' centro // meh no no eh // vicino alla signora che scaturì la lite // # // è una molto così //</t>
  </si>
  <si>
    <t>so'' quelle famiglie napoletane molto generose // calorose mh // si è vero // molto carine // poi mh // mio fratello tu non</t>
  </si>
  <si>
    <t>#1467405</t>
  </si>
  <si>
    <t>https://search.corpuskiparla.it/corpus/player/player.cgi?code=KPS024&amp;begin=2208354&amp;end=2209694</t>
  </si>
  <si>
    <t>// perchè gli dissi fammi il video // però lui poi se ne accorse e glielo fece cancellare // eh // stavano nel eh // per //</t>
  </si>
  <si>
    <t>se mi devi dire qualcosa? // lui dice no che cos''hai? // chiudi qua facciamo di che vuoi parlare // // comunque tipo lei //</t>
  </si>
  <si>
    <t>#1468981</t>
  </si>
  <si>
    <t>https://search.corpuskiparla.it/corpus/player/player.cgi?code=KPS018&amp;begin=76170&amp;end=79186</t>
  </si>
  <si>
    <t>i calici // sì io un goccio lo bevo oggi // no no grazie // ho messo il calice stefano eh dai // // // pochissimo eh? tanto</t>
  </si>
  <si>
    <t>che poi basta basta grazie // che c''è per secondo? // i gamberoni? // mazzancolle sì // buono questo vino // benchè io non</t>
  </si>
  <si>
    <t>#1470122</t>
  </si>
  <si>
    <t>https://search.corpuskiparla.it/corpus/player/player.cgi?code=KPS018&amp;begin=482644&amp;end=483127</t>
  </si>
  <si>
    <t>giurisprudenza è ancora così non lo so // no ai tempi nostri stava tutto cartaceo // sì no però dico magari le copie per e //</t>
  </si>
  <si>
    <t>cos''è // quelle della commissione ci sono ancora a giurisprudenza non ne ho idea perchè là penso la discutano dopo</t>
  </si>
  <si>
    <t>#1471254</t>
  </si>
  <si>
    <t>https://search.corpuskiparla.it/corpus/player/player.cgi?code=KPS018&amp;begin=848847&amp;end=852774</t>
  </si>
  <si>
    <t>sono ricerche vere e prorie quelle // eh sì sono tipo ducento trecento pagine // eh sì // dipende dagli argomenti //</t>
  </si>
  <si>
    <t>io non la so la m~ non so la mia quante pagine andrò a vedere per togliere la curiosità // ma sai che dopo un po'' di anni // mi ha</t>
  </si>
  <si>
    <t>#1473944</t>
  </si>
  <si>
    <t>https://search.corpuskiparla.it/corpus/player/player.cgi?code=KPS018&amp;begin=1681860&amp;end=1684804</t>
  </si>
  <si>
    <t>// stanotte mi so'' addormentato tardi // eh l''ho capito // tipo alla quattro quattro e mezza // mamma mia perché? // oh //</t>
  </si>
  <si>
    <t>che ho dormito di più cioè che ieri mi sono svegliato tardi // però // oggi mi sono svegliato un po'' prima // // un po'' prima</t>
  </si>
  <si>
    <t>#1475891</t>
  </si>
  <si>
    <t>https://search.corpuskiparla.it/corpus/player/player.cgi?code=KPS018&amp;begin=2216257&amp;end=2217896</t>
  </si>
  <si>
    <t>// e nessuno // e non lo potevamo lasciare lì né ce lo potevamo portare con noi // eh // allora nonno federico disse</t>
  </si>
  <si>
    <t>// lo portiamo da un mio amico // e lo portammo no è vero da un benzinaio // e ogni tanto e che che se lo prese // dai // e ogni</t>
  </si>
  <si>
    <t>PBB018</t>
  </si>
  <si>
    <t>#1482413</t>
  </si>
  <si>
    <t>doc#192</t>
  </si>
  <si>
    <t>https://search.corpuskiparla.it/corpus/player/player.cgi?code=PBB018&amp;begin=1832760&amp;end=1837360</t>
  </si>
  <si>
    <t>BOR013</t>
  </si>
  <si>
    <t>https://search.corpuskiparla.it/corpus/conversations/PBB018.html</t>
  </si>
  <si>
    <t>https://search.corpuskiparla.it/corpus/conversations/PBB018_jefferson.html</t>
  </si>
  <si>
    <t>portici che abbiamo accennato prima // eh a te viene in mente qualche // aneddoto magari legato ai portici insomma cosa</t>
  </si>
  <si>
    <t>dei portici di bologna? // allora // innanzitutto mi piacciono molto i portici perchè allora nell''immediato quando</t>
  </si>
  <si>
    <t>#1484452</t>
  </si>
  <si>
    <t>https://search.corpuskiparla.it/corpus/player/player.cgi?code=PBB018&amp;begin=2571940&amp;end=2573990</t>
  </si>
  <si>
    <t>BOI052</t>
  </si>
  <si>
    <t>tuoi preferiti insomma // beh preferiti adesso eh // ehm // ci sono vabbè ci son le tagliatelle // eh // eh cosa ci sono ci ma</t>
  </si>
  <si>
    <t>// eh in realtà in realtà mh sul cibo io non ho uhm al di fuori dei dei tortellini // ecco // eh tocchi un tasto che non è molto</t>
  </si>
  <si>
    <t>TOD1005</t>
  </si>
  <si>
    <t>#1488177</t>
  </si>
  <si>
    <t>doc#193</t>
  </si>
  <si>
    <t>https://search.corpuskiparla.it/corpus/player/player.cgi?code=TOD1005&amp;begin=901365&amp;end=908208</t>
  </si>
  <si>
    <t>https://search.corpuskiparla.it/corpus/conversations/TOD1005.html</t>
  </si>
  <si>
    <t>https://search.corpuskiparla.it/corpus/conversations/TOD1005_jefferson.html</t>
  </si>
  <si>
    <t>in inglese // ha meno questo taglio fatto apposta per uno studente che quindi dice guarda questa cosa tu magari non la</t>
  </si>
  <si>
    <t>io te la spiego quello in inglese è molto spam // okay // è una roba una ro~ già più di linguistica non edulcorata per chi si</t>
  </si>
  <si>
    <t>#1496595</t>
  </si>
  <si>
    <t>https://search.corpuskiparla.it/corpus/player/player.cgi?code=KPN010&amp;begin=156942&amp;end=159500</t>
  </si>
  <si>
    <t>perché ha questi modi di dire le cose tipo mh di botto // no io rido senza la pastorella // sì sì sì non te l''aspetti // tipo oh</t>
  </si>
  <si>
    <t>io sono di milano invece ah // dice delle cose che non te l''aspetti proprio ti fa schiantare // sì ti giuro ma poi simpatica</t>
  </si>
  <si>
    <t>#1497174</t>
  </si>
  <si>
    <t>https://search.corpuskiparla.it/corpus/player/player.cgi?code=KPN010&amp;begin=403516&amp;end=407641</t>
  </si>
  <si>
    <t>// cavolo ma poi sei zona centro // mh // poi sono palazzoni belli // sì // dai più o meno il centro è tutto bello però // sì //</t>
  </si>
  <si>
    <t>se vai già in via zamboni se stai lì è quello x mi preoccuperei un attimino // eh // // santo stefano è bella come terra già //</t>
  </si>
  <si>
    <t>#1500592</t>
  </si>
  <si>
    <t>https://search.corpuskiparla.it/corpus/player/player.cgi?code=KPN014&amp;begin=2250&amp;end=3290</t>
  </si>
  <si>
    <t>santa che ansia non ci abiterei mai // sì // oddio sono in mezzo abbiocco // eh // dove devi andare? // boh non ne ho ide~ //</t>
  </si>
  <si>
    <t>che non mi dispiace? // eh prendiamo la bottiglia // però è giotto eh // eh ma sarà una bottiglia da xx // no neanch''io //</t>
  </si>
  <si>
    <t>KPS011</t>
  </si>
  <si>
    <t>#1513576</t>
  </si>
  <si>
    <t>doc#197</t>
  </si>
  <si>
    <t>https://search.corpuskiparla.it/corpus/player/player.cgi?code=KPS011&amp;begin=1990335&amp;end=1992750</t>
  </si>
  <si>
    <t>PKP048</t>
  </si>
  <si>
    <t>https://search.corpuskiparla.it/corpus/conversations/KPS011.html</t>
  </si>
  <si>
    <t>https://search.corpuskiparla.it/corpus/conversations/KPS011_jefferson.html</t>
  </si>
  <si>
    <t>// finisce le copertine fa li scarpetti mamma mia io non lo so // la casa che le sembra il negozio di lili // giusto tu non</t>
  </si>
  <si>
    <t>chi è lili ma tua madre sa // siamo andate stamattina // ecco // // // beh sappiamo noi // adesso il caffè lo farai // laura //</t>
  </si>
  <si>
    <t>#1514266</t>
  </si>
  <si>
    <t>https://search.corpuskiparla.it/corpus/player/player.cgi?code=KPN026&amp;begin=62140&amp;end=64710</t>
  </si>
  <si>
    <t>no no er~ er~ era più avanti // era tipo lunedì o martedì // no era martedì // era martedì perché eravamo al ma // sì // ma te la</t>
  </si>
  <si>
    <t>la storia di cosa è successo a xx // cioè io io so che ti hanno rubato però non so altro non so altro // ah praticamente</t>
  </si>
  <si>
    <t>#1514835</t>
  </si>
  <si>
    <t>https://search.corpuskiparla.it/corpus/player/player.cgi?code=KPN026&amp;begin=209653&amp;end=210793</t>
  </si>
  <si>
    <t>// invece sì l''ho bloccata // e poi sono andata al centro tim e mi sono fatta fare un''altra sim con lo stesso numero // però</t>
  </si>
  <si>
    <t>cosa? // io ho visto quando te eri ancora in puglia // qualcuno che era entrato su facebook // eri te? // mia mamma forse //</t>
  </si>
  <si>
    <t>#1516029</t>
  </si>
  <si>
    <t>https://search.corpuskiparla.it/corpus/player/player.cgi?code=KPN026&amp;begin=540680&amp;end=541480</t>
  </si>
  <si>
    <t>PKP111</t>
  </si>
  <si>
    <t>e farina sarà // dove l''abbiamo presa? // no? // xx dai miei // la birra // la pizza // ah la pizza // grano e farina? // sì //</t>
  </si>
  <si>
    <t>cosa p~ // // no vai con i denti chiara // vorrei capire questo suono come lo trascriverò // // // ah quindi anche il eh // i</t>
  </si>
  <si>
    <t>#1520346</t>
  </si>
  <si>
    <t>https://search.corpuskiparla.it/corpus/player/player.cgi?code=KPN026&amp;begin=1836838&amp;end=1838239</t>
  </si>
  <si>
    <t>PKP114</t>
  </si>
  <si>
    <t>bene // mh seh non vanno bene a me // // da poco dobbiam fare un gioco bellissimo // cioè? // mezzo porco // oddio // comunque</t>
  </si>
  <si>
    <t>che // bellissimo comunque // aspetta sai che gioco ho insegnato a mh // agli stranieri in puglia? // blanco //</t>
  </si>
  <si>
    <t>#1520353</t>
  </si>
  <si>
    <t>https://search.corpuskiparla.it/corpus/player/player.cgi?code=KPN026&amp;begin=1838852&amp;end=1841429</t>
  </si>
  <si>
    <t>dobbiam fare un gioco bellissimo // cioè? // mezzo porco // oddio // comunque sai che // bellissimo comunque // aspetta</t>
  </si>
  <si>
    <t>che gioco ho insegnato a mh // agli stranieri in puglia? // blanco // bellissimo quel gioco // non so // cos''è? // non so</t>
  </si>
  <si>
    <t>#1520468</t>
  </si>
  <si>
    <t>https://search.corpuskiparla.it/corpus/player/player.cgi?code=KPN026&amp;begin=1872687&amp;end=1874216</t>
  </si>
  <si>
    <t>si fa dopo // praticamente ogni persona deve dire una parola // collegata alla parola che ti ho detto io okay? // quindi tu</t>
  </si>
  <si>
    <t>la parola // e dici foglie lei dice verde lei dice tronco // e dico foglia // quella che d~ che // a cui ho detto blanco non sa</t>
  </si>
  <si>
    <t>#1520760</t>
  </si>
  <si>
    <t>https://search.corpuskiparla.it/corpus/player/player.cgi?code=KPN026&amp;begin=1940241&amp;end=1942037</t>
  </si>
  <si>
    <t>quanti blanchi ci sono? // solo uno? // mh // lo scegli te // guarda che quattro blanco è uno normale capito? // io una volta</t>
  </si>
  <si>
    <t>cosa ho fatto? // tutti blanco // // // no rega è venuta fuori una roba // // faceva // xx // // e cos''ha detto il primo? // no //</t>
  </si>
  <si>
    <t>#1521014</t>
  </si>
  <si>
    <t>https://search.corpuskiparla.it/corpus/player/player.cgi?code=KPN026&amp;begin=2008582&amp;end=2011206</t>
  </si>
  <si>
    <t>mi sa // in fabula // fabula // in fabula // quanto è lungo quel gioco // quando // quando mi facevano lupo // s~ te non</t>
  </si>
  <si>
    <t>proprio recitare per niente // fortuna // // // fortuna fortuna che // posso fare xx // // no aspetta // fortuna // //</t>
  </si>
  <si>
    <t>#1521477</t>
  </si>
  <si>
    <t>https://search.corpuskiparla.it/corpus/player/player.cgi?code=KPN026&amp;begin=2154541&amp;end=2157707</t>
  </si>
  <si>
    <t>no no è così così // non ha ancora ripreso conoscenza // xxxx a quei livelli // no lui s''era x // ah lui m''ha chiamato ah michi</t>
  </si>
  <si>
    <t>cos''è successo alla sofi? // ho detto dio mio cos''è successo // e la mi~ no arrivo subito corro esco // ho detto ma no ma</t>
  </si>
  <si>
    <t>PBB024</t>
  </si>
  <si>
    <t>#1523134</t>
  </si>
  <si>
    <t>doc#199</t>
  </si>
  <si>
    <t>https://search.corpuskiparla.it/corpus/player/player.cgi?code=PBB024&amp;begin=443726&amp;end=445887</t>
  </si>
  <si>
    <t>BOI091</t>
  </si>
  <si>
    <t>https://search.corpuskiparla.it/corpus/conversations/PBB024.html</t>
  </si>
  <si>
    <t>https://search.corpuskiparla.it/corpus/conversations/PBB024_jefferson.html</t>
  </si>
  <si>
    <t>non l''ho mai // non l''ho mai saputo e non non non mi sono mai neanche posta il problema di saperlo // mentre san francesco</t>
  </si>
  <si>
    <t>quelli un po'' più famosi // d''accordo // questa è una mancanza proverò a rimediare // d''accordo // mentre a natale vorrei</t>
  </si>
  <si>
    <t>#1525212</t>
  </si>
  <si>
    <t>https://search.corpuskiparla.it/corpus/player/player.cgi?code=PBB024&amp;begin=1149065&amp;end=1152580</t>
  </si>
  <si>
    <t>// eh // e viene buonissimo quindi fattelo perché non perdete tempo // invece la famosissima lasagna di tua mamma? // eh</t>
  </si>
  <si>
    <t>anche quella come si prepara c''è una ricetta o è segreta // certo // certo no no no certo certo la // ma poi è cuore di mamma</t>
  </si>
  <si>
    <t>#1526383</t>
  </si>
  <si>
    <t>https://search.corpuskiparla.it/corpus/player/player.cgi?code=PBB024&amp;begin=1565442&amp;end=1570833</t>
  </si>
  <si>
    <t>un cambiamento del genere così grande eh ti direi no // poi è chiaro che eh se c''è la necessità come al @nomeluogo un po''</t>
  </si>
  <si>
    <t>non è che // cioè per carità niente di male a lavorare al @nomeluogo però // quando poi sono andata in @nomeazienda mi son</t>
  </si>
  <si>
    <t>#1527870</t>
  </si>
  <si>
    <t>https://search.corpuskiparla.it/corpus/player/player.cgi?code=PBB024&amp;begin=2086340&amp;end=2090329</t>
  </si>
  <si>
    <t>// arriva nicola berti // io tutta emozionata non riuscivo a parlare // mia mamma lo saluta la prima roba che gli dice fa</t>
  </si>
  <si>
    <t>che abbiamo un cane che si chiama come te? // no vabbè mamma sono morta in quel momento // // anche lui forse // // // eh e poi</t>
  </si>
  <si>
    <t>PBC011</t>
  </si>
  <si>
    <t>#1543136</t>
  </si>
  <si>
    <t>doc#201</t>
  </si>
  <si>
    <t>https://search.corpuskiparla.it/corpus/player/player.cgi?code=PBC011&amp;begin=3041699&amp;end=3045666</t>
  </si>
  <si>
    <t>BOI032</t>
  </si>
  <si>
    <t>https://search.corpuskiparla.it/corpus/conversations/PBC011.html</t>
  </si>
  <si>
    <t>https://search.corpuskiparla.it/corpus/conversations/PBC011_jefferson.html</t>
  </si>
  <si>
    <t>// mh i ricordi dei miei // esatto // no perché // ho vissuto quello insomma perché poi in casa subito dopo la guerra poi</t>
  </si>
  <si>
    <t>che cos''è // il fatto di vivere // eh dunque // come posso dire // di vivere così in campagna e non eh mh in un borgo di</t>
  </si>
  <si>
    <t>#1544762</t>
  </si>
  <si>
    <t>https://search.corpuskiparla.it/corpus/player/player.cgi?code=PBC011&amp;begin=3563701&amp;end=3567754</t>
  </si>
  <si>
    <t>raccontato quando ero un po'' più grande quando facevi domande // sì // perché // se no era difficile che ti dicessero</t>
  </si>
  <si>
    <t>perché questo poi scoprivi che // ad esempio anche attraverso il circolo perché poi mio bab~ mio padre faceva parte del</t>
  </si>
  <si>
    <t>#1549258</t>
  </si>
  <si>
    <t>https://search.corpuskiparla.it/corpus/player/player.cgi?code=KPN002&amp;begin=512485&amp;end=514505</t>
  </si>
  <si>
    <t>PKP012</t>
  </si>
  <si>
    <t>or~ fra poco è ora di venire a vedere sanremo a casa tua // sì // #cioè no ze che manca tanto // non credo che si possa fare</t>
  </si>
  <si>
    <t>// beh dai // eh bisogna vedere ormai non si sa // è mio papà il problema non vuole nessuno in casa // vabbè ma fino a febbraio</t>
  </si>
  <si>
    <t>#1551032</t>
  </si>
  <si>
    <t>https://search.corpuskiparla.it/corpus/player/player.cgi?code=KPN002&amp;begin=1101780&amp;end=1106780</t>
  </si>
  <si>
    <t>difenderla // ma almeno sa ci arriva cioè il concetto è quello // cioè l~ l''ha racconta quando va a fare insomma // sì però</t>
  </si>
  <si>
    <t>ma anche gli altri ci arrivano non è che fanno tutte xx // che disperazione // la leccaculo praticamente // // // xx la</t>
  </si>
  <si>
    <t>#1553746</t>
  </si>
  <si>
    <t>https://search.corpuskiparla.it/corpus/player/player.cgi?code=KPN002&amp;begin=1771720&amp;end=1781780</t>
  </si>
  <si>
    <t>PKP011</t>
  </si>
  <si>
    <t>la gente dovrebbe stare in piedi eh ma non puoi mi sa // quindi secondo è tipo mezzo in xx // ah ma comunque ma adesso non lo</t>
  </si>
  <si>
    <t>come fare cioè adesso che è per forza tutto online dovrebbe xx // zanca stai in piedi dentro // eh ma xxxx dovrebbe</t>
  </si>
  <si>
    <t>#1554987</t>
  </si>
  <si>
    <t>https://search.corpuskiparla.it/corpus/player/player.cgi?code=KPN016&amp;begin=227260&amp;end=232612</t>
  </si>
  <si>
    <t>sia // anche perchè comunque mang~ mandar della gente dentro a degli ospedali adesso non è che sia // eh infatti ha detto</t>
  </si>
  <si>
    <t>in un momento come questo in effetti non è molto piacevole venir dentro // no poi sei stata dentro anche quaranta minuti</t>
  </si>
  <si>
    <t>#1555093</t>
  </si>
  <si>
    <t>https://search.corpuskiparla.it/corpus/player/player.cgi?code=KPN016&amp;begin=297130&amp;end=300920</t>
  </si>
  <si>
    <t>// mh // // cioè un quartino è così // eh sì // è insolito trovare un locale pitturato di verde // mh carino però // sì //</t>
  </si>
  <si>
    <t>che il colore della fame è il rosso // stimola la fame // gnocchi // per me grazie'' // grazie // buon appetito // grazie //</t>
  </si>
  <si>
    <t>#1555161</t>
  </si>
  <si>
    <t>https://search.corpuskiparla.it/corpus/player/player.cgi?code=KPN016&amp;begin=343478&amp;end=345800</t>
  </si>
  <si>
    <t>è bollente // mh sanno di selvatico // mhmh // hanno scelto xxx // vabbè'' // prendi un po'' di formaggio // mh buono // mh // lo</t>
  </si>
  <si>
    <t>che son di ortiche giusto? // sì // si sente eh? // lo sai che si fanno anche i tortelli alle ortiche dentro? // eh la c~ la</t>
  </si>
  <si>
    <t>#1555175</t>
  </si>
  <si>
    <t>https://search.corpuskiparla.it/corpus/player/player.cgi?code=KPN016&amp;begin=345940&amp;end=348477</t>
  </si>
  <si>
    <t>xxx // vabbè'' // prendi un po'' di formaggio // mh buono // mh // lo sai che son di ortiche giusto? // sì // si sente eh? // lo</t>
  </si>
  <si>
    <t>che si fanno anche i tortelli alle ortiche dentro? // eh la c~ la mamma della lu li fa alle ortiche // mh // però bisogna</t>
  </si>
  <si>
    <t>#1557838</t>
  </si>
  <si>
    <t>https://search.corpuskiparla.it/corpus/player/player.cgi?code=KPN016&amp;begin=1601852&amp;end=1606992</t>
  </si>
  <si>
    <t>fuori a pranzo con // ehm // la mia amica di reggio la paola // e la nostra amica di sassuolo quella che ha fatto la laurea</t>
  </si>
  <si>
    <t>non c''ha invitato così // s~ ci siam sentite tutte e tre abbiam detto ragazze forse è meglio se non ci vediamo perché</t>
  </si>
  <si>
    <t>#1557956</t>
  </si>
  <si>
    <t>https://search.corpuskiparla.it/corpus/player/player.cgi?code=KPN016&amp;begin=1641911&amp;end=1648310</t>
  </si>
  <si>
    <t>sarà passato questo momento vi ritroverete // il trenta // di ottobre dovevam vederci io e il mio gruppo di nuoto quelli</t>
  </si>
  <si>
    <t>con cui faccio le grigliate ogni tanto // ma no perché venite da troppi punti diversi // siamo troppo // mh // poi abbiamo</t>
  </si>
  <si>
    <t>#1560144</t>
  </si>
  <si>
    <t>https://search.corpuskiparla.it/corpus/player/player.cgi?code=KPN029&amp;begin=453630&amp;end=455523</t>
  </si>
  <si>
    <t>// ma da poco // perché cioé se tu mi dici // sabato sera andiamo in centro a bo~ a piazza maggiore // vuol dire che n~ non</t>
  </si>
  <si>
    <t>esattamente com''è // magari ha fatto la triennale là // può essere // e poi è venuto qua mo a ottobre per fare la magstrale</t>
  </si>
  <si>
    <t>#1562753</t>
  </si>
  <si>
    <t>https://search.corpuskiparla.it/corpus/player/player.cgi?code=KPN029&amp;begin=1154840&amp;end=1156985</t>
  </si>
  <si>
    <t>per così // oddio // eh praticamente // successe che una sera // eh andammo c~ in questo locale // a prendere un po'' di birra</t>
  </si>
  <si>
    <t>a monaco vai // beh certo ci mancherebbe // e vennero pure loro // // e quindi cioé ci portarono a bere della birra // i</t>
  </si>
  <si>
    <t>#1563019</t>
  </si>
  <si>
    <t>https://search.corpuskiparla.it/corpus/player/player.cgi?code=KPN029&amp;begin=1226308&amp;end=1228469</t>
  </si>
  <si>
    <t>// no guarda // era proprio stra offesa // che bambina // l''altra prof che le andava dietro // perché vabbé erano in due</t>
  </si>
  <si>
    <t>che fai però // certo sì // noi non non ce l''aspettavamo in realtà dall''altra // cioé pensavamo che mettesse // un minimo</t>
  </si>
  <si>
    <t>#1564690</t>
  </si>
  <si>
    <t>https://search.corpuskiparla.it/corpus/player/player.cgi?code=KPN029&amp;begin=1640580&amp;end=1641982</t>
  </si>
  <si>
    <t>condanna sì // che poi // cioé // era una roba assurda // poi // ma poi non lo so parlavano male ti mettevan dei // cioé che ne</t>
  </si>
  <si>
    <t>capito // che poi mh avevate il quizzone voi anche // sì la terza prova // no tutto // prima prova italiano seconda prova //</t>
  </si>
  <si>
    <t>PBB016</t>
  </si>
  <si>
    <t>#1566072</t>
  </si>
  <si>
    <t>doc#205</t>
  </si>
  <si>
    <t>https://search.corpuskiparla.it/corpus/player/player.cgi?code=PBB016&amp;begin=193006&amp;end=194461</t>
  </si>
  <si>
    <t>BOR006</t>
  </si>
  <si>
    <t>https://search.corpuskiparla.it/corpus/conversations/PBB016.html</t>
  </si>
  <si>
    <t>https://search.corpuskiparla.it/corpus/conversations/PBB016_jefferson.html</t>
  </si>
  <si>
    <t>ci sono i problemi di tutte le periferie insomma mh // che ci sono pochi servizi e // sono tutti verso il centro // mhmh //</t>
  </si>
  <si>
    <t>che ehm // credo da quest''anno // che hanno poi anche riapetro davvero le lezioni in presenza // eh // x proprio vicino // a</t>
  </si>
  <si>
    <t>#1567776</t>
  </si>
  <si>
    <t>https://search.corpuskiparla.it/corpus/player/player.cgi?code=PBB016&amp;begin=911927&amp;end=915127</t>
  </si>
  <si>
    <t>// non vederli dappertutto ecco // vero // sì // d''accordo // e // questa invece // s~ restando sempre su sui portici // se</t>
  </si>
  <si>
    <t>per caso qual è l''origine o lo scopo // che avevano // eh in passato // allora so che sono mh risalgono mh // al medioevo cioè</t>
  </si>
  <si>
    <t>PBC007</t>
  </si>
  <si>
    <t>#1580989</t>
  </si>
  <si>
    <t>doc#207</t>
  </si>
  <si>
    <t>https://search.corpuskiparla.it/corpus/player/player.cgi?code=PBC007&amp;begin=2142320&amp;end=2146870</t>
  </si>
  <si>
    <t>BOI019</t>
  </si>
  <si>
    <t>https://search.corpuskiparla.it/corpus/conversations/PBC007.html</t>
  </si>
  <si>
    <t>https://search.corpuskiparla.it/corpus/conversations/PBC007_jefferson.html</t>
  </si>
  <si>
    <t>caramelle col buco // // però però // ci fu anche un''altra cosa questa non era proprio allegra // mi ricordo // siccome mh</t>
  </si>
  <si>
    <t>nelle nostre case non è che ci fosse tanta // igiene non è che si conoscevano tante cose non avevamo i bagni i gabinetti</t>
  </si>
  <si>
    <t>#1581340</t>
  </si>
  <si>
    <t>https://search.corpuskiparla.it/corpus/player/player.cgi?code=PBC007&amp;begin=2274820&amp;end=2280580</t>
  </si>
  <si>
    <t>letto anche in questo libro // ho detto eh ma era proprio la danza // del sole // mh // comunque // era un periodo però // pur</t>
  </si>
  <si>
    <t>le guerre portano anche queste cose da vecchia data anche del periodo delle sabine // dal ratto delle sabine // e quindi</t>
  </si>
  <si>
    <t>KPC004</t>
  </si>
  <si>
    <t>#1585432</t>
  </si>
  <si>
    <t>doc#208</t>
  </si>
  <si>
    <t>https://search.corpuskiparla.it/corpus/player/player.cgi?code=KPC004&amp;begin=104915&amp;end=105479</t>
  </si>
  <si>
    <t>PKP027</t>
  </si>
  <si>
    <t>https://search.corpuskiparla.it/corpus/conversations/KPC004.html</t>
  </si>
  <si>
    <t>https://search.corpuskiparla.it/corpus/conversations/KPC004_jefferson.html</t>
  </si>
  <si>
    <t>RM</t>
  </si>
  <si>
    <t>// perchè il ruolo suo capito così però fa cioè c''ha tipo due espressioni in totale // c''ha l''espressione quella così //</t>
  </si>
  <si>
    <t>quella così // però è un figo e tiene avanti tutto il film come anche nelle pagine della nostra vita // eh ho capito // che</t>
  </si>
  <si>
    <t>#1588716</t>
  </si>
  <si>
    <t>https://search.corpuskiparla.it/corpus/player/player.cgi?code=KPC004&amp;begin=1046676&amp;end=1050575</t>
  </si>
  <si>
    <t>PKP028</t>
  </si>
  <si>
    <t>aspetta // giugno sfasciate er grugno // giugno sfasciate er grugno // che cazzo vor dì // giugno sfasciate er grugno</t>
  </si>
  <si>
    <t>d''estate fai festa così eh // ah vabbè // non t''ha convinto? // non molto // ecco fatto // ecco fatto // ah // madonna poi è</t>
  </si>
  <si>
    <t>KPN003</t>
  </si>
  <si>
    <t>#1596743</t>
  </si>
  <si>
    <t>doc#209</t>
  </si>
  <si>
    <t>https://search.corpuskiparla.it/corpus/player/player.cgi?code=KPN003&amp;begin=2317176&amp;end=2318796</t>
  </si>
  <si>
    <t>PKP014</t>
  </si>
  <si>
    <t>https://search.corpuskiparla.it/corpus/conversations/KPN003.html</t>
  </si>
  <si>
    <t>https://search.corpuskiparla.it/corpus/conversations/KPN003_jefferson.html</t>
  </si>
  <si>
    <t>la chance // o mi scuso? no // no ma figurati // poi è passato già un // no dici ciao // già son passate tipo due settimane eh //</t>
  </si>
  <si>
    <t>quanta gente che incontra // mh // magari quanta altra gente molest~ i peggio // xxxxxxxx // // vabbè almeno gli rimani</t>
  </si>
  <si>
    <t>#1599461</t>
  </si>
  <si>
    <t>https://search.corpuskiparla.it/corpus/player/player.cgi?code=KPS017&amp;begin=36919&amp;end=39772</t>
  </si>
  <si>
    <t>al mare con nonna // ah sì? // ah // tutto il giorno // che bello // a pulire tutto per // far pasqua lì // pe~ // ah // grande //</t>
  </si>
  <si>
    <t>nonna cosa ha detto abbiamo visto il forno lei ha detto ha detto // // sai cosa ha detto nonna? // quanto ci mancano le</t>
  </si>
  <si>
    <t>#1599477</t>
  </si>
  <si>
    <t>https://search.corpuskiparla.it/corpus/player/player.cgi?code=KPS017&amp;begin=39882&amp;end=40990</t>
  </si>
  <si>
    <t>tutto per // far pasqua lì // pe~ // ah // grande // sai nonna cosa ha detto abbiamo visto il forno lei ha detto ha detto // //</t>
  </si>
  <si>
    <t>cosa ha detto nonna? // quanto ci mancano le pizzate // ha detto quanto ci mancano le pizze di marco // // già lo so // e di</t>
  </si>
  <si>
    <t>#1600102</t>
  </si>
  <si>
    <t>https://search.corpuskiparla.it/corpus/player/player.cgi?code=KPS017&amp;begin=168606&amp;end=169395</t>
  </si>
  <si>
    <t>// che buona // ci siamo // eh l''ho de~ te l''ho detto // infatti te l''ho chiesto e mi hai detto no preferisco di no // ma lo</t>
  </si>
  <si>
    <t>perchè? // perchè io // ehm // che a molti non piace eh // la una pizza intera la trovo troppo pesante // eh // eh // cioè non mi</t>
  </si>
  <si>
    <t>#1606530</t>
  </si>
  <si>
    <t>https://search.corpuskiparla.it/corpus/player/player.cgi?code=KPS017&amp;begin=1533060&amp;end=1534562</t>
  </si>
  <si>
    <t>la crema di pistacchio burrata basilico olio e poi sopra c''è burrata e guanciale croccante e pistacchio sbriciolato //</t>
  </si>
  <si>
    <t>già cosa prendere // buono // bella guarda un po'' // è venuta è venuta poroprio buona // prendo questa // guarda un po'' //</t>
  </si>
  <si>
    <t>#1612084</t>
  </si>
  <si>
    <t>https://search.corpuskiparla.it/corpus/player/player.cgi?code=PBB010&amp;begin=249705&amp;end=251220</t>
  </si>
  <si>
    <t>cioè il primo che ti viene in mente // beh certo // ho tanti ricordi e // ci penso spesso e dove sono cresciuta dove // lo</t>
  </si>
  <si>
    <t>mh eh // eh tutte le strade per andare a scuola tante cose no? e // sì // eh c~ eh tutti i posti comunque alla fine ti rimangono</t>
  </si>
  <si>
    <t>#1614053</t>
  </si>
  <si>
    <t>https://search.corpuskiparla.it/corpus/player/player.cgi?code=PBB010&amp;begin=883075&amp;end=886202</t>
  </si>
  <si>
    <t>devi sapere almeno // non non dico cinque ma tre lingue se tu sai tre lingue pulite // sì // mhmh // tu potresti anche magari</t>
  </si>
  <si>
    <t>uno può fare la domanda // può anche entrare ma su questo sono sicurissima di me stessa che mi sarei // mi sarei portata in</t>
  </si>
  <si>
    <t>#1616241</t>
  </si>
  <si>
    <t>https://search.corpuskiparla.it/corpus/player/player.cgi?code=PBB010&amp;begin=1611540&amp;end=1615932</t>
  </si>
  <si>
    <t>oppure c''è molta più cura ah // sì questo sì // questo sì // mhmh // li vedo molto abbandonati e molto triste vuoto lo</t>
  </si>
  <si>
    <t>// mhmh // sì // e // non è come una volta che venivano i turisti c''è tutto pieno lo sai adesso è tutto diverso // eh // mhmh // è</t>
  </si>
  <si>
    <t>#1616262</t>
  </si>
  <si>
    <t>https://search.corpuskiparla.it/corpus/player/player.cgi?code=PBB010&amp;begin=1618353&amp;end=1623000</t>
  </si>
  <si>
    <t>abbandonati e molto triste vuoto lo sai // mhmh // sì // e // non è come una volta che venivano i turisti c''è tutto pieno lo</t>
  </si>
  <si>
    <t>adesso è tutto diverso // eh // mhmh // è un po'' vuoto // però col fatto che li hanno messi nel patrimonio dell''unesco //</t>
  </si>
  <si>
    <t>#1616468</t>
  </si>
  <si>
    <t>https://search.corpuskiparla.it/corpus/player/player.cgi?code=PBB010&amp;begin=1681959&amp;end=1687942</t>
  </si>
  <si>
    <t>mi avevi detto prima che sei andata a san luca no? // eh beh san luca san luca è san luca san luca è un posto un po'' romantico lo</t>
  </si>
  <si>
    <t>// sei stata // san luca // specialmente quando i // i // san luca quando una persona che magari non so si magari si è</t>
  </si>
  <si>
    <t>#1625742</t>
  </si>
  <si>
    <t>https://search.corpuskiparla.it/corpus/player/player.cgi?code=KPN020&amp;begin=1104225&amp;end=1111155</t>
  </si>
  <si>
    <t>PKP008</t>
  </si>
  <si>
    <t>trasporto e e trovare ehm ampliare i reparti di terapia intensiva l''unica cosa che andava fatta // il veneto l''ha fatto</t>
  </si>
  <si>
    <t>è una delle poche regioni ad aver fatto è stata bravissima perché avevano tutto il tempo per potersi organizzare //</t>
  </si>
  <si>
    <t>#1627926</t>
  </si>
  <si>
    <t>https://search.corpuskiparla.it/corpus/player/player.cgi?code=KPN020&amp;begin=1742950&amp;end=1749380</t>
  </si>
  <si>
    <t>senso // sì // no secondo me qua si tratta sul fatto finché tu frequenti sempre le stesse persone va anche bene // perché</t>
  </si>
  <si>
    <t>che se ci dovesse venir fuori un un caso è della tua cerchia // il problema è quando tu // secondo me frequenti persone</t>
  </si>
  <si>
    <t>KPC006</t>
  </si>
  <si>
    <t>#1629408</t>
  </si>
  <si>
    <t>doc#214</t>
  </si>
  <si>
    <t>https://search.corpuskiparla.it/corpus/player/player.cgi?code=KPC006&amp;begin=439812&amp;end=441732</t>
  </si>
  <si>
    <t>PKP066</t>
  </si>
  <si>
    <t>https://search.corpuskiparla.it/corpus/conversations/KPC006.html</t>
  </si>
  <si>
    <t>https://search.corpuskiparla.it/corpus/conversations/KPC006_jefferson.html</t>
  </si>
  <si>
    <t>// per il // e dopo lo metto a congela'' // tutto quello // o che c''ha se indurisce // mh // allora lo levo tutto // e // e dopo</t>
  </si>
  <si>
    <t>il brodo rimane // quando lo // dove // lì il tè // no // mh allora // eh // no no io solo limone // mhmh // madonna sti cani // ma i</t>
  </si>
  <si>
    <t>#1636121</t>
  </si>
  <si>
    <t>https://search.corpuskiparla.it/corpus/player/player.cgi?code=PTA015&amp;begin=928456&amp;end=930900</t>
  </si>
  <si>
    <t>mai capitato di usare // diciamo questa tua // competenza // per fare delle cose sceme? // cioè nel senso tu sei un grafico</t>
  </si>
  <si>
    <t>fare // immagino delle cose grafiche // l''hai mai usato per fare scherzi o // ma non lo so l''ultima roba che mi viene in</t>
  </si>
  <si>
    <t>#1637180</t>
  </si>
  <si>
    <t>https://search.corpuskiparla.it/corpus/player/player.cgi?code=PTA015&amp;begin=1331166&amp;end=1333020</t>
  </si>
  <si>
    <t>non lo conosco affatto // okay // non so la realtà di grugliasco vado solo ed esclusivamente per lavoro lì // e basta // non</t>
  </si>
  <si>
    <t>cioè n~? // non so nulla // okay // allora tu in che paese vivi? // eh chieri? // hai mai visstuto // fuori chieri? // ehmh</t>
  </si>
  <si>
    <t>BOD2015</t>
  </si>
  <si>
    <t>#1644720</t>
  </si>
  <si>
    <t>doc#217</t>
  </si>
  <si>
    <t>https://search.corpuskiparla.it/corpus/player/player.cgi?code=BOD2015&amp;begin=879485&amp;end=880876</t>
  </si>
  <si>
    <t>BO115</t>
  </si>
  <si>
    <t>https://search.corpuskiparla.it/corpus/conversations/BOD2015.html</t>
  </si>
  <si>
    <t>https://search.corpuskiparla.it/corpus/conversations/BOD2015_jefferson.html</t>
  </si>
  <si>
    <t>piccole // cose che // sì // beh un geniaccio // // e quindi inizierai ah beh ancora non hai trovato il relatore // non</t>
  </si>
  <si>
    <t>neanche quando inizi // no // no però spero il prima possibile francamente // beh magari inizi anche già // vabbè tanto</t>
  </si>
  <si>
    <t>#1645568</t>
  </si>
  <si>
    <t>https://search.corpuskiparla.it/corpus/player/player.cgi?code=BOD2015&amp;begin=1190826&amp;end=1191990</t>
  </si>
  <si>
    <t>vieni // arriverò a // andiamo a fare i giri in montagna // no sì sicurametne prima mi devo laureare // giusto // come ben</t>
  </si>
  <si>
    <t>// // e però sì mi piacerebbe un sacco anche perchè la montagna più ci vado più mi piace // mh // è una scuola di vita la</t>
  </si>
  <si>
    <t>#1647447</t>
  </si>
  <si>
    <t>https://search.corpuskiparla.it/corpus/player/player.cgi?code=KPS003&amp;begin=568200&amp;end=569850</t>
  </si>
  <si>
    <t>ancora tutto // eh ti dicevo ci andavo con lei all''inizio non lo so // scusa un secondo // mh // buoni? mh // gli arrosticini</t>
  </si>
  <si>
    <t>da dove gli arrivano? // eh infatti // mh chiediamo // cambia la foto con la patatina? // no // dai // dai io non posso fa~</t>
  </si>
  <si>
    <t>#1648010</t>
  </si>
  <si>
    <t>https://search.corpuskiparla.it/corpus/player/player.cgi?code=KPS003&amp;begin=802550&amp;end=803830</t>
  </si>
  <si>
    <t>// mh // alla sorella // ah lei ok // e come si chiama la sorella delle gemelline // mh // giulia? // mh giu~ eh insomma //</t>
  </si>
  <si>
    <t>già che si chiama giulia // con hous~ // ma cioè praticamente erano due wurstel di mozzare~ di mo~ ehm di mortadella // di</t>
  </si>
  <si>
    <t>#1649046</t>
  </si>
  <si>
    <t>https://search.corpuskiparla.it/corpus/player/player.cgi?code=KPS003&amp;begin=1158312&amp;end=1161010</t>
  </si>
  <si>
    <t>vedo una cosa un po'' poco chiara // mh // che poi l''altro giorno ho avuto // un momento di tristezza // mh // ehm anche perchè</t>
  </si>
  <si>
    <t>quando tu rifletti // le cazzate che hai fatto durante la vita a delle scelte mancate un po'' come l''altro giorno stava</t>
  </si>
  <si>
    <t>#1649302</t>
  </si>
  <si>
    <t>https://search.corpuskiparla.it/corpus/player/player.cgi?code=KPS003&amp;begin=1237920&amp;end=1247000</t>
  </si>
  <si>
    <t>fatto fatto riflettevo su di me fatto tu vedi comunque // anche se così così con tuo marito cioè hai una situazione che non</t>
  </si>
  <si>
    <t>ancora mh definire con tuo marito e trovi di qua di là perchè comunque le tue figlie qualcuno c''hai // ti ritrovi fatto che</t>
  </si>
  <si>
    <t>#1649670</t>
  </si>
  <si>
    <t>https://search.corpuskiparla.it/corpus/player/player.cgi?code=KPS003&amp;begin=1349890&amp;end=1354050</t>
  </si>
  <si>
    <t>// eh mh // ha detto milli sì io inizialmente // ero quella che okay // e ci sta io comunque sono una persona libera tu</t>
  </si>
  <si>
    <t>le condizioni // quindi ok // però un pochino forse lei sperava // che da questa sua che lei prima o poi chissà che prima o</t>
  </si>
  <si>
    <t>#1649994</t>
  </si>
  <si>
    <t>https://search.corpuskiparla.it/corpus/player/player.cgi?code=KPS003&amp;begin=1456589&amp;end=1463427</t>
  </si>
  <si>
    <t>dire a parte che non è che nella vita uno poi deve cioè // stare per forza con una persona // eh sì lo so però lei comunque //</t>
  </si>
  <si>
    <t>che cos''è fa~ fabri'' che fino a una certa età fino a quando sei giovane sei ragazza okay gli piaci anche ridere così // poi</t>
  </si>
  <si>
    <t>#1651772</t>
  </si>
  <si>
    <t>https://search.corpuskiparla.it/corpus/player/player.cgi?code=KPS003&amp;begin=2056872&amp;end=2058381</t>
  </si>
  <si>
    <t>bea beh ma anche da sola avrei preso acchiapmene cioè dove sta non si ritrova non c''è dov''è andata? // boh? non si sa // cioè</t>
  </si>
  <si>
    <t>quelle cose che tu // veramente // ti esce // dici ma perchè non lo posso fare? // così quelli che ti stanno assetti devi</t>
  </si>
  <si>
    <t>#1652019</t>
  </si>
  <si>
    <t>https://search.corpuskiparla.it/corpus/player/player.cgi?code=KPS003&amp;begin=2111294&amp;end=2117045</t>
  </si>
  <si>
    <t>paghi l''ombrellone // non lo fai non ci vai // non lo fai perchè // n~ non ci vai allora se hai un''amica con la quale dici okay</t>
  </si>
  <si>
    <t>che facciamo oggi pomeriggio ce ne andiamo al mare okay va bene // da sola non lo fai fa~ eh federi'' // eh fabri'' n~ n~ n~ non</t>
  </si>
  <si>
    <t>#1652103</t>
  </si>
  <si>
    <t>https://search.corpuskiparla.it/corpus/player/player.cgi?code=KPS003&amp;begin=2132908&amp;end=2135672</t>
  </si>
  <si>
    <t>tempo per te stessa e dici vabbè vado // e quindi questo // però a volte sento proprio l''esigenza di // mh di avere affianco</t>
  </si>
  <si>
    <t>una persona che ti // eh con la quale mh parlare che ti capisca che abbia toni modi di fare quindi una persona che ti</t>
  </si>
  <si>
    <t>PBB021</t>
  </si>
  <si>
    <t>#1658465</t>
  </si>
  <si>
    <t>doc#220</t>
  </si>
  <si>
    <t>https://search.corpuskiparla.it/corpus/player/player.cgi?code=PBB021&amp;begin=309080&amp;end=315210</t>
  </si>
  <si>
    <t>BOI085</t>
  </si>
  <si>
    <t>https://search.corpuskiparla.it/corpus/conversations/PBB021.html</t>
  </si>
  <si>
    <t>https://search.corpuskiparla.it/corpus/conversations/PBB021_jefferson.html</t>
  </si>
  <si>
    <t>il costo di bologna diciamo che la qualità di vita è molto alta anche la qualità di vita a livello professionale // cioé //</t>
  </si>
  <si>
    <t>che quelle sono le ore di punta dove non ti puoi muovere in macchina sai che bene o male i servizi pubblici funzionano // e</t>
  </si>
  <si>
    <t>#1658480</t>
  </si>
  <si>
    <t>qualità di vita a livello professionale // cioé // sai che quelle sono le ore di punta dove non ti puoi muovere in macchina</t>
  </si>
  <si>
    <t>che bene o male i servizi pubblici funzionano // e trasporto pubblico ovviamente e al netto di e // ehm insomma di casi</t>
  </si>
  <si>
    <t>#1659546</t>
  </si>
  <si>
    <t>https://search.corpuskiparla.it/corpus/player/player.cgi?code=PBB021&amp;begin=702580&amp;end=708640</t>
  </si>
  <si>
    <t>sta parlando le cause del conflitto com''é andata la liberazione cioè // mhmh // non dico sapere i dettagli // però se non</t>
  </si>
  <si>
    <t>proprio niente vai a manifestare per partito preso e non ti informi quello eh~ non è bello // mhmh // e mentre invece //</t>
  </si>
  <si>
    <t>#1663609</t>
  </si>
  <si>
    <t>https://search.corpuskiparla.it/corpus/player/player.cgi?code=KPS021&amp;begin=260880&amp;end=262245</t>
  </si>
  <si>
    <t>fatte così buone l''altra volta // olè // sanno di zucchine effettivamente ja // mh // il problema che ha detto melanzane</t>
  </si>
  <si>
    <t>perché // xx // perché rosanna da quando è venuta // non ha fatto altro che chiamarle melanzane melanzane melanzane</t>
  </si>
  <si>
    <t>#1664283</t>
  </si>
  <si>
    <t>https://search.corpuskiparla.it/corpus/player/player.cgi?code=KPS021&amp;begin=488630&amp;end=489187</t>
  </si>
  <si>
    <t>// io rimasi dissi ah // così tanto olio? però non dissi niente perché se no sì // vabbè se c''hai detto così // magari</t>
  </si>
  <si>
    <t>// #si mette a chiagne // poteva prendersela // eh amo'' ma io così lo faccio il pollo // // bah // se lo vuoi far venire buono</t>
  </si>
  <si>
    <t>#1666790</t>
  </si>
  <si>
    <t>https://search.corpuskiparla.it/corpus/player/player.cgi?code=KPS021&amp;begin=1245073&amp;end=1247359</t>
  </si>
  <si>
    <t>// questo sal~ // la pizza // mamma mia è vero cavolo uh // vabbè la pizza non ho conosciuto nessuno che non gli piace lo</t>
  </si>
  <si>
    <t>io? // ci sono // l''unica // chiara che non si mangia quella là con la mozzarella però // la pizza se la mangiava // mh // no ma</t>
  </si>
  <si>
    <t>#1667562</t>
  </si>
  <si>
    <t>https://search.corpuskiparla.it/corpus/player/player.cgi?code=KPS021&amp;begin=1528372&amp;end=1531738</t>
  </si>
  <si>
    <t>però praticamente xxx messo // cioè tutt~ tutto il fondo della padella era pieno d''olio // io volevo mettere un filo</t>
  </si>
  <si>
    <t>per farli venire mezzi tra // cioè cotti nella padella unta invece // i primi sono venuti un po'' deep fried quasi // fritti</t>
  </si>
  <si>
    <t>#1668331</t>
  </si>
  <si>
    <t>https://search.corpuskiparla.it/corpus/player/player.cgi?code=KPS021&amp;begin=1733778&amp;end=1735496</t>
  </si>
  <si>
    <t>se vuoi possiamo anche non litigare più se vuoi me ne posso tornare a casa mia // è già l''ennesima volta che lo dici ja // lo</t>
  </si>
  <si>
    <t>che non è quello che voglio quindi // beh forse mi sono scocciato di stare qua? // bra forse se se tu ti sei scocciato ti</t>
  </si>
  <si>
    <t>#1668877</t>
  </si>
  <si>
    <t>https://search.corpuskiparla.it/corpus/player/player.cgi?code=KPS021&amp;begin=1884758&amp;end=1888033</t>
  </si>
  <si>
    <t>della figlia no // ma erano cose che poi alla fine // erano diverte~ // divertenti sì però essere chiuso in un manicomio</t>
  </si>
  <si>
    <t>com''è non so // cioè erano // no vabbè quella là // // no quella infatti è sconvolgente mamma mia // l''elettroshock ha</t>
  </si>
  <si>
    <t>#1670212</t>
  </si>
  <si>
    <t>https://search.corpuskiparla.it/corpus/player/player.cgi?code=KPS021&amp;begin=2260917&amp;end=2268515</t>
  </si>
  <si>
    <t>ah perché insiste // la coccarda robe mo per la nascita del figlio // ah è vero marò quante co~ // sì ma // ma le ha chiesto lo</t>
  </si>
  <si>
    <t>fare ma una cosa che sinceramente molto industriale cioè era proprio un pu~ pu un peluche // sì // cioè come fai a farlo //</t>
  </si>
  <si>
    <t>#1671625</t>
  </si>
  <si>
    <t>https://search.corpuskiparla.it/corpus/player/player.cgi?code=KPS021&amp;begin=2700526&amp;end=2704213</t>
  </si>
  <si>
    <t>PKP127</t>
  </si>
  <si>
    <t>// mamma mia io avrei iniziato a piangere // mamma mia che brutto // ma entrando un po'' più nel privato magari non lo</t>
  </si>
  <si>
    <t>nemmeno // ma mh // come cioè tuo padre e tuo zio ne hanno risentito di sto fatto della morte della sorella non solo dico a</t>
  </si>
  <si>
    <t>#1672624</t>
  </si>
  <si>
    <t>https://search.corpuskiparla.it/corpus/player/player.cgi?code=KPS021&amp;begin=2992760&amp;end=2997607</t>
  </si>
  <si>
    <t>a farlo // beh era comunque un imprendito~ // vabbè scusa tuo zio non l''abbiamo mai visto all''opera quindi magari che ne</t>
  </si>
  <si>
    <t>// #amo'' mio zio è nu cas perz però // è veramente difficile credere che lui riesca con le donne // // cioè // lui la maggior</t>
  </si>
  <si>
    <t>#1674145</t>
  </si>
  <si>
    <t>https://search.corpuskiparla.it/corpus/player/player.cgi?code=PTD021&amp;begin=178438&amp;end=184069</t>
  </si>
  <si>
    <t>TOI012</t>
  </si>
  <si>
    <t>o meno è quello poi diciamo che un po'' devi esser predisposto // e poie le fai una volta le fa due alla terza le sai a memoria</t>
  </si>
  <si>
    <t>anche le buche ormai dopo tre anni so le buche per strada // mh mh // è vero quello capita anche a me // sì // eh quando lo fai</t>
  </si>
  <si>
    <t>#1682033</t>
  </si>
  <si>
    <t>https://search.corpuskiparla.it/corpus/player/player.cgi?code=PTD021&amp;begin=2455650&amp;end=2458899</t>
  </si>
  <si>
    <t>xxx // mh mh mh // tipo amsterdam // tipo amsterdam esatto quindi // biciclette // la macchina la prendi la sera perchè</t>
  </si>
  <si>
    <t>che i mezzi pubblici non ci sono // e la la ficchi in quei parcheggi a siloseh cari come il fuoco però dici almeno la u~ ce</t>
  </si>
  <si>
    <t>#1684678</t>
  </si>
  <si>
    <t>https://search.corpuskiparla.it/corpus/player/player.cgi?code=PTD021&amp;begin=3235902&amp;end=3237724</t>
  </si>
  <si>
    <t>deleh nove // eh // via reis romoli? // ah ho capito sì sì sì sì sì // ah dove abita dove abita giulia // dove abita giulia //</t>
  </si>
  <si>
    <t>dove c''è l''auchan di venaria? // sì // sì // noi siamo dietro // dietro l''auchan di venaria // ah dietro ho ca~ ho capito //</t>
  </si>
  <si>
    <t>#1688944</t>
  </si>
  <si>
    <t>https://search.corpuskiparla.it/corpus/player/player.cgi?code=PTD021&amp;begin=4417553&amp;end=4421239</t>
  </si>
  <si>
    <t>ovvio no? // sì // xxx // teste // no okay // feti // feti? // sì // okay // sì lui studiava qualsiasi cosa // sull''anatomia //</t>
  </si>
  <si>
    <t>che volevano anche chiuderlo a una certo punto per un incendio // eh è vero avevo letto // sì // sì // però grande xxx perchè</t>
  </si>
  <si>
    <t>BOA3012</t>
  </si>
  <si>
    <t>#1698200</t>
  </si>
  <si>
    <t>doc#224</t>
  </si>
  <si>
    <t>https://search.corpuskiparla.it/corpus/player/player.cgi?code=BOA3012&amp;begin=400526&amp;end=403475</t>
  </si>
  <si>
    <t>https://search.corpuskiparla.it/corpus/conversations/BOA3012.html</t>
  </si>
  <si>
    <t>https://search.corpuskiparla.it/corpus/conversations/BOA3012_jefferson.html</t>
  </si>
  <si>
    <t>freddo fa // xxxx // okay // non voglio sconvolgerti // xxx // sì sì // io spero che non si metta a nevicare di nuovo // ma lo</t>
  </si>
  <si>
    <t>che neanche io? perché in città non mi piace tanto // diventa subito paciugo // la neve // allora a me da guardare piace te</t>
  </si>
  <si>
    <t>PBB009</t>
  </si>
  <si>
    <t>#1717462</t>
  </si>
  <si>
    <t>doc#229</t>
  </si>
  <si>
    <t>https://search.corpuskiparla.it/corpus/player/player.cgi?code=PBB009&amp;begin=2865527&amp;end=2870501</t>
  </si>
  <si>
    <t>BOI028</t>
  </si>
  <si>
    <t>https://search.corpuskiparla.it/corpus/conversations/PBB009.html</t>
  </si>
  <si>
    <t>https://search.corpuskiparla.it/corpus/conversations/PBB009_jefferson.html</t>
  </si>
  <si>
    <t>molise</t>
  </si>
  <si>
    <t>delle cifre // mh // esagerate però più o meno intorno // sì // ottantamila ecco bolo~ // poi c''e tutto l''indotto per cui</t>
  </si>
  <si>
    <t>la città cambia in misura // mh // e e poi è una città accogliente // ma fino a un certo punto // mh // // // e per quale motivo?</t>
  </si>
  <si>
    <t>#1718532</t>
  </si>
  <si>
    <t>https://search.corpuskiparla.it/corpus/player/player.cgi?code=PBB009&amp;begin=3235956&amp;end=3243457</t>
  </si>
  <si>
    <t>a bologna eh // sì // non è che adesso bologna ha un''offerta culturale adesso che è variegata in tantissimo cioè non</t>
  </si>
  <si>
    <t>dove arrivar prima poi // mh // mol~ tantissime cose gratuite quindi ben~ molto // però ecco quello che manca ad esempio</t>
  </si>
  <si>
    <t>#1720251</t>
  </si>
  <si>
    <t>https://search.corpuskiparla.it/corpus/player/player.cgi?code=PBB009&amp;begin=3807214&amp;end=3811980</t>
  </si>
  <si>
    <t>BOI027</t>
  </si>
  <si>
    <t>neanche tanto per una questione fisica // anche per una questione fisica // ma proprio per una questione di // ehm //</t>
  </si>
  <si>
    <t>di di devozione non dico neanche di fioretto nea~ mh proprio // per dare una senso al fatto che stavo lì // sì // dico io in</t>
  </si>
  <si>
    <t>#1720506</t>
  </si>
  <si>
    <t>https://search.corpuskiparla.it/corpus/player/player.cgi?code=PBB009&amp;begin=3883193&amp;end=3892391</t>
  </si>
  <si>
    <t>per scontato devo dire no? perchè // sì // ci son sempre stati per me no? // e molto comodi soprattutto quando piove perchè</t>
  </si>
  <si>
    <t>quando sei a roma se piove ragazzo arrivi a casa che sei bagnato fradicio // sì // // sì // sì sì // è un bel un bel riparo no? ti</t>
  </si>
  <si>
    <t>#1720690</t>
  </si>
  <si>
    <t>https://search.corpuskiparla.it/corpus/player/player.cgi?code=PBB009&amp;begin=3954224&amp;end=3958945</t>
  </si>
  <si>
    <t>// fa il cielo non si vede // è vero // è vero // tu quando vai sotto il portico il cielo non lo vedi // sì // infatti ho detto ma</t>
  </si>
  <si>
    <t>che ha ragione perchè io quando voglio vedere i tramonti // se tu ti metti su via rizzoli // e vai dritto fino in fondo a san</t>
  </si>
  <si>
    <t>#1722882</t>
  </si>
  <si>
    <t>https://search.corpuskiparla.it/corpus/player/player.cgi?code=PBC002&amp;begin=340370&amp;end=341860</t>
  </si>
  <si>
    <t>BOI007</t>
  </si>
  <si>
    <t>quartiere // mhmh // e com''è cambiato negli anni // anche a livello // di città proprio in sè di persone che la vivono //</t>
  </si>
  <si>
    <t>adesso tutte le città // beh ci sono // ci sono tanti stranieri a dir la verità eh stranieri // mhmh // in visita due tre</t>
  </si>
  <si>
    <t>#1725253</t>
  </si>
  <si>
    <t>https://search.corpuskiparla.it/corpus/player/player.cgi?code=PBC002&amp;begin=1207610&amp;end=1211840</t>
  </si>
  <si>
    <t>da un po'' di tempo ehm vicino ai teatri vicino ai cinema // su indipendenza è la strada principale che va alla stazione lo</t>
  </si>
  <si>
    <t>// sì // è sempre poi piena di gente // è vero è vero // perché non passano neanche le // le macchine // mh // di~ di le m~ le</t>
  </si>
  <si>
    <t>PBB004</t>
  </si>
  <si>
    <t>#1728192</t>
  </si>
  <si>
    <t>doc#231</t>
  </si>
  <si>
    <t>https://search.corpuskiparla.it/corpus/player/player.cgi?code=PBB004&amp;begin=314815&amp;end=315685</t>
  </si>
  <si>
    <t>BOI013</t>
  </si>
  <si>
    <t>https://search.corpuskiparla.it/corpus/conversations/PBB004.html</t>
  </si>
  <si>
    <t>https://search.corpuskiparla.it/corpus/conversations/PBB004_jefferson.html</t>
  </si>
  <si>
    <t>// mh // cioè e si notano // le sige~ le persone proprio che // e a~ dedite allo spaccio ma anche qui in piazza dell''unità //</t>
  </si>
  <si>
    <t>quante volte // mh // vediamo bottigliate // mh // di persone che se le danno in testa // cioè oh // tu non le noti queste</t>
  </si>
  <si>
    <t>#1728636</t>
  </si>
  <si>
    <t>https://search.corpuskiparla.it/corpus/player/player.cgi?code=PBB004&amp;begin=434960&amp;end=439460</t>
  </si>
  <si>
    <t>BOI012</t>
  </si>
  <si>
    <t>i giovani di oggi vivano la città // nello stesso modo in cui lo vivevate voi da giovani? // ah io questo non lo so // non lo so</t>
  </si>
  <si>
    <t>i giovani io coi giovani non ho dei gran contatti molto // non non non lo so // non mh lo so cosa fanno i giovani adesso // xx //</t>
  </si>
  <si>
    <t>KPS022</t>
  </si>
  <si>
    <t>#1738059</t>
  </si>
  <si>
    <t>doc#232</t>
  </si>
  <si>
    <t>https://search.corpuskiparla.it/corpus/player/player.cgi?code=KPS022&amp;begin=1338870&amp;end=1346450</t>
  </si>
  <si>
    <t>PKP128</t>
  </si>
  <si>
    <t>https://search.corpuskiparla.it/corpus/conversations/KPS022.html</t>
  </si>
  <si>
    <t>https://search.corpuskiparla.it/corpus/conversations/KPS022_jefferson.html</t>
  </si>
  <si>
    <t>mio padre questo non lo fa andare oltre l''italia // ed è sbagliatissimo perché tu ti metti un sacco di limiti se non vai non</t>
  </si>
  <si>
    <t>cioè alla fine devi stare una settimana c''hai il camper c''hai tutti i fatti tuoi // quindi se hai pure il problema della</t>
  </si>
  <si>
    <t>#1738623</t>
  </si>
  <si>
    <t>https://search.corpuskiparla.it/corpus/player/player.cgi?code=KPS022&amp;begin=1534105&amp;end=1542170</t>
  </si>
  <si>
    <t>però // più meno me la cavicchio // ho imparato // // imparato bro // penso che già lo sapevi money // già lo sapevo però</t>
  </si>
  <si>
    <t>a volte ti vergogni anche almeno questo è il mio caso mi vergogno un po'' anche perché non è che ne sono poi così sicura io non</t>
  </si>
  <si>
    <t>#1739352</t>
  </si>
  <si>
    <t>https://search.corpuskiparla.it/corpus/player/player.cgi?code=KPS022&amp;begin=1794510&amp;end=1797540</t>
  </si>
  <si>
    <t>PKP129</t>
  </si>
  <si>
    <t>// no no sono solo sconvolto // perché? // da come si comportano questi mh // no ma per loro è tutto normale eh // per loro tu</t>
  </si>
  <si>
    <t>come rispondi a lei e il padre? // allora la mamma no // perché la ma~ // è una persona falsa pure la mamma eh perché non sono</t>
  </si>
  <si>
    <t>#1739443</t>
  </si>
  <si>
    <t>https://search.corpuskiparla.it/corpus/player/player.cgi?code=KPS022&amp;begin=1817221&amp;end=1820810</t>
  </si>
  <si>
    <t>// entrano non dicono nemmeno buongiorno // niente // niente // lei e il padre se tu gli fai un discorso del genere loro lo</t>
  </si>
  <si>
    <t>come ti dice? // #e mic'' tenimm ru post'' ind'' a'' banc'' // cossì ti rispondono // #e mic'' e'' pigliat ru post'' ind'' a'' banc'' //</t>
  </si>
  <si>
    <t>#1739602</t>
  </si>
  <si>
    <t>https://search.corpuskiparla.it/corpus/player/player.cgi?code=KPS022&amp;begin=1861920&amp;end=1865658</t>
  </si>
  <si>
    <t>// resteranno sporchi pazienza // no // #eh veddiam'' eh e quand'' e po''? // #e cr~ carlo lì sto andando a sparecchià ess''</t>
  </si>
  <si>
    <t>com''è spo~ e quand'' po''? // così risponde // così fa // e tu devi stare zitta // poi vai vicino alla figlia // gli dici oh</t>
  </si>
  <si>
    <t>#1740540</t>
  </si>
  <si>
    <t>https://search.corpuskiparla.it/corpus/player/player.cgi?code=KPS022&amp;begin=2119053&amp;end=2120340</t>
  </si>
  <si>
    <t>chiama do voi lui delle consegne // no è tutto così là // ma è fuori di testa questo o è un anziano // ma è un deficiente // poi</t>
  </si>
  <si>
    <t>che fa? dice // non pren~ // #la tazzina iss xxx t'' vo ''nsegnà cumm s'' piglia ''a tazzina // la tazzina vena // dice non</t>
  </si>
  <si>
    <t>PBA027</t>
  </si>
  <si>
    <t>#1743698</t>
  </si>
  <si>
    <t>doc#233</t>
  </si>
  <si>
    <t>https://search.corpuskiparla.it/corpus/player/player.cgi?code=PBA027&amp;begin=231041&amp;end=233052</t>
  </si>
  <si>
    <t>BOI106</t>
  </si>
  <si>
    <t>https://search.corpuskiparla.it/corpus/conversations/PBA027.html</t>
  </si>
  <si>
    <t>https://search.corpuskiparla.it/corpus/conversations/PBA027_jefferson.html</t>
  </si>
  <si>
    <t>al luogo di lavoro // si volevano avvicinare ecco esatto // si volevano avvicinare sono stati là sei anni e // però</t>
  </si>
  <si>
    <t>avanti e indietro // gli autobus e // è lunga eh // sì sì // non si muovevano molto con la macchina // e // gli spostamenti</t>
  </si>
  <si>
    <t>#1752807</t>
  </si>
  <si>
    <t>https://search.corpuskiparla.it/corpus/player/player.cgi?code=PBA027&amp;begin=3075210&amp;end=3076970</t>
  </si>
  <si>
    <t>spaziettino la sua fetta // eh beh // che ridere // è vero anche questo // e è una cosa fantastica // già // sì // dopo che lo</t>
  </si>
  <si>
    <t>sei abituato // sì e hanno più hanno molto più senso di comunità // ah di qua dici // mol~ // sì tantissimo // cioè del mondo</t>
  </si>
  <si>
    <t>PBA012</t>
  </si>
  <si>
    <t>#1757728</t>
  </si>
  <si>
    <t>doc#235</t>
  </si>
  <si>
    <t>https://search.corpuskiparla.it/corpus/player/player.cgi?code=PBA012&amp;begin=44590&amp;end=45060</t>
  </si>
  <si>
    <t>https://search.corpuskiparla.it/corpus/conversations/PBA012.html</t>
  </si>
  <si>
    <t>https://search.corpuskiparla.it/corpus/conversations/PBA012_jefferson.html</t>
  </si>
  <si>
    <t>che non sono esatta~ esattamente la guidatrice più // ehm // sicura ehm // capace e convinta delle sue capacità // ma</t>
  </si>
  <si>
    <t>// ma sai che tipo // cioè eh secondo me è tipo un requisito // de~ dei bolognesi non saper guidare bene ma non perchè // io</t>
  </si>
  <si>
    <t>PBC008</t>
  </si>
  <si>
    <t>#1793510</t>
  </si>
  <si>
    <t>doc#239</t>
  </si>
  <si>
    <t>https://search.corpuskiparla.it/corpus/player/player.cgi?code=PBC008&amp;begin=1854917&amp;end=1856340</t>
  </si>
  <si>
    <t>https://search.corpuskiparla.it/corpus/conversations/PBC008.html</t>
  </si>
  <si>
    <t>https://search.corpuskiparla.it/corpus/conversations/PBC008_jefferson.html</t>
  </si>
  <si>
    <t>xx // i nerd della della riparazione abbiamo la sala piena // allora fa~ andiam su? // no curiosi no no adesso oh ve~ // eh //</t>
  </si>
  <si>
    <t>abbiamo già cominciato // ah ho capito eh oggi chissà perché so arrivati tutti presto // ma perché l''altra volta eran le</t>
  </si>
  <si>
    <t>#1801425</t>
  </si>
  <si>
    <t>https://search.corpuskiparla.it/corpus/player/player.cgi?code=PBC022&amp;begin=1353286&amp;end=1356664</t>
  </si>
  <si>
    <t>non // di spagnola? // mh moh n''affar del genere // eh ma sai le epidemie sai quanto ce ne son state? // eh // il vaiolo magari</t>
  </si>
  <si>
    <t>quante ce ne son state appunto // mh // mh // comunque è così // prosegue // senti un po'' nonna ma te // quand''è la prima volta</t>
  </si>
  <si>
    <t>#1809628</t>
  </si>
  <si>
    <t>https://search.corpuskiparla.it/corpus/player/player.cgi?code=TOA3008&amp;begin=2877330&amp;end=2879510</t>
  </si>
  <si>
    <t>fatta arancioni che secondo me era la persona più timida e insicura del mondo a diventare professore della xxx // ma tu lo</t>
  </si>
  <si>
    <t>che cosa ha fatto arancioni? // non te l'' ho raccontato? // xxxxxxx // me ne fotto il cazzo di queste cose // mi ha fatto</t>
  </si>
  <si>
    <t>#1812622</t>
  </si>
  <si>
    <t>https://search.corpuskiparla.it/corpus/player/player.cgi?code=TOA3008&amp;begin=3822045&amp;end=3823783</t>
  </si>
  <si>
    <t>di dislessia euxperie // invece exupéry // sì // e io non so perché non riesco a leggere exupéry ma leggo euxperi // ma l~ lo</t>
  </si>
  <si>
    <t>che anche io? // c'' ho un problema con questo nome è vero comun~ cazzo xx troppa ragione // comunque e quindi? // marina? //</t>
  </si>
  <si>
    <t>#1833239</t>
  </si>
  <si>
    <t>https://search.corpuskiparla.it/corpus/player/player.cgi?code=PBC012&amp;begin=732457&amp;end=737252</t>
  </si>
  <si>
    <t>c''era la sede del di esse come quartiere navile qui // xx // dal duemilasette sì // mhmh // ah okay // poi a poco a poco</t>
  </si>
  <si>
    <t>una cosa poi svanisce // mhmh // ma era qui // // è stata qui era un''officina mi sembra // ma sì non lo so adesso cosa c''era</t>
  </si>
  <si>
    <t>#1834265</t>
  </si>
  <si>
    <t>https://search.corpuskiparla.it/corpus/player/player.cgi?code=PBC012&amp;begin=1020018&amp;end=1025775</t>
  </si>
  <si>
    <t>siamo ma // ritirati noi ma vabbè // mh // ah okay ho capito e // perché le cucine popolari è cominciata qui // sì beh ma loro</t>
  </si>
  <si>
    <t>fanno un altro tipo di distribuzione invece noi dobbiamo mettere seduta la gente quindi // ah // e dopo // poi dopo hai</t>
  </si>
  <si>
    <t>#1835161</t>
  </si>
  <si>
    <t>https://search.corpuskiparla.it/corpus/player/player.cgi?code=PBC012&amp;begin=1250033&amp;end=1254999</t>
  </si>
  <si>
    <t>più politiche ecco // ad esempio // poi magari coinvolgi anche le persone // mhmh // sempre che riesci perchè // mhmh //</t>
  </si>
  <si>
    <t>un conto è avvicinarsi a una struttura sociale un conto è avvicinarsi a un partito // mh // quindi // noi qui adesso // anni</t>
  </si>
  <si>
    <t>#1836146</t>
  </si>
  <si>
    <t>https://search.corpuskiparla.it/corpus/player/player.cgi?code=PBC012&amp;begin=1579721&amp;end=1582500</t>
  </si>
  <si>
    <t>sempre stata una casa politica quindi // mh // sempre stata una casa politica // durante la resistenza durante la guerra</t>
  </si>
  <si>
    <t>// mh // però dopo purtroppo // sì qui qui // cioè alla fine // qui diciamo che proprio sconvolgimenti politici // dopo che</t>
  </si>
  <si>
    <t>#1837019</t>
  </si>
  <si>
    <t>https://search.corpuskiparla.it/corpus/player/player.cgi?code=PBC012&amp;begin=1894934&amp;end=1903038</t>
  </si>
  <si>
    <t>BOI034</t>
  </si>
  <si>
    <t>tutti quelli che del paese // erano tutti quelli che noi // cioè noi i i più e che li prendevano in giro perché poi poveretti</t>
  </si>
  <si>
    <t>come si faceva in campagna qua tu e lo prendevano in giro // sì // sì sì sì // erano diventati dei fascisti no? // eh be sì // di</t>
  </si>
  <si>
    <t>#1837077</t>
  </si>
  <si>
    <t>https://search.corpuskiparla.it/corpus/player/player.cgi?code=PBC012&amp;begin=1908726&amp;end=1917197</t>
  </si>
  <si>
    <t>il cervellino era così // pan~ allora hai capito gli uni~ che abbiamo subito erano di lo~ perché non capivano che qua era</t>
  </si>
  <si>
    <t>non n n n n // eh i fascisti // poi comunque erano cattivi // po~ mh // eran gente che non ave~ purtroppo non ha avuto</t>
  </si>
  <si>
    <t>#1837539</t>
  </si>
  <si>
    <t>https://search.corpuskiparla.it/corpus/player/player.cgi?code=PBC012&amp;begin=2052959&amp;end=2057236</t>
  </si>
  <si>
    <t>// mhmh // bologna durante la guerra è stata bombardata // mhmh // mh // parecchio // questa zona qui forse</t>
  </si>
  <si>
    <t>appunto proprio essendo campagna // mhmh // no qui ha subito qua bombardamenti e giusto perché c''era la la stazione //</t>
  </si>
  <si>
    <t>#1839128</t>
  </si>
  <si>
    <t>https://search.corpuskiparla.it/corpus/player/player.cgi?code=PBC012&amp;begin=2521302&amp;end=2522302</t>
  </si>
  <si>
    <t>// secondo voi son tenuti benei portici al giorno d''oggi a livello di struttura di pulizia di manutenzione // bah</t>
  </si>
  <si>
    <t>// la struttura adesso io mh non è che giro non gi~ cioè non son~ non me li faccio proprio tutti i portici di bologna però //</t>
  </si>
  <si>
    <t>#1839245</t>
  </si>
  <si>
    <t>https://search.corpuskiparla.it/corpus/player/player.cgi?code=PBC012&amp;begin=2551918&amp;end=2555741</t>
  </si>
  <si>
    <t>più puliti // mh // adesso per colpa dei cittadini sai una mia collega // mh // delle marche una volta m''ha detto le ho detto</t>
  </si>
  <si>
    <t>perchè bologna è pulita? // perché c''abbiamo gli spazzini che puliscono bologna e lei m''ha detto no lara // è che bologna</t>
  </si>
  <si>
    <t>#1839416</t>
  </si>
  <si>
    <t>https://search.corpuskiparla.it/corpus/player/player.cgi?code=PBC012&amp;begin=2610938&amp;end=2614953</t>
  </si>
  <si>
    <t>stanno distruggendo // mhmh // hanno fatto una ristrutturazione // ci son problemi difficoltosi però sai // mhmh // io</t>
  </si>
  <si>
    <t>i portici secondo me sono tenuti bene poi comunque son vissuti // mh // tu gino che ne pensi? // tu gino che ne pensi? // de~</t>
  </si>
  <si>
    <t>#1839508</t>
  </si>
  <si>
    <t>https://search.corpuskiparla.it/corpus/player/player.cgi?code=PBC012&amp;begin=2638530&amp;end=2641446</t>
  </si>
  <si>
    <t>portici sono la cosa più bella del mondo alcuni portici // eh beh // son belli perché son vissuti anche adesso // si guarda</t>
  </si>
  <si>
    <t>sempre belli sempre belli // io l''altro giorno son andata in piazza // di giovedì era così di gente // poi adesso adesso</t>
  </si>
  <si>
    <t>#1839996</t>
  </si>
  <si>
    <t>https://search.corpuskiparla.it/corpus/player/player.cgi?code=PBC012&amp;begin=2772442&amp;end=2779837</t>
  </si>
  <si>
    <t>eh si faceva a piedi // saragozza // e si chiamava via bregoli // sì i brigoli // // i famosi brigoli da noi si dice // #perché</t>
  </si>
  <si>
    <t>perché i bregoli per noi in dialetto sono e il rottame dei de~ de~ del legno // mh // // su e giù per i brigoli // c''è il famoso</t>
  </si>
  <si>
    <t>#1841063</t>
  </si>
  <si>
    <t>https://search.corpuskiparla.it/corpus/player/player.cgi?code=TOA3003&amp;begin=233503&amp;end=237613</t>
  </si>
  <si>
    <t>TO036</t>
  </si>
  <si>
    <t>finalmente invece ho trovato il coraggio dopo un anno e mezzo // di fare di scrivere l'' articolo mamma figlia // xxx // eh</t>
  </si>
  <si>
    <t>che avevamo fatto il corso per bambine down che scoprivano le mestruazioni? // ah // avevamo fatto il corso a loro ed era</t>
  </si>
  <si>
    <t>#1842552</t>
  </si>
  <si>
    <t>https://search.corpuskiparla.it/corpus/player/player.cgi?code=TOA3003&amp;begin=711475&amp;end=714099</t>
  </si>
  <si>
    <t>no ma è bello xxx // mi immagino xx // l'' omino della linea che // ah // eh // della // xxx // no c'' è ancora l'' omino della linea</t>
  </si>
  <si>
    <t>quello che dice // eh sì // eh ma quello lì non va bene // eh altrettanto bella verrà // ma // il punto è che non è troppo una</t>
  </si>
  <si>
    <t>#1842732</t>
  </si>
  <si>
    <t>https://search.corpuskiparla.it/corpus/player/player.cgi?code=TOA3003&amp;begin=759205&amp;end=763211</t>
  </si>
  <si>
    <t>gli poteva sbolognare la locandina ma // ma così difficile dite la locandina? // secondo me una locandina se non cioè se</t>
  </si>
  <si>
    <t>come fare è una cazzata se invece non sai come fare è un xxx // beh se no viene così così insomma // eh infatti un po'' fatta</t>
  </si>
  <si>
    <t>#1843846</t>
  </si>
  <si>
    <t>https://search.corpuskiparla.it/corpus/player/player.cgi?code=TOA3003&amp;begin=1147793&amp;end=1152893</t>
  </si>
  <si>
    <t>hai paura // screenshot? // mh // le hai scri~ le hai risposto? // eh sì le ho scritto e quindi che è la domanda quando non</t>
  </si>
  <si>
    <t>qualcosa nell'' autonomia e quindi? // // quindi? // e allora? // beh che palle // io andrei a dormire // anch'' io andrei a</t>
  </si>
  <si>
    <t>#1843994</t>
  </si>
  <si>
    <t>https://search.corpuskiparla.it/corpus/player/player.cgi?code=TOA3003&amp;begin=1204947&amp;end=1208857</t>
  </si>
  <si>
    <t>con la faccia appoggiata per terra // c'' era un tipo in aeroporto carino un po'' sfregiato ma carino // xx // sembrava</t>
  </si>
  <si>
    <t>scar quello di del re leone? tutto completamente // ma a me piaceva // un po'' guercio // // un po'' guercio ma carino // e poi</t>
  </si>
  <si>
    <t>#1848252</t>
  </si>
  <si>
    <t>https://search.corpuskiparla.it/corpus/player/player.cgi?code=PBC025&amp;begin=697000&amp;end=701699</t>
  </si>
  <si>
    <t>bolognese // // ehm secondo te sono tenuti bene i portici o ci sono zone che avrebbero bisogno di un po'' di manutenzione //</t>
  </si>
  <si>
    <t>eh di manutenzione ce n''è sempre bisogno secondo me // anche perché di anni ne hanno // mhmh // i costi per mantenere tutto</t>
  </si>
  <si>
    <t>#1848565</t>
  </si>
  <si>
    <t>https://search.corpuskiparla.it/corpus/player/player.cgi?code=PBC025&amp;begin=805594&amp;end=806098</t>
  </si>
  <si>
    <t>han tutte restaurate // eh due o tre anni fa han finito i lavori // e quelle sono riuscite a recuperarle buona parte // poi</t>
  </si>
  <si>
    <t>// beh certo // è tantissima la roba // eh infatti // che c''è a bologna posso immaginare a roma firenze venezia poi venezia</t>
  </si>
  <si>
    <t>#1852424</t>
  </si>
  <si>
    <t>https://search.corpuskiparla.it/corpus/player/player.cgi?code=PBC025&amp;begin=1928294&amp;end=1932421</t>
  </si>
  <si>
    <t>// e a me viene in mente vabbé tipo il venticinque aprile anche solo // anche il cinema // ah beh il venticinque ma</t>
  </si>
  <si>
    <t>qua poi la resistenza è stata forte eh // eh infatti // eh è importante // perché con la linea gotica // mh // mio babbo che</t>
  </si>
  <si>
    <t>#1854717</t>
  </si>
  <si>
    <t>https://search.corpuskiparla.it/corpus/player/player.cgi?code=PBC025&amp;begin=2679001&amp;end=2679993</t>
  </si>
  <si>
    <t>enne erre erre // e sarà tutto di riqualificazione anche i giardini del guasto beneficerà tutta la zona eccetera // poi</t>
  </si>
  <si>
    <t>io non lo so // sì // no effettivamente il parco del guasto era sempre un po'' // eh // però anche queste cose qua che io</t>
  </si>
  <si>
    <t>#1855940</t>
  </si>
  <si>
    <t>https://search.corpuskiparla.it/corpus/player/player.cgi?code=PBC025&amp;begin=3027897&amp;end=3030997</t>
  </si>
  <si>
    <t>a me fa paura // poi dicono che adesso tornerà il freddo // cioè // però // che di solito è così magari // si è spostato avan~</t>
  </si>
  <si>
    <t>l''anno scorso se vi ricordate // fino a fine giugno è stato brutto // ha fatto freddissimo x be poi c''è stata l''alluvione</t>
  </si>
  <si>
    <t>KPN011</t>
  </si>
  <si>
    <t>#1875025</t>
  </si>
  <si>
    <t>doc#251</t>
  </si>
  <si>
    <t>https://search.corpuskiparla.it/corpus/player/player.cgi?code=KPN011&amp;begin=2375673&amp;end=2376558</t>
  </si>
  <si>
    <t>PKP123</t>
  </si>
  <si>
    <t>https://search.corpuskiparla.it/corpus/conversations/KPN011.html</t>
  </si>
  <si>
    <t>https://search.corpuskiparla.it/corpus/conversations/KPN011_jefferson.html</t>
  </si>
  <si>
    <t>RN</t>
  </si>
  <si>
    <t>vieni // sì vabbè è buonissima // forse il pomodoro è un po'' troppo pomodoro? // questa è buonissima // davvero? // lo</t>
  </si>
  <si>
    <t>cos''è marco? // io di te mi fido tu sei schietta eh // mh // a me piace la pizza croccante cos'' // mh // mh // non mi ricordo te</t>
  </si>
  <si>
    <t>#1875164</t>
  </si>
  <si>
    <t>https://search.corpuskiparla.it/corpus/player/player.cgi?code=KPN011&amp;begin=2411521&amp;end=2412062</t>
  </si>
  <si>
    <t>PKP121</t>
  </si>
  <si>
    <t>quell''altra io son già pieno // voglio mangiare la t~ torta // tu non hai mangiato un cavolo // xx ha mangiato? // eh? //</t>
  </si>
  <si>
    <t>cosa? // forse metto un po'' di tonno x // lui fragola ha mangiato // ma sì // prendo una scatola di tonno? // sì // qui? // sai</t>
  </si>
  <si>
    <t>#1875193</t>
  </si>
  <si>
    <t>https://search.corpuskiparla.it/corpus/player/player.cgi?code=KPN011&amp;begin=2422243&amp;end=2423396</t>
  </si>
  <si>
    <t>sai cosa? // forse metto un po'' di tonno x // lui fragola ha mangiato // ma sì // prendo una scatola di tonno? // sì // qui? //</t>
  </si>
  <si>
    <t>cosa questo anche là // però guarda com''è venuta // però se tu fai l~ hai la pietra refrattaria non diventa bianca capito?</t>
  </si>
  <si>
    <t>#1875224</t>
  </si>
  <si>
    <t>https://search.corpuskiparla.it/corpus/player/player.cgi?code=KPN011&amp;begin=2431990&amp;end=2434243</t>
  </si>
  <si>
    <t>com''è venuta // però se tu fai l~ hai la pietra refrattaria non diventa bianca capito? // ah famosa per la refrattaria //</t>
  </si>
  <si>
    <t>cosa faccio mi metti quella quella quella // eh cosa per riscaldare la piastra? // anche questo è speciale eh // ti piace</t>
  </si>
  <si>
    <t>#1875475</t>
  </si>
  <si>
    <t>https://search.corpuskiparla.it/corpus/player/player.cgi?code=KPN005&amp;begin=25492&amp;end=26990</t>
  </si>
  <si>
    <t>l''hummus // ah ci penso io // se hai già preso // sì sì // tanto sono nostre // ok // mamma vuoi delle melanzane? // e sì dopo</t>
  </si>
  <si>
    <t>// no // beh te le metto ora // questo lo posso prendere con lo // sì sì // ah io l''ho preso con il coltello // sì // ah // potevo</t>
  </si>
  <si>
    <t>#1876627</t>
  </si>
  <si>
    <t>https://search.corpuskiparla.it/corpus/player/player.cgi?code=KPN005&amp;begin=454175&amp;end=455755</t>
  </si>
  <si>
    <t>rotta // arrivo eh chiudo eh // mhmh // arriva // signorino // hai fatto? // no ma non era mia mamma // vieni // è freschino</t>
  </si>
  <si>
    <t>tesoro // non è che possiamo stare lì da // buono l''hummus // io adoro l''hummus // ma sti hamburger non capisco di cosa</t>
  </si>
  <si>
    <t>#1882147</t>
  </si>
  <si>
    <t>https://search.corpuskiparla.it/corpus/player/player.cgi?code=KPN005&amp;begin=1922940&amp;end=1925690</t>
  </si>
  <si>
    <t>l''avevano fatto a posta però loro capito con un tono il panel come se fossero i padroni del bosco // mhmh // e così // ma io</t>
  </si>
  <si>
    <t>faccio poi finta di nie~ son poi loro xxxx // mh // però // loro mh pensano // ma sì tanto se ne andranno // tanto questi se</t>
  </si>
  <si>
    <t>#1883502</t>
  </si>
  <si>
    <t>https://search.corpuskiparla.it/corpus/player/player.cgi?code=KPN005&amp;begin=2242533&amp;end=2245604</t>
  </si>
  <si>
    <t>// però siamo ancora // a livello sic~ // è ancora accessib~ c''è è ancora // del degli xxx // tutto // posti mh // poi</t>
  </si>
  <si>
    <t>oggi ho sentito per radio prima sono aumentati molto i casi // ma oggi ovunque è stata una mattina con la // eh no però alm~</t>
  </si>
  <si>
    <t>KPN027</t>
  </si>
  <si>
    <t>#1911788</t>
  </si>
  <si>
    <t>doc#257</t>
  </si>
  <si>
    <t>https://search.corpuskiparla.it/corpus/player/player.cgi?code=KPN027&amp;begin=410932&amp;end=412279</t>
  </si>
  <si>
    <t>PKP116</t>
  </si>
  <si>
    <t>https://search.corpuskiparla.it/corpus/conversations/KPN027.html</t>
  </si>
  <si>
    <t>https://search.corpuskiparla.it/corpus/conversations/KPN027_jefferson.html</t>
  </si>
  <si>
    <t>la m // non nara // con la n // mara con la m // è questa mia amica riccia // hai presente l''hai vista alta ? // me la ricordo poco</t>
  </si>
  <si>
    <t>? // ah lei comunque // vabbè comunque // lei doveva andare via a mezzanotte // perché // doveva stu~ // cioè doveva</t>
  </si>
  <si>
    <t>#1912561</t>
  </si>
  <si>
    <t>https://search.corpuskiparla.it/corpus/player/player.cgi?code=KPN027&amp;begin=617241&amp;end=619635</t>
  </si>
  <si>
    <t>PKP115</t>
  </si>
  <si>
    <t>// eh // eh // sembrava non entusiasta // allora io c''ero rimasta malissimo // e si vedeva // perchè nella mia faccia lo</t>
  </si>
  <si>
    <t>com''è nonna eh // sì // è un libro aperto // si vede // l''ha capito lei così? // no // x // che non era così poi // no // dopo un po''</t>
  </si>
  <si>
    <t>#1912803</t>
  </si>
  <si>
    <t>https://search.corpuskiparla.it/corpus/player/player.cgi?code=KPN027&amp;begin=694172&amp;end=696842</t>
  </si>
  <si>
    <t>sorella di lei? // sì // allora // niente in pratica // arriva // il // mh // suo zio // si chiama denis // mi guarda mi fa // ma</t>
  </si>
  <si>
    <t>che stasera mi sembri // morticia // mhmh // ho detto come morti~ ? // ah sei vestita di nero // c''hai i capelli lisci // così</t>
  </si>
  <si>
    <t>#1915253</t>
  </si>
  <si>
    <t>https://search.corpuskiparla.it/corpus/player/player.cgi?code=KPN027&amp;begin=1343763&amp;end=1345560</t>
  </si>
  <si>
    <t>nove anni // eh insomma // non era poi così grandone diciamo // vabbè // eh // però // sì // son~ non sono cose da fare // ma</t>
  </si>
  <si>
    <t>se sono molesti è inutile // chi è che è stato ? // così // tutti muti zitti immobili // // eh // oh mamma mi~ // questa che //</t>
  </si>
  <si>
    <t>PBB028</t>
  </si>
  <si>
    <t>#1921781</t>
  </si>
  <si>
    <t>doc#259</t>
  </si>
  <si>
    <t>https://search.corpuskiparla.it/corpus/player/player.cgi?code=PBB028&amp;begin=711110&amp;end=714840</t>
  </si>
  <si>
    <t>BOI099</t>
  </si>
  <si>
    <t>https://search.corpuskiparla.it/corpus/conversations/PBB028.html</t>
  </si>
  <si>
    <t>https://search.corpuskiparla.it/corpus/conversations/PBB028_jefferson.html</t>
  </si>
  <si>
    <t>perché molti ragazzi di pieve sono arrivati ad arrivare anche in nazionale // xx // quindi orgoglio per pieve</t>
  </si>
  <si>
    <t>li vedi giocare ai sei nazioni // certo // cioè quelle poche volte che sono entrati in campo // però sì dopo per un pivino a</t>
  </si>
  <si>
    <t>#1924284</t>
  </si>
  <si>
    <t>https://search.corpuskiparla.it/corpus/player/player.cgi?code=PBB028&amp;begin=1489394&amp;end=1492567</t>
  </si>
  <si>
    <t>BOI100</t>
  </si>
  <si>
    <t>m''è toccato star là una notte quando in realtà volevo venire a casa // ah stavam tutti bene eh in casa ha fatto niente però</t>
  </si>
  <si>
    <t>// pensiero c''era lo stesso // paura // mh // xx // era più la paura // io ho sentito più paura degli altri // mh // la // la</t>
  </si>
  <si>
    <t>#1956188</t>
  </si>
  <si>
    <t>https://search.corpuskiparla.it/corpus/player/player.cgi?code=TOD2013&amp;begin=1843294&amp;end=1845352</t>
  </si>
  <si>
    <t>TO057</t>
  </si>
  <si>
    <t>andata a convivere con altre due persone due libanesi // mhmh // che mi han picchiato il gatto // e di conseguenza ho detto</t>
  </si>
  <si>
    <t>che vi dico me ne vado // e non vi denuncio solo perchè magari vi fan tornare in libano // ah ecco // okay? // però me ne vado //</t>
  </si>
  <si>
    <t>#1958126</t>
  </si>
  <si>
    <t>https://search.corpuskiparla.it/corpus/player/player.cgi?code=TOD2013&amp;begin=2397800&amp;end=2404190</t>
  </si>
  <si>
    <t>TO058</t>
  </si>
  <si>
    <t>xx è una colo~ ma è assurdo è una colonia ma n~ non non dico che sono tutti pugliesi coì per // per dirlo ma è proprio perchè è</t>
  </si>
  <si>
    <t>c~ è gemellata con un paese di della puglia quindi // paese della puglia // quindi non non si può sgarrare quindi l''</t>
  </si>
  <si>
    <t>#1958361</t>
  </si>
  <si>
    <t>https://search.corpuskiparla.it/corpus/player/player.cgi?code=TOD2013&amp;begin=2454853&amp;end=2459772</t>
  </si>
  <si>
    <t>stavamo avevamo un'' altra casa e poi abbiamo preferito prendere questa // questa casa che era un po'' tipo un appoggio</t>
  </si>
  <si>
    <t>quando tu vuoi andare giù e vuoi andare al mare ecco // mhmh // quindi è una casaanche lì ehm bianca // cioè tutto noi non a~</t>
  </si>
  <si>
    <t>#1960758</t>
  </si>
  <si>
    <t>https://search.corpuskiparla.it/corpus/player/player.cgi?code=TOD2013&amp;begin=3171428&amp;end=3172606</t>
  </si>
  <si>
    <t>completamente diversa eravamo fissate con sempre stile americano perchè poi comunque tu hai quel // mh // tredicianni</t>
  </si>
  <si>
    <t>tutte // eh il pomeriggio su i~ italia uno era tutto f~ eh serie tv cioè non serie tv eran tipo sitcom penso // chiaro //</t>
  </si>
  <si>
    <t>BOA3017</t>
  </si>
  <si>
    <t>#1969381</t>
  </si>
  <si>
    <t>doc#264</t>
  </si>
  <si>
    <t>https://search.corpuskiparla.it/corpus/player/player.cgi?code=BOA3017&amp;begin=768658&amp;end=771240</t>
  </si>
  <si>
    <t>https://search.corpuskiparla.it/corpus/conversations/BOA3017.html</t>
  </si>
  <si>
    <t>https://search.corpuskiparla.it/corpus/conversations/BOA3017_jefferson.html</t>
  </si>
  <si>
    <t>pala // pala // // vedi? // xxxx // quindi? // è stata una dicussione immensa l'' altro giorno sulla // badile che // oh non</t>
  </si>
  <si>
    <t>cos'' è il badile // sì è un parola norm~ si usa eh qua fuori dalle marche // eh ho capito ma te lo cioè i marchigiani lo sai che</t>
  </si>
  <si>
    <t>#1969410</t>
  </si>
  <si>
    <t>https://search.corpuskiparla.it/corpus/player/player.cgi?code=BOA3017&amp;begin=771998&amp;end=776228</t>
  </si>
  <si>
    <t>non sai cos'' è il badile // sì è un parola norm~ si usa eh qua fuori dalle marche // eh ho capito ma te lo cioè i marchigiani lo</t>
  </si>
  <si>
    <t>che non è che siamo così fini eh // non è che // // che ne so xx m'' ha stupito non sapevo che fosse una parola xxxxxxx // // mica</t>
  </si>
  <si>
    <t>#1969820</t>
  </si>
  <si>
    <t>https://search.corpuskiparla.it/corpus/player/player.cgi?code=BOA3017&amp;begin=930610&amp;end=934750</t>
  </si>
  <si>
    <t>quanto sei presuntuoso // perché xxx // x sei prepotente proprio // nel sens~ no xxxs ti ringrazio del pensiero però // s~</t>
  </si>
  <si>
    <t>che se l'' è mangiato intero quello grosso gliel'' ho portato manzo un pezzetto me n'' ha lasciato // intero? // ahmhbeh non</t>
  </si>
  <si>
    <t>#1970224</t>
  </si>
  <si>
    <t>https://search.corpuskiparla.it/corpus/player/player.cgi?code=BOA3017&amp;begin=1063321&amp;end=1064911</t>
  </si>
  <si>
    <t>BO147</t>
  </si>
  <si>
    <t>// comunque pensavo di tornare cioè non so loro che ora x~ hanno voglia di fare // però io per cena vorrei essere qua // ma</t>
  </si>
  <si>
    <t>stiamo a casa per cena // // poi se piove pure // mh mh // solo che la programmazione è alle due fino alle cinque sei poi basta</t>
  </si>
  <si>
    <t>#1971830</t>
  </si>
  <si>
    <t>https://search.corpuskiparla.it/corpus/player/player.cgi?code=BOA3017&amp;begin=1625496&amp;end=1627546</t>
  </si>
  <si>
    <t>// da registrare? // ma voi la mia coinquilina e basta // a wojtyla // no // // // aveva il corpo di cristo // myss keta //</t>
  </si>
  <si>
    <t>che ieri io e ingrid abbiamo parlato di myss keta? // ah sì? e lei cos'' ha detto ah ja // wunderbar // no tipo tpo m'' ha detto eh</t>
  </si>
  <si>
    <t>PBA030</t>
  </si>
  <si>
    <t>#1976613</t>
  </si>
  <si>
    <t>doc#266</t>
  </si>
  <si>
    <t>https://search.corpuskiparla.it/corpus/player/player.cgi?code=PBA030&amp;begin=700068&amp;end=701275</t>
  </si>
  <si>
    <t>https://search.corpuskiparla.it/corpus/conversations/PBA030.html</t>
  </si>
  <si>
    <t>https://search.corpuskiparla.it/corpus/conversations/PBA030_jefferson.html</t>
  </si>
  <si>
    <t>// e // mh // san luca ci siete mai andati? // xxx il colle che c''è là quella chiesa // sì // io mai // mai? // sì io una volta //</t>
  </si>
  <si>
    <t>cos''è mh o? // sì sì è è una chiesa su un colle // sì // // c''è una scalinata // sì sì sì // sì molto lunga sì // okay // // e te te ci</t>
  </si>
  <si>
    <t>BOA3001</t>
  </si>
  <si>
    <t>#2001697</t>
  </si>
  <si>
    <t>doc#270</t>
  </si>
  <si>
    <t>https://search.corpuskiparla.it/corpus/player/player.cgi?code=BOA3001&amp;begin=889538&amp;end=894518</t>
  </si>
  <si>
    <t>BO003</t>
  </si>
  <si>
    <t>https://search.corpuskiparla.it/corpus/conversations/BOA3001.html</t>
  </si>
  <si>
    <t>https://search.corpuskiparla.it/corpus/conversations/BOA3001_jefferson.html</t>
  </si>
  <si>
    <t>fisici // capito? // perfetti // sì sì sì ma di viso molto nero eh // cioè proprio // però un bel ragazzo secondo me un po'' //</t>
  </si>
  <si>
    <t>era un penso fosse io non non so quindi io cap~ capisco e deduco però // era proprio arrivato con le barche // cioè proprio</t>
  </si>
  <si>
    <t>#2003002</t>
  </si>
  <si>
    <t>https://search.corpuskiparla.it/corpus/player/player.cgi?code=BOA3001&amp;begin=1374041&amp;end=1377433</t>
  </si>
  <si>
    <t>BO002</t>
  </si>
  <si>
    <t>contenta perché la sofia mi diceva sempre eh la ex di marco comunque // mi diceva sei più bellina teeh // però diceva eh</t>
  </si>
  <si>
    <t>ha un bel fisico comunque // sì però non è quello perché alla fine il fisico // cioè se tu ti metti a dieta se tu non ne hai</t>
  </si>
  <si>
    <t>#2004387</t>
  </si>
  <si>
    <t>https://search.corpuskiparla.it/corpus/player/player.cgi?code=BOA3001&amp;begin=1870527&amp;end=1878449</t>
  </si>
  <si>
    <t>bastona? // io ho paura che questa vada a cercare parecchio il pelo nell'' uovo // dici? // eh questo mi fa paura // cioè</t>
  </si>
  <si>
    <t>quelle precise che vogliono sape'' tutto cioè i~ il boccaccio anche anche il colore delle mutande voglio di~ // ah ho</t>
  </si>
  <si>
    <t>#2005026</t>
  </si>
  <si>
    <t>https://search.corpuskiparla.it/corpus/player/player.cgi?code=BOA3001&amp;begin=2107849&amp;end=2113141</t>
  </si>
  <si>
    <t>quando // sì // eh sono a collevento // gli hobbit e grampasso // sì // sì // e vengono attaccati dai cavalieri neri quando</t>
  </si>
  <si>
    <t>frodo viene pugnalato // sì // sì sì sì // però lì finisce il capitolo // sì // e io ora a iniziarne un altro ier sera nun ce la</t>
  </si>
  <si>
    <t>#2005245</t>
  </si>
  <si>
    <t>https://search.corpuskiparla.it/corpus/player/player.cgi?code=BOA3001&amp;begin=2184089&amp;end=2188046</t>
  </si>
  <si>
    <t>vedere troppo come descrive legolas // eh sì lui penso che sia il più amato di tutti // mamma mia ci credo // è bello un sacco</t>
  </si>
  <si>
    <t>la mia scena preferita qual è? // sì lui sì // quale? // nel secondo // sì // durante la battaglia // sì // mi pare quella dove</t>
  </si>
  <si>
    <t>#2005748</t>
  </si>
  <si>
    <t>https://search.corpuskiparla.it/corpus/player/player.cgi?code=BOA3001&amp;begin=2364736&amp;end=2366697</t>
  </si>
  <si>
    <t>quella dello scudo surf // mamma mia quell'' omo mi fa morire poi nello hobbit come se non bastasse lui // sì // sì // quello</t>
  </si>
  <si>
    <t>del ponte xxxx // ah sì quello me l'' avevi detto che anche lì ti sciogli // ti sciogli proprio xxx // sì frodo cosa ne pensi?</t>
  </si>
  <si>
    <t>#2006242</t>
  </si>
  <si>
    <t>https://search.corpuskiparla.it/corpus/player/player.cgi?code=BOA3001&amp;begin=2544324&amp;end=2546962</t>
  </si>
  <si>
    <t>è troppo fantastico per essere considerato bello o brutto // esatto ma anche edward mani di forbice // sì non è // che poi</t>
  </si>
  <si>
    <t>che io nella fabbrica di cioccolato // la mamma di charlie è bellatrix // è è sì lho so loro hanno fatto // ha ha lavorato mh</t>
  </si>
  <si>
    <t>#2007002</t>
  </si>
  <si>
    <t>https://search.corpuskiparla.it/corpus/player/player.cgi?code=BOA3001&amp;begin=2854636&amp;end=2858509</t>
  </si>
  <si>
    <t>// lui sì era bellissimissimo // ma sul serio // johnny depp tanta roba // // anche ashton kutcher è molto bello // lo</t>
  </si>
  <si>
    <t>chi non è brutto anche quello che fa voldemort // sì // se lo vedi in panni normali è belloccio // eh sì sì sì sì // ralph</t>
  </si>
  <si>
    <t>#2007295</t>
  </si>
  <si>
    <t>https://search.corpuskiparla.it/corpus/player/player.cgi?code=BOA3001&amp;begin=2960479&amp;end=2963674</t>
  </si>
  <si>
    <t>è truccato ma anche il viso si prestava bene a // sì sì // anche sai chi è bellissimo // quello che fa mh eh thor // eh // // eh eh</t>
  </si>
  <si>
    <t>// // mica male eh // per niente ma non lo so io // // no no per niente // e invece ah no ti se~ ti è morto il telefono esat~ // sì //</t>
  </si>
  <si>
    <t>#2008231</t>
  </si>
  <si>
    <t>https://search.corpuskiparla.it/corpus/player/player.cgi?code=BOA3001&amp;begin=3266993&amp;end=3278335</t>
  </si>
  <si>
    <t>subito quando eh tipo e che io sono italiana lui mi fa ah il padrino okay ora non è che abbiamo solo la mafia in italia</t>
  </si>
  <si>
    <t>com'' è // sì // // // ma tutti così // però // berlusconi mafia // eh mh // // // sì // sì lui adora il padrino proprio lui è</t>
  </si>
  <si>
    <t>KPN018</t>
  </si>
  <si>
    <t>#2010265</t>
  </si>
  <si>
    <t>doc#271</t>
  </si>
  <si>
    <t>https://search.corpuskiparla.it/corpus/player/player.cgi?code=KPN018&amp;begin=8750&amp;end=11270</t>
  </si>
  <si>
    <t>PKP146</t>
  </si>
  <si>
    <t>https://search.corpuskiparla.it/corpus/conversations/KPN018.html</t>
  </si>
  <si>
    <t>https://search.corpuskiparla.it/corpus/conversations/KPN018_jefferson.html</t>
  </si>
  <si>
    <t>in biblioteca // sì sì sì // scusa noi dovremmo andare ora // bene // sì sulla carne secca // brava // eh // #vara // e insomma</t>
  </si>
  <si>
    <t>com''è fatta questa carne secca sì o no? // sì perché no aspetta deve stare all''aria // // deve stare all''aria // non</t>
  </si>
  <si>
    <t>BOD2019</t>
  </si>
  <si>
    <t>#2018640</t>
  </si>
  <si>
    <t>doc#273</t>
  </si>
  <si>
    <t>https://search.corpuskiparla.it/corpus/player/player.cgi?code=BOD2019&amp;begin=461699&amp;end=464939</t>
  </si>
  <si>
    <t>BO119</t>
  </si>
  <si>
    <t>https://search.corpuskiparla.it/corpus/conversations/BOD2019.html</t>
  </si>
  <si>
    <t>https://search.corpuskiparla.it/corpus/conversations/BOD2019_jefferson.html</t>
  </si>
  <si>
    <t>poi // lo so // in realtà cioè t'' accorgi // eh sì t'' accorgi perché eh sì // quando non devi fa le corse con gli autobus</t>
  </si>
  <si>
    <t>// tipo per esempio io non so che se prova a dover prende l'' autobus per carica'' il trolley e arriva'' a casa non l'' ho mai</t>
  </si>
  <si>
    <t>#2020967</t>
  </si>
  <si>
    <t>https://search.corpuskiparla.it/corpus/player/player.cgi?code=BOD2019&amp;begin=1131774&amp;end=1135766</t>
  </si>
  <si>
    <t>BO122</t>
  </si>
  <si>
    <t>// però // è sempre xx con le jam session e // avere anche un po'' // le palle di prendere e andare e far sentire quello che</t>
  </si>
  <si>
    <t>fare // è veramente l'' altro cinquanta per cento né un punto in più né un punto in meno // la pratica // esatto sì sì //</t>
  </si>
  <si>
    <t>#2023001</t>
  </si>
  <si>
    <t>https://search.corpuskiparla.it/corpus/player/player.cgi?code=BOD2019&amp;begin=1733931&amp;end=1737500</t>
  </si>
  <si>
    <t>non a a studiare una cosa // certo // sempre per fare magari un altro giro di conoscenze // esatto esatto // però quindi non</t>
  </si>
  <si>
    <t>se effettivamen~ vabbè adesso rimani a bologna in realtà // non c'' ho idea // rimango a bologna ma non ho idea di come di</t>
  </si>
  <si>
    <t>#2023661</t>
  </si>
  <si>
    <t>https://search.corpuskiparla.it/corpus/player/player.cgi?code=BOD2019&amp;begin=1919552&amp;end=1926330</t>
  </si>
  <si>
    <t>sempre in giro in realtà // esatto sì // sì sì // il be~ il bello è quello poi // anche perché poi vabbè avendo un gruppo tuo</t>
  </si>
  <si>
    <t>che i periodi so schematizzati abbastanza in modo lineare quindi // cioè più o meno // quindi quando io so che quel mese</t>
  </si>
  <si>
    <t>#2024403</t>
  </si>
  <si>
    <t>https://search.corpuskiparla.it/corpus/player/player.cgi?code=KPS006&amp;begin=181548&amp;end=182919</t>
  </si>
  <si>
    <t>lei eh // ah quindi // quindi avrà ventiquattr''anni venticinque // quanti ne avrà ? // più o meno quanto te // lo lo sai // lo</t>
  </si>
  <si>
    <t>quello che vai facendo // cioè nel senso // forse un altro poco di sale però // a~ // anche no non ne mettere // allora //</t>
  </si>
  <si>
    <t>#2026499</t>
  </si>
  <si>
    <t>https://search.corpuskiparla.it/corpus/player/player.cgi?code=KPS006&amp;begin=993883&amp;end=996281</t>
  </si>
  <si>
    <t>mi avrebbe fatto una torticina piccola // addirittura? // sì lo disse // xxxx compì diciott''anni // e disse lui // lo</t>
  </si>
  <si>
    <t>che la mamma ha fatto una torta buonissima? // mi ricordo c''ero pure io // ah // ah lui ha fatto diciott''anni mo? // sì // lui</t>
  </si>
  <si>
    <t>#2028441</t>
  </si>
  <si>
    <t>https://search.corpuskiparla.it/corpus/player/player.cgi?code=KPS006&amp;begin=1763064&amp;end=1764116</t>
  </si>
  <si>
    <t>// è come lo prendi // prendi di più perchè ti esponi // sì // al nemico // // // devo lavare i capelli oggi // mh // pure io //</t>
  </si>
  <si>
    <t>che devo fare io? // tu ti devi lava~ devi lavare la test all''asino // sai che devo fare io? // cosa devi fare? // // devi</t>
  </si>
  <si>
    <t>#2031898</t>
  </si>
  <si>
    <t>https://search.corpuskiparla.it/corpus/player/player.cgi?code=PBB005&amp;begin=702412&amp;end=706182</t>
  </si>
  <si>
    <t>BOI016</t>
  </si>
  <si>
    <t>// c''è questa fase in cui st~ // tutte le volte si va in centro che bello il centro come si sta bene // perchè c''è la vita tu lo</t>
  </si>
  <si>
    <t>bene cioè il centro a bologna // esatto vita notturna eccetera tranquilla poi insomma // loro si spostano // con i mezzi</t>
  </si>
  <si>
    <t>#2034130</t>
  </si>
  <si>
    <t>https://search.corpuskiparla.it/corpus/player/player.cgi?code=PBB005&amp;begin=1252970&amp;end=1258305</t>
  </si>
  <si>
    <t>un po'' di abbellire qu~ // barca pilastro erano i quartieri // per quello che si può insomma // sì // e invece allora</t>
  </si>
  <si>
    <t>c''erano delle strade ancora non asfaltate quando sono venuta ad abitare qua tante strade non erano anco~ quindi //</t>
  </si>
  <si>
    <t>#2034591</t>
  </si>
  <si>
    <t>https://search.corpuskiparla.it/corpus/player/player.cgi?code=PBB005&amp;begin=1369560&amp;end=1370083</t>
  </si>
  <si>
    <t>lontani // però sai non ti davano una bella impressione insomma hai capito poi in realtà sono xx cioè e // ma va là dai // e</t>
  </si>
  <si>
    <t>che // son dei ragazzini // mica e xx // però c''è anche un po'' di pregiudizio xxx non so xxxx capito? // xxx un po'' più allerta</t>
  </si>
  <si>
    <t>#2034661</t>
  </si>
  <si>
    <t>https://search.corpuskiparla.it/corpus/player/player.cgi?code=PBB005&amp;begin=1385670&amp;end=1388257</t>
  </si>
  <si>
    <t>magari fumano eccettera così hai la la figlia che deve passar lì magari dici no la vengo a prendere io perché // eh non si</t>
  </si>
  <si>
    <t>mai insomma ecco mh // anche solo per i commenti magari non necessariamente per i maschi x cioè poi perché non sai mai chi</t>
  </si>
  <si>
    <t>#2036601</t>
  </si>
  <si>
    <t>https://search.corpuskiparla.it/corpus/player/player.cgi?code=PBB005&amp;begin=1864440&amp;end=1870606</t>
  </si>
  <si>
    <t>ecologica di c o due così // mh sì // se lasci a casa l~ soltanto il venti per cento delle macchine tutti i giorni // ma</t>
  </si>
  <si>
    <t>adesso poi col covid tanta gente ha cominciato con la smart eh però il traffico è sempre quello // mh // sì ma prima o poi si</t>
  </si>
  <si>
    <t>#2037084</t>
  </si>
  <si>
    <t>https://search.corpuskiparla.it/corpus/player/player.cgi?code=PBB005&amp;begin=1984064&amp;end=1987853</t>
  </si>
  <si>
    <t>mettevo anche un''ora e mezza a tornare a casa la sera per fare anche di quindici chi~ xx anche meno secondo me // perché poi</t>
  </si>
  <si>
    <t>con la fiera adesso n~ non so se sono un po'' calate o no // eh con la fiera sai // xx le fiere non ci son più state xxxxx // tu</t>
  </si>
  <si>
    <t>#2037104</t>
  </si>
  <si>
    <t>https://search.corpuskiparla.it/corpus/player/player.cgi?code=PBB005&amp;begin=1988064&amp;end=1989862</t>
  </si>
  <si>
    <t>chi~ xx anche meno secondo me // perché poi sai con la fiera adesso n~ non so se sono un po'' calate o no // eh con la fiera</t>
  </si>
  <si>
    <t>// xx le fiere non ci son più state xxxxx // tu cerchi anche di schivare però tutti cercano di schivare quindi // fai le</t>
  </si>
  <si>
    <t>#2037422</t>
  </si>
  <si>
    <t>https://search.corpuskiparla.it/corpus/player/player.cgi?code=PBB005&amp;begin=2073147&amp;end=2074982</t>
  </si>
  <si>
    <t>ci mancherebbe altro // però anche loro ho visto che con più trovano vicini // eh ma qua a bologna non ce la fanno xxx // però</t>
  </si>
  <si>
    <t>solo se trovi a vado // che c''è la stazione xx capito cioè magari parti da monzuno che costa poco poi dopo vedi che a sasso</t>
  </si>
  <si>
    <t>#2037560</t>
  </si>
  <si>
    <t>https://search.corpuskiparla.it/corpus/player/player.cgi?code=PBB005&amp;begin=2105606&amp;end=2111184</t>
  </si>
  <si>
    <t>c''è poco da fare // mhmh sì deve piacerti proprio dev~ x // deve piacerti o xx delle particolari esigenze perché poi</t>
  </si>
  <si>
    <t>i figli la scuola diventa eh // eh in pianura ti muovi molto meglio insomma c''è poco da fare // sì // sì // e per invece le</t>
  </si>
  <si>
    <t>#2038608</t>
  </si>
  <si>
    <t>https://search.corpuskiparla.it/corpus/player/player.cgi?code=PBB005&amp;begin=2392015&amp;end=2394779</t>
  </si>
  <si>
    <t>quello che dicevo prima perché tante persone // soprattutto dal sud vengono qua perché qui // se hai voglia di lavorare e</t>
  </si>
  <si>
    <t>fare qualcosa x // in tre giorni trovi da lavorare // se devi un po'' adattarti devi un po'' // secondo me il mondo è molto</t>
  </si>
  <si>
    <t>#2038852</t>
  </si>
  <si>
    <t>https://search.corpuskiparla.it/corpus/player/player.cgi?code=PBB005&amp;begin=2467463&amp;end=2470787</t>
  </si>
  <si>
    <t>metà prov~ con partita iva metà // eh // dipendenti // con le provvigio~ insomma quindi metà dipendente metà no // quindi</t>
  </si>
  <si>
    <t>fai sempre un pochino più di fatica cioè // è proprio molto diverso adesso il mondo del lavoro // sì // mh // poi tipo anche</t>
  </si>
  <si>
    <t>#2038953</t>
  </si>
  <si>
    <t>https://search.corpuskiparla.it/corpus/player/player.cgi?code=PBB005&amp;begin=2494294&amp;end=2500581</t>
  </si>
  <si>
    <t>far l''operativo // potenziano le filiali online e basta // quindi v~ si va sempre più sul commerciale quindi all''inizio</t>
  </si>
  <si>
    <t>il commerciale adesso ci danno dei premi di redditività // eh in base al tuo inquadramento però pian piano x più si andrà</t>
  </si>
  <si>
    <t>#2039238</t>
  </si>
  <si>
    <t>https://search.corpuskiparla.it/corpus/player/player.cgi?code=PBB005&amp;begin=2578294&amp;end=2581209</t>
  </si>
  <si>
    <t>euro al mese guarda anch''io vado a fare il saldatore o vado a fare se fossi capace // o fare quiei mestieri lì // mh // però</t>
  </si>
  <si>
    <t>qua a bologna quante scuole tecniche ci sono il belluzzi // e le aldini poi alla fine eh e le salesiane mettici anche</t>
  </si>
  <si>
    <t>#2039351</t>
  </si>
  <si>
    <t>https://search.corpuskiparla.it/corpus/player/player.cgi?code=PBB005&amp;begin=2607000&amp;end=2607401</t>
  </si>
  <si>
    <t>n''era uno su dieci // anche quello secondo me è sintomo di di mh // bho // mh poca voglia di fare insomma perché // mhmh // ma</t>
  </si>
  <si>
    <t>// il reddito di cittadinanza ha poi a ha peggiorato tutto // siamo poi anche noi così xxx alla fine anche i nostri figli</t>
  </si>
  <si>
    <t>#2039387</t>
  </si>
  <si>
    <t>https://search.corpuskiparla.it/corpus/player/player.cgi?code=PBB005&amp;begin=2612456&amp;end=2615853</t>
  </si>
  <si>
    <t>tutto // siamo poi anche noi così xxx alla fine anche i nostri figli abbiamo x // io son stato disoccupato un giorno tu lo</t>
  </si>
  <si>
    <t>xxxx // ho capito però anche noi abbiamo // facendo delle fatiche // cioè alla fine cosa dici xxx la scuola dell''obbligo</t>
  </si>
  <si>
    <t>#2039632</t>
  </si>
  <si>
    <t>https://search.corpuskiparla.it/corpus/player/player.cgi?code=PBB005&amp;begin=2672059&amp;end=2674809</t>
  </si>
  <si>
    <t>// che non ci andava nessuno // dopodiché cos''han fatto hanno portato ai cinque anni anche il professionale // quindi</t>
  </si>
  <si>
    <t>alla fine a~ se fai il professionale cosa dici? // mh // un minimo o~ ho acquisito comunque un minimo di qualifica // che</t>
  </si>
  <si>
    <t>#2039941</t>
  </si>
  <si>
    <t>https://search.corpuskiparla.it/corpus/player/player.cgi?code=PBB005&amp;begin=2748206&amp;end=2753015</t>
  </si>
  <si>
    <t>vai a lavorare perché noi non è che possiamo permetterci di mantenerti // mh // hai capito xx cioè adesso invece // sì //</t>
  </si>
  <si>
    <t>tuo figlio viene bocciato una volta dici vabbè pazienza lo posso ancora mantenere un po'' // insomma vai un pochino più</t>
  </si>
  <si>
    <t>PBB031</t>
  </si>
  <si>
    <t>#2051271</t>
  </si>
  <si>
    <t>doc#277</t>
  </si>
  <si>
    <t>https://search.corpuskiparla.it/corpus/player/player.cgi?code=PBB031&amp;begin=1343230&amp;end=1347634</t>
  </si>
  <si>
    <t>BOI108</t>
  </si>
  <si>
    <t>https://search.corpuskiparla.it/corpus/conversations/PBB031.html</t>
  </si>
  <si>
    <t>https://search.corpuskiparla.it/corpus/conversations/PBB031_jefferson.html</t>
  </si>
  <si>
    <t>tanti fattori più immigrati // mhmh // più gente che ha perso il lavoro più tar~ più di tutto cioè // esiste esiste // eh</t>
  </si>
  <si>
    <t>più dive~ rimani provinciale più magari è più facile // invece di riconoscere più // diventi // eh una città che attira</t>
  </si>
  <si>
    <t>PBC021</t>
  </si>
  <si>
    <t>#2058438</t>
  </si>
  <si>
    <t>doc#278</t>
  </si>
  <si>
    <t>https://search.corpuskiparla.it/corpus/player/player.cgi?code=PBC021&amp;begin=573575&amp;end=577005</t>
  </si>
  <si>
    <t>BOI051</t>
  </si>
  <si>
    <t>https://search.corpuskiparla.it/corpus/conversations/PBC021.html</t>
  </si>
  <si>
    <t>https://search.corpuskiparla.it/corpus/conversations/PBC021_jefferson.html</t>
  </si>
  <si>
    <t>era bel~ poi si giocava a nascondino insomma sì // eh che giochi che giochi facevate? // si giocava a nascondino anellin~</t>
  </si>
  <si>
    <t>cos~ cos''è anellina? // no // coi sassi // cos''è campana? // no cinque sassi le le buttavi per terra poi le dovevi prendere</t>
  </si>
  <si>
    <t>#2062784</t>
  </si>
  <si>
    <t>https://search.corpuskiparla.it/corpus/player/player.cgi?code=PBC021&amp;begin=2014706&amp;end=2018136</t>
  </si>
  <si>
    <t>BOR012</t>
  </si>
  <si>
    <t>siamo stati a praga // eh // cioè lì se nevica o o piove // non s~ eh lì ti becchi tutto eh // non c''è niente // ehm // ah beh</t>
  </si>
  <si>
    <t>qual è l''origine o lo scopo dei portici // per prote~ // no no no no // per proteggersi non so // non lo so perchè // non lo so</t>
  </si>
  <si>
    <t>#2063020</t>
  </si>
  <si>
    <t>https://search.corpuskiparla.it/corpus/player/player.cgi?code=PBC021&amp;begin=2093618&amp;end=2095738</t>
  </si>
  <si>
    <t>fatto però // sì? // però erano già meglio comunque non eran come oggi // sì beh quand''era~ eran molt~ molto più nuovi //</t>
  </si>
  <si>
    <t>qual è il problema dei portici? // che quando piove o quando nevica si scivola molto // eh // perchè sotto sono eh c''è un</t>
  </si>
  <si>
    <t>#2064172</t>
  </si>
  <si>
    <t>https://search.corpuskiparla.it/corpus/player/player.cgi?code=PBC021&amp;begin=2479375&amp;end=2482535</t>
  </si>
  <si>
    <t>mia nonna mi portava a comacchio // era bello il mare? // eh // rispetto a ora sicuramente // non mi ci si faceva tanto caso</t>
  </si>
  <si>
    <t>com''è che // // facevate il bagno? // sì sì certo // ehm // quindi andavi solo lì o cambiavi? // no no siam sempre andate lì da</t>
  </si>
  <si>
    <t>#2065479</t>
  </si>
  <si>
    <t>https://search.corpuskiparla.it/corpus/player/player.cgi?code=PBC021&amp;begin=2902291&amp;end=2908163</t>
  </si>
  <si>
    <t>poi non lo so non // ehm // non so magari i tuoi genitori ti han raccontato dopo qualcosa // eh della guerra o? // beh</t>
  </si>
  <si>
    <t>loro l''han vissuta cioè più che altro han vissuto la miseria della guerra perchè // sì // combat~ combattere si</t>
  </si>
  <si>
    <t>BOD2008</t>
  </si>
  <si>
    <t>#2066972</t>
  </si>
  <si>
    <t>doc#279</t>
  </si>
  <si>
    <t>https://search.corpuskiparla.it/corpus/player/player.cgi?code=BOD2008&amp;begin=310337&amp;end=313621</t>
  </si>
  <si>
    <t>https://search.corpuskiparla.it/corpus/conversations/BOD2008.html</t>
  </si>
  <si>
    <t>https://search.corpuskiparla.it/corpus/conversations/BOD2008_jefferson.html</t>
  </si>
  <si>
    <t>// le altre stanze sono abbastanza neutrali la cucina mi piace molto perché mi piace mangiare ma non per altro // // ma</t>
  </si>
  <si>
    <t>anche cucinare oppure ti piace mangiare quel che trovi? // sì sì sì no sono abbastanza appassionato di cucina mio padre</t>
  </si>
  <si>
    <t>#2080397</t>
  </si>
  <si>
    <t>https://search.corpuskiparla.it/corpus/player/player.cgi?code=PTD004&amp;begin=2528714&amp;end=2530190</t>
  </si>
  <si>
    <t>un po'' // una vecchia hippie // // e allora mi fa ridere perché dice no // dice invece del del tuo affezionato supereroe //</t>
  </si>
  <si>
    <t>spiderman di quartiere // dice noi abbiamo i nostri af~ affezionati pusher di quartiere // // e allora dice hai solo</t>
  </si>
  <si>
    <t>#2081102</t>
  </si>
  <si>
    <t>https://search.corpuskiparla.it/corpus/player/player.cgi?code=PTD004&amp;begin=2715600&amp;end=2717220</t>
  </si>
  <si>
    <t>eccetera // // c''erano due bar su via di nanni // che in effetti una don~ una ragazza da sola passarci davanti // c''avevi</t>
  </si>
  <si>
    <t>// ma non erano malavitosi era più xxx // era // sul terroncello quella che magari ti fanno le battute // eh era sul</t>
  </si>
  <si>
    <t>#2081694</t>
  </si>
  <si>
    <t>https://search.corpuskiparla.it/corpus/player/player.cgi?code=PTD004&amp;begin=2858710&amp;end=2861447</t>
  </si>
  <si>
    <t>latinoamericani // infatti hanno messo anche negozi loro // mh mh mh mh // so che per esempio c''è la libreria belgravia //</t>
  </si>
  <si>
    <t>quella con cui facciamo anche progetti con la scuola // che è una libreria // mhmh // che si trova in una traversa via</t>
  </si>
  <si>
    <t>#2085395</t>
  </si>
  <si>
    <t>https://search.corpuskiparla.it/corpus/player/player.cgi?code=PTD004&amp;begin=3921280&amp;end=3921930</t>
  </si>
  <si>
    <t>TOI044</t>
  </si>
  <si>
    <t>no // nei giardini questi immigrati // eh // di colore che per esempio io che porto il cane // che stanno cercando di //</t>
  </si>
  <si>
    <t>che quelli // di pulire // di pulire // sì sì sì sì sì eh // e questo è un nuovo fenomeno che sta venendo nella mia zona // sì //</t>
  </si>
  <si>
    <t>#2086506</t>
  </si>
  <si>
    <t>https://search.corpuskiparla.it/corpus/player/player.cgi?code=PTD004&amp;begin=4137200&amp;end=4141310</t>
  </si>
  <si>
    <t>TOI042</t>
  </si>
  <si>
    <t>// curiosa // eh // i canettieri che parlano del cane // // // van tutti alla pellerina // il mio cane è diventato stitico</t>
  </si>
  <si>
    <t>queste cose no // // // però è un modo perché ci sono di tutte le classi sociali e di tutti xxx cioè // // eh certo // eh sì //</t>
  </si>
  <si>
    <t>PTD014</t>
  </si>
  <si>
    <t>#2088552</t>
  </si>
  <si>
    <t>doc#281</t>
  </si>
  <si>
    <t>https://search.corpuskiparla.it/corpus/player/player.cgi?code=PTD014&amp;begin=253397&amp;end=262800</t>
  </si>
  <si>
    <t>TOI112</t>
  </si>
  <si>
    <t>https://search.corpuskiparla.it/corpus/conversations/PTD014.html</t>
  </si>
  <si>
    <t>https://search.corpuskiparla.it/corpus/conversations/PTD014_jefferson.html</t>
  </si>
  <si>
    <t>un come dire? u~ una mh // ehm ti lascia mh // ehm una cert~ un''importanza no? cioè almeno hai vissuto per qualcosa almeno</t>
  </si>
  <si>
    <t>che ci sarà qualcuno che viene dopo di te perchè poi a te // cioè se non sono i figli per il resto che senso ha? se non è per i</t>
  </si>
  <si>
    <t>PTB026</t>
  </si>
  <si>
    <t>#2095829</t>
  </si>
  <si>
    <t>doc#282</t>
  </si>
  <si>
    <t>https://search.corpuskiparla.it/corpus/player/player.cgi?code=PTB026&amp;begin=2495110&amp;end=2499103</t>
  </si>
  <si>
    <t>TOI118</t>
  </si>
  <si>
    <t>https://search.corpuskiparla.it/corpus/conversations/PTB026.html</t>
  </si>
  <si>
    <t>https://search.corpuskiparla.it/corpus/conversations/PTB026_jefferson.html</t>
  </si>
  <si>
    <t>eh guarda // però le feste dell''aria le han fatte qua a collegno molto belle molto belle // ma non le fanno più // eh gianna?</t>
  </si>
  <si>
    <t>cosa costa far venire le frecce tricolori far venire // eh // poi purtroppo // a collegno siamo tutti poveri // abbiamo la</t>
  </si>
  <si>
    <t>PBB014</t>
  </si>
  <si>
    <t>#2109043</t>
  </si>
  <si>
    <t>doc#284</t>
  </si>
  <si>
    <t>https://search.corpuskiparla.it/corpus/player/player.cgi?code=PBB014&amp;begin=436227&amp;end=440488</t>
  </si>
  <si>
    <t>BOI041</t>
  </si>
  <si>
    <t>https://search.corpuskiparla.it/corpus/conversations/PBB014.html</t>
  </si>
  <si>
    <t>https://search.corpuskiparla.it/corpus/conversations/PBB014_jefferson.html</t>
  </si>
  <si>
    <t>lì non è bello // e se potessi scegliere una zona di bologna dove vivere? // uh che domanda // eh // mah eh non lo so bologna</t>
  </si>
  <si>
    <t>che io bologna bologna non ci ho mai vissuto e // mh // forse saragozza è un quartiere che mi piace saragozza mi piace c''è</t>
  </si>
  <si>
    <t>#2109394</t>
  </si>
  <si>
    <t>https://search.corpuskiparla.it/corpus/player/player.cgi?code=PBB014&amp;begin=519741&amp;end=523938</t>
  </si>
  <si>
    <t>papà del mio allora // moroso fidanzato di allora era un collega // un giorno mi viene e mi fa sai che fan~ io cercavo lavoro</t>
  </si>
  <si>
    <t>che fanno un concorso prova a farlo // m''han preso // // e sono qui // ehm // visto che prima appunto parlavo con la tua</t>
  </si>
  <si>
    <t>#2112883</t>
  </si>
  <si>
    <t>https://search.corpuskiparla.it/corpus/player/player.cgi?code=PBB014&amp;begin=1463280&amp;end=1468045</t>
  </si>
  <si>
    <t>// un benzinaio ma di quelli grandi eh // si è andato a stampa~ contro il pallone con scritto sopra la marca del benzianio</t>
  </si>
  <si>
    <t>quei grossi // sì // il benzinaio era di questo colore qua mi fa se non si schianta lì che dopo è andato nel fosso mi fa mi</t>
  </si>
  <si>
    <t>#2113485</t>
  </si>
  <si>
    <t>https://search.corpuskiparla.it/corpus/player/player.cgi?code=PBB014&amp;begin=1619638&amp;end=1624600</t>
  </si>
  <si>
    <t>dall''inizio dell''anno per tutto l''anno // mh // a bologna // mh // noi a metà anno però insomma alla fine le sappiamo // li</t>
  </si>
  <si>
    <t>sai tutti i tuoi riposi sì non sai il turno ecco quello lì lo~ il turno lo scopri un mese per l''altro // mhmh // mentre noi</t>
  </si>
  <si>
    <t>#2113486</t>
  </si>
  <si>
    <t>dell''anno per tutto l''anno // mh // a bologna // mh // noi a metà anno però insomma alla fine le sappiamo // li sai</t>
  </si>
  <si>
    <t>tutti i tuoi riposi sì non sai il turno ecco quello lì lo~ il turno lo scopri un mese per l''altro // mhmh // mentre noi</t>
  </si>
  <si>
    <t>#2113493</t>
  </si>
  <si>
    <t>l''anno // mh // a bologna // mh // noi a metà anno però insomma alla fine le sappiamo // li sai sai tutti i tuoi riposi sì non</t>
  </si>
  <si>
    <t>il turno ecco quello lì lo~ il turno lo scopri un mese per l''altro // mhmh // mentre noi nell''extraurbano con tutta una</t>
  </si>
  <si>
    <t>#2114262</t>
  </si>
  <si>
    <t>https://search.corpuskiparla.it/corpus/player/player.cgi?code=PBB014&amp;begin=1823138&amp;end=1825594</t>
  </si>
  <si>
    <t>tanto // // mhmh // // e allora visto che comunque in casa lo pratichi parecchio ci sono delle parole // eh // che magari</t>
  </si>
  <si>
    <t>in dialetto ma non sai in italiano? // cioè que~ quella parola che sei talmente abituato a dirlo in dialetto // guarda è</t>
  </si>
  <si>
    <t>#2114267</t>
  </si>
  <si>
    <t>// e allora visto che comunque in casa lo pratichi parecchio ci sono delle parole // eh // che magari sai in dialetto ma non</t>
  </si>
  <si>
    <t>in italiano? // cioè que~ quella parola che sei talmente abituato a dirlo in dialetto // guarda è successo stamattina //</t>
  </si>
  <si>
    <t>#2119995</t>
  </si>
  <si>
    <t>https://search.corpuskiparla.it/corpus/player/player.cgi?code=PTA006&amp;begin=1690747&amp;end=1692801</t>
  </si>
  <si>
    <t>che tipo di // è la prima uscita della tangenziale villastellone // eh co~ te lo dico per dire // dimmi // a lonate // vare~</t>
  </si>
  <si>
    <t>quella zona tipo rho // perfetto va bene // xxxx // o rho // no po~ // // va bene va bene va bene ho capito dai // vicino a</t>
  </si>
  <si>
    <t>#2120776</t>
  </si>
  <si>
    <t>https://search.corpuskiparla.it/corpus/player/player.cgi?code=PTA006&amp;begin=1932019&amp;end=1937810</t>
  </si>
  <si>
    <t>// infatti // cioè vabbè lasciamo perdere va // ma non è che l''ho detto io che la volevo fare eh // però quello</t>
  </si>
  <si>
    <t>cos''è anche lì? eh generato dal dal dagli agnelli cioè dovevano vendere le macchine // torino rispetto ad altre città //</t>
  </si>
  <si>
    <t>#2126386</t>
  </si>
  <si>
    <t>https://search.corpuskiparla.it/corpus/player/player.cgi?code=PTA006&amp;begin=3552915&amp;end=3555400</t>
  </si>
  <si>
    <t>era? // era perugia ascoli tra l''altro // // bella // // molto no scusa eh non so se era perugia torino // o perugia //</t>
  </si>
  <si>
    <t>che non so se sono indeciso sul dirlo // perugia torino mi sembra strano mica era in bi // forse nel duemila e quattro no // è</t>
  </si>
  <si>
    <t>#2127422</t>
  </si>
  <si>
    <t>https://search.corpuskiparla.it/corpus/player/player.cgi?code=PTA006&amp;begin=3859725&amp;end=3860460</t>
  </si>
  <si>
    <t>sketch al mattino quando mi sveglio // siamo andati tipo dieci giorni fa a vedere // // no no io a me // // beh così // no vabbè</t>
  </si>
  <si>
    <t>// però gli faccio vedere // c''è una mh // una mostra a milano gliel''hai detto? // ah sì me l''avevi detto // sì gliel''ho</t>
  </si>
  <si>
    <t>PBB006</t>
  </si>
  <si>
    <t>#2134819</t>
  </si>
  <si>
    <t>doc#287</t>
  </si>
  <si>
    <t>https://search.corpuskiparla.it/corpus/player/player.cgi?code=PBB006&amp;begin=1978337&amp;end=1983513</t>
  </si>
  <si>
    <t>BOI020</t>
  </si>
  <si>
    <t>https://search.corpuskiparla.it/corpus/conversations/PBB006.html</t>
  </si>
  <si>
    <t>https://search.corpuskiparla.it/corpus/conversations/PBB006_jefferson.html</t>
  </si>
  <si>
    <t>della biblioteca in cui si sonoo scelte xxxx // poi // e lei sa delle cose saltano fuori poi a volte come delle xx no? dice</t>
  </si>
  <si>
    <t>che // quando io lavoravo qui anzi qui poi la biblioteca aveva un''altra sede perché ha avuto // diversi spostamenti sedi</t>
  </si>
  <si>
    <t>PBA026</t>
  </si>
  <si>
    <t>#2142754</t>
  </si>
  <si>
    <t>doc#289</t>
  </si>
  <si>
    <t>https://search.corpuskiparla.it/corpus/player/player.cgi?code=PBA026&amp;begin=1062462&amp;end=1065846</t>
  </si>
  <si>
    <t>BOI105</t>
  </si>
  <si>
    <t>https://search.corpuskiparla.it/corpus/conversations/PBA026.html</t>
  </si>
  <si>
    <t>https://search.corpuskiparla.it/corpus/conversations/PBA026_jefferson.html</t>
  </si>
  <si>
    <t>di navigazione aerea // il mh il vicepreside // quindi un po'' la confidenza di avercelo come prof // mhmh // e un po'' // eh</t>
  </si>
  <si>
    <t>stai sull''attenti perchè è il vicepreside no? // quando gli dicevamo di dei problemi che c''erano o con la scuola o</t>
  </si>
  <si>
    <t>PBB019</t>
  </si>
  <si>
    <t>#2152675</t>
  </si>
  <si>
    <t>doc#291</t>
  </si>
  <si>
    <t>https://search.corpuskiparla.it/corpus/player/player.cgi?code=PBB019&amp;begin=704420&amp;end=708340</t>
  </si>
  <si>
    <t>BOI057</t>
  </si>
  <si>
    <t>https://search.corpuskiparla.it/corpus/conversations/PBB019.html</t>
  </si>
  <si>
    <t>https://search.corpuskiparla.it/corpus/conversations/PBB019_jefferson.html</t>
  </si>
  <si>
    <t>// mhmh // cioè io vedo non so se è un''impressione mia magari una volta secondo me ci sono mh // tantissi~ a anche perch~ no</t>
  </si>
  <si>
    <t>perchè? // perchè io probabilmente prima // cioè considera che io ho cominciato a lavorare // e sono andata giù // sono</t>
  </si>
  <si>
    <t>#2157308</t>
  </si>
  <si>
    <t>https://search.corpuskiparla.it/corpus/player/player.cgi?code=TOA3011&amp;begin=319606&amp;end=322365</t>
  </si>
  <si>
    <t>TO088</t>
  </si>
  <si>
    <t>lice~ all'' usuf~ all'' università che non riescono a studiare da sole a casa // e hanno bisogno di ripetizione // sì sì // ma</t>
  </si>
  <si>
    <t>che io sono sono mo~lto autis~ // non hai mai preso una lezione scusami // il massimo che facevi era chiedere a me di venire</t>
  </si>
  <si>
    <t>#2157730</t>
  </si>
  <si>
    <t>https://search.corpuskiparla.it/corpus/player/player.cgi?code=TOA3011&amp;begin=422135&amp;end=426075</t>
  </si>
  <si>
    <t>TO087</t>
  </si>
  <si>
    <t>ma quelli // soprattutto di linguistica che cioè che vogliono avere la procedura e basta dico // ma figlio mio poi dopo se</t>
  </si>
  <si>
    <t>solo la procedura sono quelli che // ma solo xx? // e intanto magari loro vanno // meglio perché imparano tutto a memoria</t>
  </si>
  <si>
    <t>#2158367</t>
  </si>
  <si>
    <t>https://search.corpuskiparla.it/corpus/player/player.cgi?code=TOA3011&amp;begin=557074&amp;end=558915</t>
  </si>
  <si>
    <t>che si fanno // eh è quello perché tu dici // ma non è // figlia mia se non capisci quello il sanscrito come ci // comunque</t>
  </si>
  <si>
    <t>che una mia amica // le stavo spiegando a una mia amica che facciamo anche queste cose qua // questa qua si è presa bene // e</t>
  </si>
  <si>
    <t>#2158418</t>
  </si>
  <si>
    <t>https://search.corpuskiparla.it/corpus/player/player.cgi?code=TOA3011&amp;begin=567540&amp;end=569426</t>
  </si>
  <si>
    <t>// e ha iniziato a chiedermi di metterle un una lista di parole // e lei faceva sto giochino e io glieli correggevo // ma</t>
  </si>
  <si>
    <t>che anche anche il mio ragazzo lo fa~ // lei divertitissima // anche xx? // anche una mia amica ha visto sti alberi // e ha</t>
  </si>
  <si>
    <t>#2159256</t>
  </si>
  <si>
    <t>https://search.corpuskiparla.it/corpus/player/player.cgi?code=TOA3011&amp;begin=750162&amp;end=752119</t>
  </si>
  <si>
    <t>no no tutto bene xx belli gli scout // gli sta bene così // xx ci siano scout // no comunque sai qual è il proble~ meno male //</t>
  </si>
  <si>
    <t>qual è il problema degli scout? // è che io ho un coinquilino scout mi parla di scout tutti i giorni // ma sono una setta sono</t>
  </si>
  <si>
    <t>#2161657</t>
  </si>
  <si>
    <t>https://search.corpuskiparla.it/corpus/player/player.cgi?code=TOA3011&amp;begin=1313686&amp;end=1318527</t>
  </si>
  <si>
    <t>// eh ma il problema è che è molto in forse questa cosa che mio papà ci posso lasciare una macchina // perché? // ma secon~</t>
  </si>
  <si>
    <t>cosa abbiam pensato? che secondo noi risparmiamo a comprare una macchina usata // perché forse gli serve // e usarla so~</t>
  </si>
  <si>
    <t>BOD2014</t>
  </si>
  <si>
    <t>#2163876</t>
  </si>
  <si>
    <t>doc#293</t>
  </si>
  <si>
    <t>https://search.corpuskiparla.it/corpus/player/player.cgi?code=BOD2014&amp;begin=596231&amp;end=597661</t>
  </si>
  <si>
    <t>BO113</t>
  </si>
  <si>
    <t>https://search.corpuskiparla.it/corpus/conversations/BOD2014.html</t>
  </si>
  <si>
    <t>https://search.corpuskiparla.it/corpus/conversations/BOD2014_jefferson.html</t>
  </si>
  <si>
    <t>chiacchiera // però lui sparisce non si fa sentire // e poi lo ribecchi magari una sera sbronzo che ti fa il molesto // e non</t>
  </si>
  <si>
    <t>che cazzo succede // mh // tipo una volta // cena a casa di da~ e di lodo // tu non c'' eri c'' era ada però // era una bella serata</t>
  </si>
  <si>
    <t>#2164777</t>
  </si>
  <si>
    <t>https://search.corpuskiparla.it/corpus/player/player.cgi?code=BOD2014&amp;begin=922061&amp;end=923350</t>
  </si>
  <si>
    <t>c'' è // le acide radici ci sono a pesaro ne ha altri due eh se a pesaro a rimini // anche se mi sa che quelli li lascia // oh ma</t>
  </si>
  <si>
    <t>che poi // lodo ha trovato una mezza tipa? // mh? // ma quella del le giocatrici di pallavolo no? // no no no eh se // no no giù</t>
  </si>
  <si>
    <t>#2164915</t>
  </si>
  <si>
    <t>https://search.corpuskiparla.it/corpus/player/player.cgi?code=BOD2014&amp;begin=968075&amp;end=969561</t>
  </si>
  <si>
    <t>lei sta giù non c'' ha soldi lui è qua quindi non so non ci hanno mai fatto niente però se ci sta // era strapreso // mado'' // poi</t>
  </si>
  <si>
    <t>com'' è lodo quando si // si fissa è un sognatore // mh sì // ehm invece // mh // di quando di quando vivevi a bologna? //</t>
  </si>
  <si>
    <t>#2165177</t>
  </si>
  <si>
    <t>https://search.corpuskiparla.it/corpus/player/player.cgi?code=BOD2014&amp;begin=1092083&amp;end=1095036</t>
  </si>
  <si>
    <t>// che era io lavoravo al distrubutore di benzina di mio zio no? // eh era mattina // arriva ''sto francese // con ''sta moto</t>
  </si>
  <si>
    <t>quelle un po'' d'' epoca // non è niente di che come storia però mi piace perchè era un personaggio // e di quelle un po'' d''</t>
  </si>
  <si>
    <t>#2165211</t>
  </si>
  <si>
    <t>https://search.corpuskiparla.it/corpus/player/player.cgi?code=BOD2014&amp;begin=1101290&amp;end=1102910</t>
  </si>
  <si>
    <t>// non è niente di che come storia però mi piace perchè era un personaggio // e di quelle un po'' d'' epoca // si toglie il casco</t>
  </si>
  <si>
    <t>// capello lungo con la coda orecchino un po'' sulla trentacinque anni una cosa del genere // però bello sorridente //</t>
  </si>
  <si>
    <t>#2169792</t>
  </si>
  <si>
    <t>https://search.corpuskiparla.it/corpus/player/player.cgi?code=TOA3009&amp;begin=1334720&amp;end=1337561</t>
  </si>
  <si>
    <t>TO048</t>
  </si>
  <si>
    <t>per esempio // // per dirne uno // cioè che voglio dire non è che sia proprio // io parto alle undici e venti // hi ma io lo</t>
  </si>
  <si>
    <t>che mi stavo dimenticando // il biglietto del treno // xxx // no c'' è paola xx ma io mi stavo dimenticando del biglietto xx x</t>
  </si>
  <si>
    <t>KPC007</t>
  </si>
  <si>
    <t>#2183535</t>
  </si>
  <si>
    <t>doc#296</t>
  </si>
  <si>
    <t>https://search.corpuskiparla.it/corpus/player/player.cgi?code=KPC007&amp;begin=673557&amp;end=675640</t>
  </si>
  <si>
    <t>PKP068</t>
  </si>
  <si>
    <t>https://search.corpuskiparla.it/corpus/conversations/KPC007.html</t>
  </si>
  <si>
    <t>https://search.corpuskiparla.it/corpus/conversations/KPC007_jefferson.html</t>
  </si>
  <si>
    <t>scarpa per un pelo // e ti è andata bene perchè // per un pelo non me so sporcato // zitto che non t''ha preso i capelli // eh</t>
  </si>
  <si>
    <t>che sì po'' che puzza xx // che poi // che poi un po'' poveretto m''ha fatto pure ride // c''era sto qua davanti a me pelato che</t>
  </si>
  <si>
    <t>#2185963</t>
  </si>
  <si>
    <t>https://search.corpuskiparla.it/corpus/player/player.cgi?code=KPC007&amp;begin=1324624&amp;end=1330682</t>
  </si>
  <si>
    <t>dopo // sì ma io sono la spia io devo esserci xx faceva tutto così // ce faceva piscia'' sto monello // è proprio tra le nuvole</t>
  </si>
  <si>
    <t>quei monelli che così te mette i cosi tra i capelli il fiore de qua il rametto de là // te tocca te tocca // te tocca // te tocca</t>
  </si>
  <si>
    <t>#2187408</t>
  </si>
  <si>
    <t>https://search.corpuskiparla.it/corpus/player/player.cgi?code=KPC007&amp;begin=1650994&amp;end=1652950</t>
  </si>
  <si>
    <t>don matteo un~ ehm dodici? // dodici o tredici // eh // per me anche tredici sai? // può esse // don matteo // che bello // // e</t>
  </si>
  <si>
    <t>che io non l''ho mai visto don matteo? // te sei fuori dal mondo allora // giovanni // non ho mai visto don matteo non ho mai</t>
  </si>
  <si>
    <t>#2187577</t>
  </si>
  <si>
    <t>https://search.corpuskiparla.it/corpus/player/player.cgi?code=KPC007&amp;begin=1689082&amp;end=1694000</t>
  </si>
  <si>
    <t>gente? // sì // zente // c''era zente // c''era zentio // e laura m''ha riconosciuto subito ciao // eh ma certo // ho fatto ma lo</t>
  </si>
  <si>
    <t>che a bologna vedo sempre tua figlia eh e questa disgraziata non ha mai il tempo per chiamarmi ah ah ah // ma chi è la figlia</t>
  </si>
  <si>
    <t>#2188579</t>
  </si>
  <si>
    <t>https://search.corpuskiparla.it/corpus/player/player.cgi?code=KPC007&amp;begin=1932213&amp;end=1934000</t>
  </si>
  <si>
    <t>// st''estate eravamo da luca // e arriva andrea con paulita // // xxxx // e inizia a parlare // ma cercala secondo me la</t>
  </si>
  <si>
    <t>// com''è che si chiamava? // e inizia a parlare // paula ponches // ehm paula ponches // e // xx // in pratica niente arriva</t>
  </si>
  <si>
    <t>#2188987</t>
  </si>
  <si>
    <t>https://search.corpuskiparla.it/corpus/player/player.cgi?code=KPC007&amp;begin=2042027&amp;end=2046000</t>
  </si>
  <si>
    <t>PKP067</t>
  </si>
  <si>
    <t>è rossi? // ross~ // è quello che // ti ricordi quando ieri amo encontrato ste e io v''ho saluta~ cioè ho detto ciao raga //</t>
  </si>
  <si>
    <t>quando fugg~ quando tipo siamo in giro e fuggiamo fuggiamo senti a me // ah sì siete scappate // esatto // fuggivamo da</t>
  </si>
  <si>
    <t>#2190140</t>
  </si>
  <si>
    <t>https://search.corpuskiparla.it/corpus/player/player.cgi?code=KPC007&amp;begin=2310370&amp;end=2313390</t>
  </si>
  <si>
    <t>mh // mamma mia xxxxx // e me fa tipo // ehm ho parlato con la mae~ ho mandato un messaggio a alessandra // e gli ho detto te non</t>
  </si>
  <si>
    <t>chi mi è capitata come tirocinante // se chiama laura è un sacco sim~ m''ha detto) // ah oddio sì me la ricordo qua m''ha detto</t>
  </si>
  <si>
    <t>KPN013</t>
  </si>
  <si>
    <t>#2199809</t>
  </si>
  <si>
    <t>doc#298</t>
  </si>
  <si>
    <t>https://search.corpuskiparla.it/corpus/player/player.cgi?code=KPN013&amp;begin=599095&amp;end=600568</t>
  </si>
  <si>
    <t>PKP058</t>
  </si>
  <si>
    <t>https://search.corpuskiparla.it/corpus/conversations/KPN013.html</t>
  </si>
  <si>
    <t>https://search.corpuskiparla.it/corpus/conversations/KPN013_jefferson.html</t>
  </si>
  <si>
    <t>dentro con questo e lo mangio tutto? // ma no dai un morsico al xx // muoio va bene // sì // sì // // // no beh // no beh // non lo</t>
  </si>
  <si>
    <t>che riesco a sopportarlo eh // allora // ah beh allora // non so se hai presente con che x // okay okay okay va bene mangio</t>
  </si>
  <si>
    <t>#2201203</t>
  </si>
  <si>
    <t>https://search.corpuskiparla.it/corpus/player/player.cgi?code=KPN013&amp;begin=1063558&amp;end=1064546</t>
  </si>
  <si>
    <t>detto che a lui le piace quindi // mi sono proposta con questo lui ha detto che va bene // direi che siamo a cavallo // top //</t>
  </si>
  <si>
    <t>già qualcosa? // devo prendere accordo con lui su cosa usare com~ // xx xx semplice? // grazie // grazie // mamma che buono</t>
  </si>
  <si>
    <t>#2202705</t>
  </si>
  <si>
    <t>https://search.corpuskiparla.it/corpus/player/player.cgi?code=KPN013&amp;begin=1651322&amp;end=1653107</t>
  </si>
  <si>
    <t>perchè sono quattro fratelli // mh // ehm lui è di catania si era trasferito su // per lavoro // sei un carabiniere</t>
  </si>
  <si>
    <t>ti muovi // e dopo è restato su su sui quindici anni // poi dopo è tornato giù // stesso cioè stessa storia del papà di</t>
  </si>
  <si>
    <t>#2203020</t>
  </si>
  <si>
    <t>https://search.corpuskiparla.it/corpus/player/player.cgi?code=KPN013&amp;begin=1770487&amp;end=1775023</t>
  </si>
  <si>
    <t>l''emilia romagna ti fa un po'' schifo // direi // ehm // no si sta tanto bene soprattutto quando c''è la nebbia // è una // cioè</t>
  </si>
  <si>
    <t>nascere a a catania che c''hai il mare ad un passo e vivere in emilia romagna // è una vita molto diversa // esatto // dopo</t>
  </si>
  <si>
    <t>#2203498</t>
  </si>
  <si>
    <t>https://search.corpuskiparla.it/corpus/player/player.cgi?code=KPN013&amp;begin=1930273&amp;end=1933627</t>
  </si>
  <si>
    <t>cos''è falso? // cioè io la cosa che non noto molto là // allora // la moglie del papà di marco è una donna veramente lei //</t>
  </si>
  <si>
    <t>che le donne cioè buone in un modo // cioè che io sono una persona buona eh // mh // ma lei è una roba cioè incredibile // raga</t>
  </si>
  <si>
    <t>#2203553</t>
  </si>
  <si>
    <t>https://search.corpuskiparla.it/corpus/player/player.cgi?code=KPN013&amp;begin=1942697&amp;end=1944953</t>
  </si>
  <si>
    <t>// esatto // che vorebbe sempre andar d''accordo con tutti // sì // oltretutto vorrebbe che tutti andassero d''acco~ cioè</t>
  </si>
  <si>
    <t>// sì // ma poi una persona che ci tiene molto anche molto alla famiglia no? // sì sì // mh // oltretutto lei ha due figli su //</t>
  </si>
  <si>
    <t>#2206301</t>
  </si>
  <si>
    <t>https://search.corpuskiparla.it/corpus/player/player.cgi?code=KPN013&amp;begin=2844178&amp;end=2846431</t>
  </si>
  <si>
    <t>// ma qual era la storia? che vi devono no non mi ricordo // che lei è andata là // ma è lo stesso della xxx? // sì esatto // sì //</t>
  </si>
  <si>
    <t>che mi ha detto che aveva preso su è andata là // sì // sì // questa storia // dopo un mese che stavano insieme // eh eh eh eh //</t>
  </si>
  <si>
    <t>KPN022</t>
  </si>
  <si>
    <t>#2209364</t>
  </si>
  <si>
    <t>doc#299</t>
  </si>
  <si>
    <t>https://search.corpuskiparla.it/corpus/player/player.cgi?code=KPN022&amp;begin=592920&amp;end=594890</t>
  </si>
  <si>
    <t>PKP076</t>
  </si>
  <si>
    <t>https://search.corpuskiparla.it/corpus/conversations/KPN022.html</t>
  </si>
  <si>
    <t>https://search.corpuskiparla.it/corpus/conversations/KPN022_jefferson.html</t>
  </si>
  <si>
    <t>// mh // era impiegata // sì // // cioè // mh // più o meno sì perchè si occupava anche del // ale // del coso del negoz~ è? //</t>
  </si>
  <si>
    <t>che stamattina ho perso l''autobus // sì ero sveglio // ah davvero // e no~ // ti ho sentita // e non sai neanche dov''è la tua</t>
  </si>
  <si>
    <t>#2209387</t>
  </si>
  <si>
    <t>https://search.corpuskiparla.it/corpus/player/player.cgi?code=KPN022&amp;begin=597550&amp;end=599250</t>
  </si>
  <si>
    <t>PKP075</t>
  </si>
  <si>
    <t>coso del negoz~ è? // sai che stamattina ho perso l''autobus // sì ero sveglio // ah davvero // e no~ // ti ho sentita // e non</t>
  </si>
  <si>
    <t>neanche dov''è la tua scuola // mi ha detto papà // io la strada non la faccio in macchina la faccio in autobus non guardo</t>
  </si>
  <si>
    <t>#2209622</t>
  </si>
  <si>
    <t>https://search.corpuskiparla.it/corpus/player/player.cgi?code=KPN022&amp;begin=655090&amp;end=656270</t>
  </si>
  <si>
    <t>// mh // io sapevo dov''è so dov''è il ca del galletto // e allora fai quello che vuoi c''eri tu che // vabbè // ma il ristorante</t>
  </si>
  <si>
    <t>dov''è // // perchè c''è anche un ristorante ca del galletto // // un hotel // albergo xx ci passi davanti // ah l''hotel // eh</t>
  </si>
  <si>
    <t>PBA015</t>
  </si>
  <si>
    <t>#2235305</t>
  </si>
  <si>
    <t>doc#304</t>
  </si>
  <si>
    <t>https://search.corpuskiparla.it/corpus/player/player.cgi?code=PBA015&amp;begin=137411&amp;end=139622</t>
  </si>
  <si>
    <t>https://search.corpuskiparla.it/corpus/conversations/PBA015.html</t>
  </si>
  <si>
    <t>https://search.corpuskiparla.it/corpus/conversations/PBA015_jefferson.html</t>
  </si>
  <si>
    <t>a me non arrivano a me non arrivano proprio te lo dico // perfetto // ehm ah io volevo chiederti dei portici // che non so se</t>
  </si>
  <si>
    <t>ma sono patrimonio dell''unesco // mhmh // ecco // cosa ne pensi sono tenuti bene male // oddio non me lo sono mai chiesta</t>
  </si>
  <si>
    <t>#2236203</t>
  </si>
  <si>
    <t>https://search.corpuskiparla.it/corpus/player/player.cgi?code=PBA015&amp;begin=444975&amp;end=447804</t>
  </si>
  <si>
    <t>sicurezza la sera // ho capito // okay // ehm ah ehm // tu sei devi iniziare il quinto anno vero? // sì appena iniziato // lo</t>
  </si>
  <si>
    <t>che questa domanda è bruttissima da fare adesso // ma in futuro per l''università o lavoro // vorresti spostarti o pensi</t>
  </si>
  <si>
    <t>#2236732</t>
  </si>
  <si>
    <t>https://search.corpuskiparla.it/corpus/player/player.cgi?code=PBA015&amp;begin=597770&amp;end=599576</t>
  </si>
  <si>
    <t>che è una sorta di pre accademico // sì // e dura tre anni // sì // sempre alla jukebox // ah bello // musical di nuovo // bello</t>
  </si>
  <si>
    <t>anche cantare allora // sì non lo faccio da un bel po'' // però quando ero piccolina me la cavavo quindi // rispolvererò</t>
  </si>
  <si>
    <t>TOD2004</t>
  </si>
  <si>
    <t>#2241182</t>
  </si>
  <si>
    <t>doc#305</t>
  </si>
  <si>
    <t>https://search.corpuskiparla.it/corpus/player/player.cgi?code=TOD2004&amp;begin=584405&amp;end=589614</t>
  </si>
  <si>
    <t>TO084</t>
  </si>
  <si>
    <t>https://search.corpuskiparla.it/corpus/conversations/TOD2004.html</t>
  </si>
  <si>
    <t>https://search.corpuskiparla.it/corpus/conversations/TOD2004_jefferson.html</t>
  </si>
  <si>
    <t>cioè non // non // non c'' è nulla di concreto // la paura della paura // paura di avere che ne so di rimanere da sola di sentire</t>
  </si>
  <si>
    <t>quei rumori strani // non lo so // poi per il resto nonn non penso di aver paure // specifiche // però ti allontaneresti</t>
  </si>
  <si>
    <t>#2250851</t>
  </si>
  <si>
    <t>https://search.corpuskiparla.it/corpus/player/player.cgi?code=PTD006&amp;begin=1866560&amp;end=1868053</t>
  </si>
  <si>
    <t>non so // comunque d~ con luca sardella // e chi è? // quello del pollice verde quello che faceva xx con quello lì // ma va ma</t>
  </si>
  <si>
    <t>che // quello l''ho beccato una volta stavo uscendo da // da palazzo nuovo e non so stavano facendo delle riprese di non so</t>
  </si>
  <si>
    <t>#2251517</t>
  </si>
  <si>
    <t>https://search.corpuskiparla.it/corpus/player/player.cgi?code=PTD006&amp;begin=2058462&amp;end=2061220</t>
  </si>
  <si>
    <t>permh per per per del lavoro // e che mi rispondessero dalla tunisia piuttosto che dalla romania dall''albania // ah ma</t>
  </si>
  <si>
    <t>sì so in sti giorni mi hanno chiamato un // un casino di persone dalla tunisia // io sì sì sì sì io mi io mi ricordo che una</t>
  </si>
  <si>
    <t>#2258462</t>
  </si>
  <si>
    <t>https://search.corpuskiparla.it/corpus/player/player.cgi?code=PTD006&amp;begin=3972803&amp;end=3973819</t>
  </si>
  <si>
    <t>TOI055</t>
  </si>
  <si>
    <t>tan~ // costava come un rene e allora io avevo fatto la prima settimana anche quello della metropolitana poi // ho detto</t>
  </si>
  <si>
    <t>che c''è matteo? // fatti furbo e fatti quello del pullman e basta e quindi viaggiavo solamente in pullman e ci mettevo</t>
  </si>
  <si>
    <t>#2259754</t>
  </si>
  <si>
    <t>https://search.corpuskiparla.it/corpus/player/player.cgi?code=PBA019&amp;begin=415684&amp;end=420605</t>
  </si>
  <si>
    <t>qua qua non cioè // natale proprio non so'' mai stato in tre anni // okay // ci sta // un casino però tanta apparenza perché</t>
  </si>
  <si>
    <t>stappano tutti tutti vestiti bene // eh è quello da noi il natale da noi alla fine // eh da noi // c''è un forte capitalismo</t>
  </si>
  <si>
    <t>#2262668</t>
  </si>
  <si>
    <t>https://search.corpuskiparla.it/corpus/player/player.cgi?code=PBA019&amp;begin=1384657&amp;end=1388776</t>
  </si>
  <si>
    <t>tanto ti basta poco // poi da noi c''è pure sempre sta concezione del fidanzarsi accasarsi quindi // con la tua ragazza</t>
  </si>
  <si>
    <t>ti sposi fai figli da noi i figli a caso non si sa perché // e se ti va bene pure la vita // veramente a caso // te l''accolli // sì</t>
  </si>
  <si>
    <t>#2263658</t>
  </si>
  <si>
    <t>https://search.corpuskiparla.it/corpus/player/player.cgi?code=PBA019&amp;begin=1694391&amp;end=1697241</t>
  </si>
  <si>
    <t>così // sì sì sì // che cazzo di segreto è? // no ma quello è per // non è un segreto però // no no è che lo dicono così un''altro</t>
  </si>
  <si>
    <t>qual è mi sa il // // i seicentosessantasei portici per anda'' a san luca // uh fatti mai? // io sì // sì sì sì io ci abito vicino</t>
  </si>
  <si>
    <t>#2266808</t>
  </si>
  <si>
    <t>https://search.corpuskiparla.it/corpus/player/player.cgi?code=PBA019&amp;begin=2667300&amp;end=2670588</t>
  </si>
  <si>
    <t>m~ ogni uomo che muore // e allora bisogna fa'' cioè quanta gente muore e nessuno ti si incula mo // però assurdo da noi // la</t>
  </si>
  <si>
    <t>la storia della prostituta forse? capito? // che quello non ha fatto notizia che ho pensato da noi // non la so // un</t>
  </si>
  <si>
    <t>#2267929</t>
  </si>
  <si>
    <t>https://search.corpuskiparla.it/corpus/player/player.cgi?code=PBA019&amp;begin=2984610&amp;end=2988680</t>
  </si>
  <si>
    <t>ti perdono dopo quello che mi hai fatto cioè // non è uno scherzo // sarà stato pure lo shock ha cavalcato l''onda cioè non</t>
  </si>
  <si>
    <t>mai quello che // eh oddio ha cavalcato l''onda mi sembra un po'' too much // no più che altro me sembra una persona molto</t>
  </si>
  <si>
    <t>PBC016</t>
  </si>
  <si>
    <t>#2277989</t>
  </si>
  <si>
    <t>doc#311</t>
  </si>
  <si>
    <t>https://search.corpuskiparla.it/corpus/player/player.cgi?code=PBC016&amp;begin=1708340&amp;end=1713120</t>
  </si>
  <si>
    <t>BOI038</t>
  </si>
  <si>
    <t>https://search.corpuskiparla.it/corpus/conversations/PBC016.html</t>
  </si>
  <si>
    <t>https://search.corpuskiparla.it/corpus/conversations/PBC016_jefferson.html</t>
  </si>
  <si>
    <t>i portici anche le strade sarebbero uguali i marciapiedi // ah quello si // quindi non è che cambia molto cioè se tu</t>
  </si>
  <si>
    <t>la strada che devi fare // il portico anzi è un aiuto perché ti tiene ben distante dalla strada da eh dal traffico // ah eh</t>
  </si>
  <si>
    <t>#2282538</t>
  </si>
  <si>
    <t>https://search.corpuskiparla.it/corpus/player/player.cgi?code=TOD2005&amp;begin=640992&amp;end=644018</t>
  </si>
  <si>
    <t>di arrivare lì // così almeno // per quanto riguarda l'' alloggio arrivi e sei tranquillo non che // magari arrivi e non</t>
  </si>
  <si>
    <t>dove andare // ehmh comunque io mi sono rivolta a questa associazione ho trovato l'' alloggio prima di arrivare lì e</t>
  </si>
  <si>
    <t>#2284044</t>
  </si>
  <si>
    <t>https://search.corpuskiparla.it/corpus/player/player.cgi?code=TOD2005&amp;begin=1156603&amp;end=1164904</t>
  </si>
  <si>
    <t>se tu fai qualcosa che è un po'' diverso dallla loro da ciò di cui sono abituati non lo fai per maleducazione ma perché non</t>
  </si>
  <si>
    <t>// certo // non sai // e poi comunque // nel luogo cioè dove mi trovavo io erano comunque tutte le persone che ho incontrato</t>
  </si>
  <si>
    <t>#2284049</t>
  </si>
  <si>
    <t>https://search.corpuskiparla.it/corpus/player/player.cgi?code=TOD2005&amp;begin=1164705&amp;end=1165354</t>
  </si>
  <si>
    <t>che è un po'' diverso dallla loro da ciò di cui sono abituati non lo fai per maleducazione ma perché non sai // certo // non</t>
  </si>
  <si>
    <t>// e poi comunque // nel luogo cioè dove mi trovavo io erano comunque tutte le persone che ho incontrato veramente</t>
  </si>
  <si>
    <t>#2285421</t>
  </si>
  <si>
    <t>https://search.corpuskiparla.it/corpus/player/player.cgi?code=TOD2005&amp;begin=1670715&amp;end=1672623</t>
  </si>
  <si>
    <t>// mano perché // nel senso sono tornata eran le vacanze di natale quindi già un periodo più felice dell'' anno quindi //</t>
  </si>
  <si>
    <t>non è stato poi comunque // quando torni hai sempre un sacco di cose da fare quindi non ho neanche avuto tempo di rendermi</t>
  </si>
  <si>
    <t>PTA017</t>
  </si>
  <si>
    <t>#2293319</t>
  </si>
  <si>
    <t>doc#314</t>
  </si>
  <si>
    <t>https://search.corpuskiparla.it/corpus/player/player.cgi?code=PTA017&amp;begin=734400&amp;end=742510</t>
  </si>
  <si>
    <t>https://search.corpuskiparla.it/corpus/conversations/PTA017.html</t>
  </si>
  <si>
    <t>https://search.corpuskiparla.it/corpus/conversations/PTA017_jefferson.html</t>
  </si>
  <si>
    <t>vista crescere pratic~ cioè da quando è nata // mhmh // stava solo con me e con la mamma col papà no // okay // e di lei boh mi</t>
  </si>
  <si>
    <t>dire qualcosa? non so che neonata era tipo piangeva sempre oppure era brava dormiva // noall''inizio ha patito un po''</t>
  </si>
  <si>
    <t>#2309986</t>
  </si>
  <si>
    <t>https://search.corpuskiparla.it/corpus/player/player.cgi?code=KPN007&amp;begin=1629283&amp;end=1632100</t>
  </si>
  <si>
    <t>non c''entra il prugnolo // prugne // no // no // no quello era tipo una frutto // no è una pignetta // una frutta // u~ cu~</t>
  </si>
  <si>
    <t>le le pigne dei dei pini // sì sì // sì sì // sì // ecco quelle erano piccole piccole // e lui la faceva così // // le dà un buon</t>
  </si>
  <si>
    <t>#2312630</t>
  </si>
  <si>
    <t>https://search.corpuskiparla.it/corpus/player/player.cgi?code=KPN007&amp;begin=2365370&amp;end=2367176</t>
  </si>
  <si>
    <t>PKP017</t>
  </si>
  <si>
    <t>è lui sì // sessantatrè euro // dopo poi hai le spese di spedizione mamma // eh venti euro di spese di spedizione // sì ma te</t>
  </si>
  <si>
    <t>come te lo spediscono bene // soccia allora c''ha dato altro che il sovrapprezzo eh // soccia // xxxx // sì // lo</t>
  </si>
  <si>
    <t>#2313610</t>
  </si>
  <si>
    <t>https://search.corpuskiparla.it/corpus/player/player.cgi?code=KPN007&amp;begin=2674895&amp;end=2678197</t>
  </si>
  <si>
    <t>PKP013</t>
  </si>
  <si>
    <t>del chicco? // secondo me sì // è una parte // tu come lo sai? // è una parte beh // non lo so // così ci sta xx // quando non lo</t>
  </si>
  <si>
    <t>non sai è una parte // // no il malto // no il malto è l''orzo // scusa eh toni // il malto d''orzo // ma è una parte // sì ma non è il</t>
  </si>
  <si>
    <t>#2313612</t>
  </si>
  <si>
    <t>chicco? // secondo me sì // è una parte // tu come lo sai? // è una parte beh // non lo so // così ci sta xx // quando non lo sai non</t>
  </si>
  <si>
    <t>è una parte // // no il malto // no il malto è l''orzo // scusa eh toni // il malto d''orzo // ma è una parte // sì ma non è il mais</t>
  </si>
  <si>
    <t>#2317951</t>
  </si>
  <si>
    <t>https://search.corpuskiparla.it/corpus/player/player.cgi?code=KPN024&amp;begin=863170&amp;end=864900</t>
  </si>
  <si>
    <t>le nos~ vostre voci per favore accendiamo le webcam // no // tutti accendono la webcam stra bravi // quindi almeno tu lo</t>
  </si>
  <si>
    <t>che devi essere tipo // allora // normale // cioè io non // non capisco perchè // questo prof ci ha registra~ cioè ha</t>
  </si>
  <si>
    <t>#2319502</t>
  </si>
  <si>
    <t>https://search.corpuskiparla.it/corpus/player/player.cgi?code=KPN024&amp;begin=1425400&amp;end=1441600</t>
  </si>
  <si>
    <t>tua magistrale // sì // eh e gli dico vabbè guarda secondo me scrivigli in priva~ cioè scrivigli per conto tuo gli dici che</t>
  </si>
  <si>
    <t>che è arrivata questa mail che tu ti stai laureando adesso quindi eh vuoi fare i laboratori ma non non sei al passo con le</t>
  </si>
  <si>
    <t>Sintassi: "sai" regge una subordinata secondaria (es. sai che…)</t>
  </si>
  <si>
    <t>Prosodia: "sai" non costituisce un'unità prosodica indipendente</t>
  </si>
  <si>
    <t>Omissione: omettendo "sai" cambia il senso della predicazione</t>
  </si>
  <si>
    <t>Errore nella trascrizione della conversazione. Il parlante pronuncia "sa" e non "sai"</t>
  </si>
  <si>
    <t>Macrofunzioni</t>
  </si>
  <si>
    <t>Microfunzioni</t>
  </si>
  <si>
    <t>Etichette di riga</t>
  </si>
  <si>
    <t>Cognitiva</t>
  </si>
  <si>
    <t>Interazionale</t>
  </si>
  <si>
    <t>Interazionale &amp; Cognitiva</t>
  </si>
  <si>
    <t>Interazionale &amp; Metatestuale</t>
  </si>
  <si>
    <t>Interazionale &amp; Metatestuale &amp; Cognitiva</t>
  </si>
  <si>
    <t>Metatestuale</t>
  </si>
  <si>
    <t>Metatestuale &amp; Cognitiva</t>
  </si>
  <si>
    <t>(vuoto)</t>
  </si>
  <si>
    <t>Totale complessivo</t>
  </si>
  <si>
    <t>Conteggio di Macrofunzioni</t>
  </si>
  <si>
    <t/>
  </si>
  <si>
    <t>Richiesta di accordo/conferma &amp; Cessione del turno</t>
  </si>
  <si>
    <t>Richiesta di accordo/conferma &amp; Marcatura della conoscenza condivisa</t>
  </si>
  <si>
    <t>Interruzione &amp; Gestione del topic: introduzione o ripresa di topic</t>
  </si>
  <si>
    <t>Marcatura della conoscenza condivisa &amp; Esemplificazione</t>
  </si>
  <si>
    <t>Marcatura della conoscenza condivisa &amp; Filler, riempimento dei tempi di formulazione</t>
  </si>
  <si>
    <t>Marcatura della conoscenza condivisa &amp; General extenders e marche di generalizzazione</t>
  </si>
  <si>
    <t>Marcatura della conoscenza condivisa &amp; Gestione del topic: introduzione o ripresa di topic</t>
  </si>
  <si>
    <t>Marcatura della conoscenza condivisa &amp; Marcatura di citazione/discorso riportato</t>
  </si>
  <si>
    <t>Marcatura della conoscenza condivisa &amp; Prolettico, marca di formulazione: ecco</t>
  </si>
  <si>
    <t>Marcatura della conoscenza condivisa &amp; Riformulazione</t>
  </si>
  <si>
    <t>Presa di turno &amp; Esemplificazione</t>
  </si>
  <si>
    <t>Presa di turno &amp; Gestione del topic: introduzione o ripresa di topic</t>
  </si>
  <si>
    <t>Presa di turno &amp; Marcatura della conoscenza condivisa &amp; Gestione del topic: introduzione o ripresa di topic</t>
  </si>
  <si>
    <t>Richiesta di accordo/conferma &amp; Chiusura di un topic</t>
  </si>
  <si>
    <t>Richiesta di accordo/conferma &amp; Filler, riempimento dei tempi di formulazione</t>
  </si>
  <si>
    <t>Richiesta di accordo/conferma &amp; Gestione del topic: introduzione o ripresa di topic</t>
  </si>
  <si>
    <t>Richiesta di accordo/conferma &amp; Marcatura della conoscenza condivisa &amp; Chiusura di un topic</t>
  </si>
  <si>
    <t>Richiesta di accordo/conferma &amp; Marcatura della conoscenza condivisa &amp; General extenders e marche di generalizzazione</t>
  </si>
  <si>
    <t>Richiesta di accordo/conferma &amp; Marcatura della conoscenza condivisa &amp; Gestione del topic: introduzione o ripresa di topic</t>
  </si>
  <si>
    <t>Richiesta di accordo/conferma &amp; Riformulazione</t>
  </si>
  <si>
    <t>Gestione del topic: introduzione o ripresa di topic &amp; Riformulazione</t>
  </si>
  <si>
    <t>Cessione del turno &amp; Attenuazione</t>
  </si>
  <si>
    <t>Cessione del turno &amp; Modulazione del grado di confidenza del parlante</t>
  </si>
  <si>
    <t>Marcatura della conoscenza condivisa &amp; Approssimazione</t>
  </si>
  <si>
    <t>Marcatura della conoscenza condivisa &amp; Attenuazione</t>
  </si>
  <si>
    <t>Marcatura della conoscenza condivisa &amp; Marcatura dell'inferenza</t>
  </si>
  <si>
    <t>Marcatura della conoscenza condivisa &amp; Modulazione del grado di confidenza del parlante</t>
  </si>
  <si>
    <t>Marcatura della conoscenza condivisa &amp; Specificazione</t>
  </si>
  <si>
    <t>Filler, riempimento dei tempi di formulazione &amp; Attenuazione</t>
  </si>
  <si>
    <t>Filler, riempimento dei tempi di formulazione &amp; Marcatura dell'inferenza</t>
  </si>
  <si>
    <t>Marcatura della conoscenza condivisa &amp; Esemplificazione &amp; Attenuazione</t>
  </si>
  <si>
    <t>Marcatura della conoscenza condivisa &amp; General extenders e marche di generalizzazione &amp; Approssimazione</t>
  </si>
  <si>
    <t>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</si>
</sst>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b/>
      <sz val="12"/>
      <color rgb="FF000000"/>
      <name val="Arial"/>
      <family val="2"/>
    </font>
    <font>
      <b/>
      <i/>
      <sz val="12"/>
      <color rgb="FF000000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rial"/>
      <family val="2"/>
    </font>
    <font>
      <u/>
      <sz val="12"/>
      <color theme="10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B1C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BE2D5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B5E6A2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rgb="FFDAE9F8"/>
        <bgColor rgb="FF000000"/>
      </patternFill>
    </fill>
    <fill>
      <patternFill patternType="solid">
        <fgColor rgb="FFA6C9EC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6C6AC"/>
        <bgColor rgb="FFF6C6AC"/>
      </patternFill>
    </fill>
    <fill>
      <patternFill patternType="solid">
        <fgColor rgb="FFFAE2D5"/>
        <bgColor rgb="FFFAE2D5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DBE9F7"/>
        <bgColor rgb="FFDBE9F7"/>
      </patternFill>
    </fill>
    <fill>
      <patternFill patternType="solid">
        <fgColor rgb="FFA6C9EB"/>
        <bgColor rgb="FFA6C9EB"/>
      </patternFill>
    </fill>
  </fills>
  <borders count="11">
    <border>
      <left/>
      <right/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5" borderId="4" xfId="0" applyFont="1" applyFill="1" applyBorder="1"/>
    <xf numFmtId="0" fontId="1" fillId="6" borderId="4" xfId="0" applyFont="1" applyFill="1" applyBorder="1"/>
    <xf numFmtId="0" fontId="1" fillId="4" borderId="4" xfId="0" applyFont="1" applyFill="1" applyBorder="1"/>
    <xf numFmtId="0" fontId="1" fillId="3" borderId="4" xfId="0" applyFont="1" applyFill="1" applyBorder="1"/>
    <xf numFmtId="0" fontId="1" fillId="8" borderId="4" xfId="0" applyFont="1" applyFill="1" applyBorder="1"/>
    <xf numFmtId="0" fontId="1" fillId="9" borderId="4" xfId="0" applyFont="1" applyFill="1" applyBorder="1"/>
    <xf numFmtId="0" fontId="1" fillId="10" borderId="4" xfId="0" applyFont="1" applyFill="1" applyBorder="1"/>
    <xf numFmtId="0" fontId="1" fillId="7" borderId="4" xfId="0" applyFont="1" applyFill="1" applyBorder="1"/>
    <xf numFmtId="0" fontId="1" fillId="2" borderId="4" xfId="0" applyFont="1" applyFill="1" applyBorder="1"/>
    <xf numFmtId="0" fontId="1" fillId="0" borderId="4" xfId="0" applyFont="1" applyBorder="1" applyAlignment="1">
      <alignment wrapText="1"/>
    </xf>
    <xf numFmtId="0" fontId="1" fillId="5" borderId="4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1" fillId="3" borderId="4" xfId="0" applyFont="1" applyFill="1" applyBorder="1" applyAlignment="1">
      <alignment wrapText="1"/>
    </xf>
    <xf numFmtId="0" fontId="1" fillId="8" borderId="4" xfId="0" applyFont="1" applyFill="1" applyBorder="1" applyAlignment="1">
      <alignment wrapText="1"/>
    </xf>
    <xf numFmtId="0" fontId="1" fillId="9" borderId="4" xfId="0" applyFont="1" applyFill="1" applyBorder="1" applyAlignment="1">
      <alignment wrapText="1"/>
    </xf>
    <xf numFmtId="0" fontId="1" fillId="10" borderId="4" xfId="0" applyFont="1" applyFill="1" applyBorder="1" applyAlignment="1">
      <alignment wrapText="1"/>
    </xf>
    <xf numFmtId="0" fontId="1" fillId="14" borderId="4" xfId="0" applyFont="1" applyFill="1" applyBorder="1" applyAlignment="1">
      <alignment wrapText="1"/>
    </xf>
    <xf numFmtId="0" fontId="1" fillId="14" borderId="4" xfId="0" applyFont="1" applyFill="1" applyBorder="1"/>
    <xf numFmtId="0" fontId="1" fillId="15" borderId="4" xfId="0" applyFont="1" applyFill="1" applyBorder="1" applyAlignment="1">
      <alignment wrapText="1"/>
    </xf>
    <xf numFmtId="0" fontId="1" fillId="15" borderId="4" xfId="0" applyFont="1" applyFill="1" applyBorder="1"/>
    <xf numFmtId="0" fontId="3" fillId="17" borderId="8" xfId="0" applyFont="1" applyFill="1" applyBorder="1" applyAlignment="1">
      <alignment wrapText="1"/>
    </xf>
    <xf numFmtId="0" fontId="3" fillId="16" borderId="8" xfId="0" applyFont="1" applyFill="1" applyBorder="1" applyAlignment="1">
      <alignment wrapText="1"/>
    </xf>
    <xf numFmtId="0" fontId="3" fillId="18" borderId="8" xfId="0" applyFont="1" applyFill="1" applyBorder="1" applyAlignment="1">
      <alignment wrapText="1"/>
    </xf>
    <xf numFmtId="0" fontId="3" fillId="19" borderId="8" xfId="0" applyFont="1" applyFill="1" applyBorder="1" applyAlignment="1">
      <alignment wrapText="1"/>
    </xf>
    <xf numFmtId="0" fontId="3" fillId="20" borderId="8" xfId="0" applyFont="1" applyFill="1" applyBorder="1" applyAlignment="1">
      <alignment wrapText="1"/>
    </xf>
    <xf numFmtId="0" fontId="3" fillId="21" borderId="8" xfId="0" applyFont="1" applyFill="1" applyBorder="1" applyAlignment="1">
      <alignment wrapText="1"/>
    </xf>
    <xf numFmtId="0" fontId="5" fillId="0" borderId="0" xfId="0" applyFont="1"/>
    <xf numFmtId="0" fontId="5" fillId="2" borderId="0" xfId="0" applyFont="1" applyFill="1"/>
    <xf numFmtId="0" fontId="5" fillId="3" borderId="0" xfId="0" applyFont="1" applyFill="1"/>
    <xf numFmtId="0" fontId="5" fillId="8" borderId="0" xfId="0" applyFont="1" applyFill="1"/>
    <xf numFmtId="0" fontId="1" fillId="0" borderId="0" xfId="0" applyFont="1"/>
    <xf numFmtId="0" fontId="5" fillId="14" borderId="0" xfId="0" applyFont="1" applyFill="1"/>
    <xf numFmtId="0" fontId="5" fillId="9" borderId="0" xfId="0" applyFont="1" applyFill="1"/>
    <xf numFmtId="0" fontId="5" fillId="10" borderId="0" xfId="0" applyFont="1" applyFill="1"/>
    <xf numFmtId="0" fontId="5" fillId="15" borderId="0" xfId="0" applyFont="1" applyFill="1"/>
    <xf numFmtId="0" fontId="1" fillId="12" borderId="2" xfId="0" applyFont="1" applyFill="1" applyBorder="1" applyAlignment="1">
      <alignment horizontal="center"/>
    </xf>
    <xf numFmtId="0" fontId="3" fillId="22" borderId="8" xfId="0" applyFont="1" applyFill="1" applyBorder="1" applyAlignment="1">
      <alignment wrapText="1"/>
    </xf>
    <xf numFmtId="0" fontId="8" fillId="0" borderId="0" xfId="0" applyFont="1"/>
    <xf numFmtId="0" fontId="7" fillId="0" borderId="0" xfId="0" applyFont="1"/>
    <xf numFmtId="0" fontId="9" fillId="23" borderId="9" xfId="0" applyFont="1" applyFill="1" applyBorder="1"/>
    <xf numFmtId="0" fontId="9" fillId="24" borderId="9" xfId="0" applyFont="1" applyFill="1" applyBorder="1"/>
    <xf numFmtId="0" fontId="9" fillId="25" borderId="9" xfId="0" applyFont="1" applyFill="1" applyBorder="1"/>
    <xf numFmtId="0" fontId="9" fillId="26" borderId="9" xfId="0" applyFont="1" applyFill="1" applyBorder="1"/>
    <xf numFmtId="0" fontId="9" fillId="27" borderId="9" xfId="0" applyFont="1" applyFill="1" applyBorder="1"/>
    <xf numFmtId="0" fontId="9" fillId="28" borderId="9" xfId="0" applyFont="1" applyFill="1" applyBorder="1"/>
    <xf numFmtId="0" fontId="9" fillId="0" borderId="9" xfId="0" applyFont="1" applyBorder="1"/>
    <xf numFmtId="0" fontId="1" fillId="0" borderId="9" xfId="0" applyFont="1" applyBorder="1"/>
    <xf numFmtId="21" fontId="0" fillId="0" borderId="0" xfId="0" applyNumberFormat="1"/>
    <xf numFmtId="0" fontId="10" fillId="0" borderId="0" xfId="1"/>
    <xf numFmtId="0" fontId="0" fillId="0" borderId="0" xfId="0" applyAlignment="1">
      <alignment horizontal="fill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0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2" borderId="2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B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Array" Target="richData/rdarray.xml"/><Relationship Id="rId5" Type="http://schemas.openxmlformats.org/officeDocument/2006/relationships/theme" Target="theme/theme1.xml"/><Relationship Id="rId15" Type="http://schemas.openxmlformats.org/officeDocument/2006/relationships/calcChain" Target="calcChain.xml"/><Relationship Id="rId10" Type="http://schemas.microsoft.com/office/2017/06/relationships/rdRichValueStructure" Target="richData/rdrichvaluestructure.xml"/><Relationship Id="rId4" Type="http://schemas.openxmlformats.org/officeDocument/2006/relationships/pivotCacheDefinition" Target="pivotCache/pivotCacheDefinition1.xml"/><Relationship Id="rId9" Type="http://schemas.microsoft.com/office/2017/06/relationships/rdRichValue" Target="richData/rdrichvalue.xml"/><Relationship Id="rId14" Type="http://schemas.microsoft.com/office/2017/06/relationships/rdRichValueTypes" Target="richData/rdRichValueTyp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richPivotRecords" Target="richPivot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ra200" refreshedDate="45964.765502893519" createdVersion="8" refreshedVersion="8" minRefreshableVersion="3" recordCount="801" xr:uid="{6A574A0F-7F4C-418C-9AD2-31E8DE109FD5}">
  <cacheSource type="worksheet">
    <worksheetSource ref="BG1:BH802" sheet="Annotazione"/>
  </cacheSource>
  <cacheFields count="2">
    <cacheField name="Macrofunzioni" numFmtId="0">
      <sharedItems containsBlank="1" count="9">
        <m/>
        <s v="Interazionale &amp; Metatestuale"/>
        <s v=""/>
        <s v="Interazionale"/>
        <s v="Interazionale &amp; Metatestuale &amp; Cognitiva"/>
        <s v="Metatestuale &amp; Cognitiva"/>
        <s v="Interazionale &amp; Cognitiva"/>
        <s v="Cognitiva"/>
        <s v="Metatestuale"/>
      </sharedItems>
    </cacheField>
    <cacheField name="Microfunzioni" numFmtId="0">
      <sharedItems containsBlank="1" count="49">
        <m/>
        <s v="Marcatura della conoscenza condivisa &amp; Riformulazione"/>
        <s v=""/>
        <s v="Marcatura della conoscenza condivisa"/>
        <s v="Marcatura della conoscenza condivisa &amp; General extenders e marche di generalizzazione"/>
        <s v="Marcatura della conoscenza condivisa &amp; Filler, riempimento dei tempi di formulazione"/>
        <s v="Richiesta di accordo/conferma &amp; Marcatura della conoscenza condivisa"/>
        <s v="Marcatura della conoscenza condivisa &amp; Esemplificazione &amp; Attenuazione"/>
        <s v="Marcatura della conoscenza condivisa &amp; Marcatura di citazione/discorso riportato"/>
        <s v="Filler, riempimento dei tempi di formulazione &amp; Attenuazione"/>
        <s v="Marcatura della conoscenza condivisa &amp; Marcatura dell'inferenza"/>
        <s v="Marcatura della conoscenza condivisa &amp; Gestione del topic: introduzione o ripresa di topic"/>
        <s v="Richiesta di accordo/conferma &amp; Cessione del turno"/>
        <s v="Approssimazione"/>
        <s v="Marcatura della conoscenza condivisa &amp; Esemplificazione"/>
        <s v="Richiesta di accordo/conferma &amp; Filler, riempimento dei tempi di formulazione"/>
        <s v="Richiesta di accordo/conferma &amp; Marcatura della conoscenza condivisa &amp; Chiusura di un topic"/>
        <s v="Richiesta di accordo/conferma"/>
        <s v="Presa di turno &amp; Gestione del topic: introduzione o ripresa di topic"/>
        <s v="Cessione del turno &amp; Attenuazione"/>
        <s v="Filler, riempimento dei tempi di formulazione"/>
        <s v="Marcatura dell'inferenza"/>
        <s v="Richiesta di accordo/conferma &amp; Marcatura della conoscenza condivisa &amp; General extenders e marche di generalizzazione"/>
        <s v="Gestione del topic: introduzione o ripresa di topic"/>
        <s v="Cessione del turno"/>
        <s v="Riformulazione"/>
        <s v="Marcatura della conoscenza condivisa &amp; Approssimazione"/>
        <s v="Marcatura della conoscenza condivisa &amp; General extenders e marche di generalizzazione &amp; Approssimazione"/>
        <s v="Esemplificazione"/>
        <s v="Modulazione del grado di confidenza del parlante"/>
        <s v="Marcatura della conoscenza condivisa &amp; Modulazione del grado di confidenza del parlante"/>
        <s v="General extenders e marche di generalizzazione"/>
        <s v="Filler, riempimento dei tempi di formulazione &amp; Marcatura dell'inferenza"/>
        <s v="Marcatura della conoscenza condivisa &amp; Prolettico, marca di formulazione: ecco"/>
        <s v="Richiesta di accordo/conferma &amp; Gestione del topic: introduzione o ripresa di topic"/>
        <s v="Interruzione &amp; Gestione del topic: introduzione o ripresa di topic"/>
        <s v="Presa di turno &amp; Marcatura della conoscenza condivisa &amp; Gestione del topic: introduzione o ripresa di topic"/>
        <s v="Marcatura della conoscenza condivisa &amp; Attenuazione"/>
        <s v="Richiesta di attenzione"/>
        <s v="#CALC!"/>
        <s v="Marcatura di citazione/discorso riportato"/>
        <s v="Richiesta di accordo/conferma &amp; Marcatura della conoscenza condivisa &amp; Gestione del topic: introduzione o ripresa di topic"/>
        <s v="Presa di turno"/>
        <s v="Richiesta di accordo/conferma &amp; Riformulazione"/>
        <s v="Gestione del topic: introduzione o ripresa di topic &amp; Riformulazione"/>
        <s v="Richiesta di accordo/conferma &amp; Chiusura di un topic"/>
        <s v="Cessione del turno &amp; Modulazione del grado di confidenza del parlante"/>
        <s v="Marcatura della conoscenza condivisa &amp; Specificazione"/>
        <s v="Presa di turno &amp; Esemplificazione"/>
      </sharedItems>
    </cacheField>
  </cacheFields>
  <extLst>
    <ext xmlns:x14="http://schemas.microsoft.com/office/spreadsheetml/2009/9/main" uri="{725AE2AE-9491-48be-B2B4-4EB974FC3084}">
      <x14:pivotCacheDefinition/>
    </ext>
    <ext xmlns:xxpvi="http://schemas.microsoft.com/office/spreadsheetml/2022/pivotVersionInfo" uri="{9F748A41-CAEA-4470-BF7A-CE61E8FFA7F9}">
      <xxpvi:cacheVersionInfo>
        <xxpvi:lastRefreshFeature>RichData</xxpvi:lastRefreshFeature>
      </xxpvi:cacheVersionInfo>
    </ext>
    <ext xmlns:xprd="http://schemas.microsoft.com/office/spreadsheetml/2022/pivotRichData" uri="{2C874A73-7782-4A18-856F-96AC7E287872}">
      <xprd:richInfo pivotCacheGuid="{6A574A0F-7F4C-418C-9AD2-31E8DE109FD5}" pivotIgnoreInvalidCache="1" r:id="rId1"/>
    </ext>
  </extLst>
</pivotCacheDefinition>
</file>

<file path=xl/pivotCache/richPivot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1">
  <r>
    <x v="0"/>
    <x v="0"/>
  </r>
  <r>
    <x v="1"/>
    <x v="1"/>
  </r>
  <r>
    <x v="2"/>
    <x v="2"/>
  </r>
  <r>
    <x v="3"/>
    <x v="3"/>
  </r>
  <r>
    <x v="2"/>
    <x v="2"/>
  </r>
  <r>
    <x v="2"/>
    <x v="2"/>
  </r>
  <r>
    <x v="1"/>
    <x v="4"/>
  </r>
  <r>
    <x v="2"/>
    <x v="2"/>
  </r>
  <r>
    <x v="2"/>
    <x v="2"/>
  </r>
  <r>
    <x v="2"/>
    <x v="2"/>
  </r>
  <r>
    <x v="3"/>
    <x v="3"/>
  </r>
  <r>
    <x v="2"/>
    <x v="2"/>
  </r>
  <r>
    <x v="1"/>
    <x v="5"/>
  </r>
  <r>
    <x v="2"/>
    <x v="2"/>
  </r>
  <r>
    <x v="3"/>
    <x v="3"/>
  </r>
  <r>
    <x v="2"/>
    <x v="2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3"/>
    <x v="3"/>
  </r>
  <r>
    <x v="2"/>
    <x v="2"/>
  </r>
  <r>
    <x v="2"/>
    <x v="2"/>
  </r>
  <r>
    <x v="2"/>
    <x v="2"/>
  </r>
  <r>
    <x v="3"/>
    <x v="6"/>
  </r>
  <r>
    <x v="2"/>
    <x v="2"/>
  </r>
  <r>
    <x v="2"/>
    <x v="2"/>
  </r>
  <r>
    <x v="2"/>
    <x v="2"/>
  </r>
  <r>
    <x v="4"/>
    <x v="7"/>
  </r>
  <r>
    <x v="2"/>
    <x v="2"/>
  </r>
  <r>
    <x v="1"/>
    <x v="8"/>
  </r>
  <r>
    <x v="5"/>
    <x v="9"/>
  </r>
  <r>
    <x v="3"/>
    <x v="3"/>
  </r>
  <r>
    <x v="1"/>
    <x v="4"/>
  </r>
  <r>
    <x v="2"/>
    <x v="2"/>
  </r>
  <r>
    <x v="6"/>
    <x v="10"/>
  </r>
  <r>
    <x v="3"/>
    <x v="3"/>
  </r>
  <r>
    <x v="3"/>
    <x v="6"/>
  </r>
  <r>
    <x v="3"/>
    <x v="3"/>
  </r>
  <r>
    <x v="1"/>
    <x v="11"/>
  </r>
  <r>
    <x v="3"/>
    <x v="12"/>
  </r>
  <r>
    <x v="1"/>
    <x v="5"/>
  </r>
  <r>
    <x v="3"/>
    <x v="3"/>
  </r>
  <r>
    <x v="7"/>
    <x v="13"/>
  </r>
  <r>
    <x v="2"/>
    <x v="2"/>
  </r>
  <r>
    <x v="1"/>
    <x v="14"/>
  </r>
  <r>
    <x v="1"/>
    <x v="1"/>
  </r>
  <r>
    <x v="1"/>
    <x v="15"/>
  </r>
  <r>
    <x v="3"/>
    <x v="6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14"/>
  </r>
  <r>
    <x v="2"/>
    <x v="2"/>
  </r>
  <r>
    <x v="2"/>
    <x v="2"/>
  </r>
  <r>
    <x v="2"/>
    <x v="2"/>
  </r>
  <r>
    <x v="7"/>
    <x v="13"/>
  </r>
  <r>
    <x v="2"/>
    <x v="2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4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3"/>
    <x v="6"/>
  </r>
  <r>
    <x v="1"/>
    <x v="16"/>
  </r>
  <r>
    <x v="2"/>
    <x v="2"/>
  </r>
  <r>
    <x v="2"/>
    <x v="2"/>
  </r>
  <r>
    <x v="2"/>
    <x v="2"/>
  </r>
  <r>
    <x v="1"/>
    <x v="8"/>
  </r>
  <r>
    <x v="2"/>
    <x v="2"/>
  </r>
  <r>
    <x v="1"/>
    <x v="5"/>
  </r>
  <r>
    <x v="3"/>
    <x v="3"/>
  </r>
  <r>
    <x v="3"/>
    <x v="17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14"/>
  </r>
  <r>
    <x v="2"/>
    <x v="2"/>
  </r>
  <r>
    <x v="6"/>
    <x v="10"/>
  </r>
  <r>
    <x v="1"/>
    <x v="11"/>
  </r>
  <r>
    <x v="2"/>
    <x v="2"/>
  </r>
  <r>
    <x v="2"/>
    <x v="2"/>
  </r>
  <r>
    <x v="3"/>
    <x v="3"/>
  </r>
  <r>
    <x v="1"/>
    <x v="18"/>
  </r>
  <r>
    <x v="6"/>
    <x v="19"/>
  </r>
  <r>
    <x v="3"/>
    <x v="3"/>
  </r>
  <r>
    <x v="8"/>
    <x v="20"/>
  </r>
  <r>
    <x v="1"/>
    <x v="14"/>
  </r>
  <r>
    <x v="7"/>
    <x v="21"/>
  </r>
  <r>
    <x v="8"/>
    <x v="20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22"/>
  </r>
  <r>
    <x v="1"/>
    <x v="4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8"/>
    <x v="23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8"/>
    <x v="20"/>
  </r>
  <r>
    <x v="2"/>
    <x v="2"/>
  </r>
  <r>
    <x v="2"/>
    <x v="2"/>
  </r>
  <r>
    <x v="1"/>
    <x v="14"/>
  </r>
  <r>
    <x v="2"/>
    <x v="2"/>
  </r>
  <r>
    <x v="3"/>
    <x v="17"/>
  </r>
  <r>
    <x v="2"/>
    <x v="2"/>
  </r>
  <r>
    <x v="1"/>
    <x v="14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14"/>
  </r>
  <r>
    <x v="2"/>
    <x v="2"/>
  </r>
  <r>
    <x v="2"/>
    <x v="2"/>
  </r>
  <r>
    <x v="3"/>
    <x v="24"/>
  </r>
  <r>
    <x v="2"/>
    <x v="2"/>
  </r>
  <r>
    <x v="3"/>
    <x v="3"/>
  </r>
  <r>
    <x v="1"/>
    <x v="11"/>
  </r>
  <r>
    <x v="8"/>
    <x v="20"/>
  </r>
  <r>
    <x v="2"/>
    <x v="2"/>
  </r>
  <r>
    <x v="3"/>
    <x v="6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2"/>
    <x v="2"/>
  </r>
  <r>
    <x v="8"/>
    <x v="25"/>
  </r>
  <r>
    <x v="6"/>
    <x v="10"/>
  </r>
  <r>
    <x v="3"/>
    <x v="3"/>
  </r>
  <r>
    <x v="3"/>
    <x v="3"/>
  </r>
  <r>
    <x v="2"/>
    <x v="2"/>
  </r>
  <r>
    <x v="2"/>
    <x v="2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3"/>
    <x v="3"/>
  </r>
  <r>
    <x v="1"/>
    <x v="14"/>
  </r>
  <r>
    <x v="2"/>
    <x v="2"/>
  </r>
  <r>
    <x v="2"/>
    <x v="2"/>
  </r>
  <r>
    <x v="1"/>
    <x v="18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2"/>
    <x v="2"/>
  </r>
  <r>
    <x v="2"/>
    <x v="2"/>
  </r>
  <r>
    <x v="2"/>
    <x v="2"/>
  </r>
  <r>
    <x v="3"/>
    <x v="3"/>
  </r>
  <r>
    <x v="2"/>
    <x v="2"/>
  </r>
  <r>
    <x v="3"/>
    <x v="3"/>
  </r>
  <r>
    <x v="6"/>
    <x v="26"/>
  </r>
  <r>
    <x v="2"/>
    <x v="2"/>
  </r>
  <r>
    <x v="2"/>
    <x v="2"/>
  </r>
  <r>
    <x v="2"/>
    <x v="2"/>
  </r>
  <r>
    <x v="2"/>
    <x v="2"/>
  </r>
  <r>
    <x v="4"/>
    <x v="27"/>
  </r>
  <r>
    <x v="2"/>
    <x v="2"/>
  </r>
  <r>
    <x v="2"/>
    <x v="2"/>
  </r>
  <r>
    <x v="6"/>
    <x v="10"/>
  </r>
  <r>
    <x v="3"/>
    <x v="17"/>
  </r>
  <r>
    <x v="3"/>
    <x v="3"/>
  </r>
  <r>
    <x v="2"/>
    <x v="2"/>
  </r>
  <r>
    <x v="3"/>
    <x v="3"/>
  </r>
  <r>
    <x v="1"/>
    <x v="14"/>
  </r>
  <r>
    <x v="2"/>
    <x v="2"/>
  </r>
  <r>
    <x v="8"/>
    <x v="28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3"/>
    <x v="3"/>
  </r>
  <r>
    <x v="2"/>
    <x v="2"/>
  </r>
  <r>
    <x v="7"/>
    <x v="29"/>
  </r>
  <r>
    <x v="2"/>
    <x v="2"/>
  </r>
  <r>
    <x v="2"/>
    <x v="2"/>
  </r>
  <r>
    <x v="2"/>
    <x v="2"/>
  </r>
  <r>
    <x v="2"/>
    <x v="2"/>
  </r>
  <r>
    <x v="6"/>
    <x v="30"/>
  </r>
  <r>
    <x v="8"/>
    <x v="31"/>
  </r>
  <r>
    <x v="2"/>
    <x v="2"/>
  </r>
  <r>
    <x v="2"/>
    <x v="2"/>
  </r>
  <r>
    <x v="1"/>
    <x v="14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3"/>
    <x v="3"/>
  </r>
  <r>
    <x v="1"/>
    <x v="4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6"/>
    <x v="26"/>
  </r>
  <r>
    <x v="2"/>
    <x v="2"/>
  </r>
  <r>
    <x v="1"/>
    <x v="11"/>
  </r>
  <r>
    <x v="2"/>
    <x v="2"/>
  </r>
  <r>
    <x v="2"/>
    <x v="2"/>
  </r>
  <r>
    <x v="2"/>
    <x v="2"/>
  </r>
  <r>
    <x v="6"/>
    <x v="10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3"/>
    <x v="6"/>
  </r>
  <r>
    <x v="8"/>
    <x v="20"/>
  </r>
  <r>
    <x v="1"/>
    <x v="5"/>
  </r>
  <r>
    <x v="2"/>
    <x v="2"/>
  </r>
  <r>
    <x v="2"/>
    <x v="2"/>
  </r>
  <r>
    <x v="2"/>
    <x v="2"/>
  </r>
  <r>
    <x v="2"/>
    <x v="2"/>
  </r>
  <r>
    <x v="2"/>
    <x v="2"/>
  </r>
  <r>
    <x v="5"/>
    <x v="32"/>
  </r>
  <r>
    <x v="8"/>
    <x v="23"/>
  </r>
  <r>
    <x v="2"/>
    <x v="2"/>
  </r>
  <r>
    <x v="2"/>
    <x v="2"/>
  </r>
  <r>
    <x v="2"/>
    <x v="2"/>
  </r>
  <r>
    <x v="2"/>
    <x v="2"/>
  </r>
  <r>
    <x v="8"/>
    <x v="20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14"/>
  </r>
  <r>
    <x v="3"/>
    <x v="3"/>
  </r>
  <r>
    <x v="3"/>
    <x v="3"/>
  </r>
  <r>
    <x v="3"/>
    <x v="3"/>
  </r>
  <r>
    <x v="6"/>
    <x v="10"/>
  </r>
  <r>
    <x v="2"/>
    <x v="2"/>
  </r>
  <r>
    <x v="2"/>
    <x v="2"/>
  </r>
  <r>
    <x v="1"/>
    <x v="33"/>
  </r>
  <r>
    <x v="3"/>
    <x v="3"/>
  </r>
  <r>
    <x v="2"/>
    <x v="2"/>
  </r>
  <r>
    <x v="2"/>
    <x v="2"/>
  </r>
  <r>
    <x v="2"/>
    <x v="2"/>
  </r>
  <r>
    <x v="2"/>
    <x v="2"/>
  </r>
  <r>
    <x v="1"/>
    <x v="4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2"/>
    <x v="2"/>
  </r>
  <r>
    <x v="8"/>
    <x v="23"/>
  </r>
  <r>
    <x v="3"/>
    <x v="17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33"/>
  </r>
  <r>
    <x v="1"/>
    <x v="34"/>
  </r>
  <r>
    <x v="8"/>
    <x v="20"/>
  </r>
  <r>
    <x v="2"/>
    <x v="2"/>
  </r>
  <r>
    <x v="1"/>
    <x v="4"/>
  </r>
  <r>
    <x v="2"/>
    <x v="2"/>
  </r>
  <r>
    <x v="3"/>
    <x v="3"/>
  </r>
  <r>
    <x v="8"/>
    <x v="20"/>
  </r>
  <r>
    <x v="8"/>
    <x v="31"/>
  </r>
  <r>
    <x v="2"/>
    <x v="2"/>
  </r>
  <r>
    <x v="1"/>
    <x v="14"/>
  </r>
  <r>
    <x v="2"/>
    <x v="2"/>
  </r>
  <r>
    <x v="2"/>
    <x v="2"/>
  </r>
  <r>
    <x v="2"/>
    <x v="2"/>
  </r>
  <r>
    <x v="2"/>
    <x v="2"/>
  </r>
  <r>
    <x v="2"/>
    <x v="2"/>
  </r>
  <r>
    <x v="1"/>
    <x v="34"/>
  </r>
  <r>
    <x v="2"/>
    <x v="2"/>
  </r>
  <r>
    <x v="1"/>
    <x v="35"/>
  </r>
  <r>
    <x v="2"/>
    <x v="2"/>
  </r>
  <r>
    <x v="2"/>
    <x v="2"/>
  </r>
  <r>
    <x v="2"/>
    <x v="2"/>
  </r>
  <r>
    <x v="2"/>
    <x v="2"/>
  </r>
  <r>
    <x v="2"/>
    <x v="2"/>
  </r>
  <r>
    <x v="8"/>
    <x v="20"/>
  </r>
  <r>
    <x v="1"/>
    <x v="36"/>
  </r>
  <r>
    <x v="2"/>
    <x v="2"/>
  </r>
  <r>
    <x v="2"/>
    <x v="2"/>
  </r>
  <r>
    <x v="3"/>
    <x v="6"/>
  </r>
  <r>
    <x v="3"/>
    <x v="3"/>
  </r>
  <r>
    <x v="2"/>
    <x v="2"/>
  </r>
  <r>
    <x v="2"/>
    <x v="2"/>
  </r>
  <r>
    <x v="2"/>
    <x v="2"/>
  </r>
  <r>
    <x v="2"/>
    <x v="2"/>
  </r>
  <r>
    <x v="3"/>
    <x v="17"/>
  </r>
  <r>
    <x v="6"/>
    <x v="37"/>
  </r>
  <r>
    <x v="8"/>
    <x v="20"/>
  </r>
  <r>
    <x v="1"/>
    <x v="1"/>
  </r>
  <r>
    <x v="2"/>
    <x v="2"/>
  </r>
  <r>
    <x v="7"/>
    <x v="13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3"/>
    <x v="6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3"/>
    <x v="17"/>
  </r>
  <r>
    <x v="2"/>
    <x v="2"/>
  </r>
  <r>
    <x v="2"/>
    <x v="2"/>
  </r>
  <r>
    <x v="3"/>
    <x v="6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4"/>
  </r>
  <r>
    <x v="2"/>
    <x v="2"/>
  </r>
  <r>
    <x v="2"/>
    <x v="2"/>
  </r>
  <r>
    <x v="2"/>
    <x v="2"/>
  </r>
  <r>
    <x v="1"/>
    <x v="14"/>
  </r>
  <r>
    <x v="2"/>
    <x v="2"/>
  </r>
  <r>
    <x v="7"/>
    <x v="29"/>
  </r>
  <r>
    <x v="7"/>
    <x v="29"/>
  </r>
  <r>
    <x v="2"/>
    <x v="2"/>
  </r>
  <r>
    <x v="3"/>
    <x v="3"/>
  </r>
  <r>
    <x v="2"/>
    <x v="2"/>
  </r>
  <r>
    <x v="2"/>
    <x v="2"/>
  </r>
  <r>
    <x v="2"/>
    <x v="2"/>
  </r>
  <r>
    <x v="3"/>
    <x v="3"/>
  </r>
  <r>
    <x v="2"/>
    <x v="2"/>
  </r>
  <r>
    <x v="2"/>
    <x v="2"/>
  </r>
  <r>
    <x v="3"/>
    <x v="3"/>
  </r>
  <r>
    <x v="1"/>
    <x v="4"/>
  </r>
  <r>
    <x v="1"/>
    <x v="22"/>
  </r>
  <r>
    <x v="8"/>
    <x v="23"/>
  </r>
  <r>
    <x v="2"/>
    <x v="2"/>
  </r>
  <r>
    <x v="2"/>
    <x v="2"/>
  </r>
  <r>
    <x v="2"/>
    <x v="2"/>
  </r>
  <r>
    <x v="3"/>
    <x v="3"/>
  </r>
  <r>
    <x v="8"/>
    <x v="20"/>
  </r>
  <r>
    <x v="2"/>
    <x v="2"/>
  </r>
  <r>
    <x v="2"/>
    <x v="2"/>
  </r>
  <r>
    <x v="2"/>
    <x v="2"/>
  </r>
  <r>
    <x v="2"/>
    <x v="2"/>
  </r>
  <r>
    <x v="8"/>
    <x v="20"/>
  </r>
  <r>
    <x v="2"/>
    <x v="2"/>
  </r>
  <r>
    <x v="2"/>
    <x v="2"/>
  </r>
  <r>
    <x v="3"/>
    <x v="17"/>
  </r>
  <r>
    <x v="2"/>
    <x v="2"/>
  </r>
  <r>
    <x v="3"/>
    <x v="17"/>
  </r>
  <r>
    <x v="2"/>
    <x v="2"/>
  </r>
  <r>
    <x v="2"/>
    <x v="2"/>
  </r>
  <r>
    <x v="3"/>
    <x v="3"/>
  </r>
  <r>
    <x v="2"/>
    <x v="2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3"/>
    <x v="17"/>
  </r>
  <r>
    <x v="3"/>
    <x v="38"/>
  </r>
  <r>
    <x v="2"/>
    <x v="2"/>
  </r>
  <r>
    <x v="2"/>
    <x v="2"/>
  </r>
  <r>
    <x v="2"/>
    <x v="2"/>
  </r>
  <r>
    <x v="2"/>
    <x v="2"/>
  </r>
  <r>
    <x v="2"/>
    <x v="2"/>
  </r>
  <r>
    <x v="3"/>
    <x v="17"/>
  </r>
  <r>
    <x v="2"/>
    <x v="2"/>
  </r>
  <r>
    <x v="3"/>
    <x v="3"/>
  </r>
  <r>
    <x v="3"/>
    <x v="3"/>
  </r>
  <r>
    <x v="2"/>
    <x v="39"/>
  </r>
  <r>
    <x v="3"/>
    <x v="3"/>
  </r>
  <r>
    <x v="2"/>
    <x v="2"/>
  </r>
  <r>
    <x v="2"/>
    <x v="2"/>
  </r>
  <r>
    <x v="2"/>
    <x v="2"/>
  </r>
  <r>
    <x v="2"/>
    <x v="2"/>
  </r>
  <r>
    <x v="2"/>
    <x v="2"/>
  </r>
  <r>
    <x v="3"/>
    <x v="17"/>
  </r>
  <r>
    <x v="2"/>
    <x v="2"/>
  </r>
  <r>
    <x v="2"/>
    <x v="2"/>
  </r>
  <r>
    <x v="2"/>
    <x v="2"/>
  </r>
  <r>
    <x v="2"/>
    <x v="2"/>
  </r>
  <r>
    <x v="8"/>
    <x v="20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2"/>
    <x v="2"/>
  </r>
  <r>
    <x v="3"/>
    <x v="3"/>
  </r>
  <r>
    <x v="2"/>
    <x v="2"/>
  </r>
  <r>
    <x v="2"/>
    <x v="2"/>
  </r>
  <r>
    <x v="2"/>
    <x v="2"/>
  </r>
  <r>
    <x v="8"/>
    <x v="23"/>
  </r>
  <r>
    <x v="2"/>
    <x v="2"/>
  </r>
  <r>
    <x v="8"/>
    <x v="20"/>
  </r>
  <r>
    <x v="2"/>
    <x v="2"/>
  </r>
  <r>
    <x v="8"/>
    <x v="23"/>
  </r>
  <r>
    <x v="2"/>
    <x v="2"/>
  </r>
  <r>
    <x v="8"/>
    <x v="40"/>
  </r>
  <r>
    <x v="1"/>
    <x v="14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4"/>
  </r>
  <r>
    <x v="2"/>
    <x v="2"/>
  </r>
  <r>
    <x v="3"/>
    <x v="17"/>
  </r>
  <r>
    <x v="2"/>
    <x v="2"/>
  </r>
  <r>
    <x v="2"/>
    <x v="2"/>
  </r>
  <r>
    <x v="3"/>
    <x v="17"/>
  </r>
  <r>
    <x v="7"/>
    <x v="29"/>
  </r>
  <r>
    <x v="1"/>
    <x v="41"/>
  </r>
  <r>
    <x v="2"/>
    <x v="2"/>
  </r>
  <r>
    <x v="2"/>
    <x v="2"/>
  </r>
  <r>
    <x v="3"/>
    <x v="3"/>
  </r>
  <r>
    <x v="2"/>
    <x v="2"/>
  </r>
  <r>
    <x v="2"/>
    <x v="2"/>
  </r>
  <r>
    <x v="2"/>
    <x v="2"/>
  </r>
  <r>
    <x v="8"/>
    <x v="20"/>
  </r>
  <r>
    <x v="3"/>
    <x v="3"/>
  </r>
  <r>
    <x v="2"/>
    <x v="2"/>
  </r>
  <r>
    <x v="3"/>
    <x v="3"/>
  </r>
  <r>
    <x v="3"/>
    <x v="17"/>
  </r>
  <r>
    <x v="2"/>
    <x v="2"/>
  </r>
  <r>
    <x v="2"/>
    <x v="2"/>
  </r>
  <r>
    <x v="2"/>
    <x v="2"/>
  </r>
  <r>
    <x v="3"/>
    <x v="3"/>
  </r>
  <r>
    <x v="2"/>
    <x v="2"/>
  </r>
  <r>
    <x v="3"/>
    <x v="3"/>
  </r>
  <r>
    <x v="1"/>
    <x v="4"/>
  </r>
  <r>
    <x v="2"/>
    <x v="2"/>
  </r>
  <r>
    <x v="2"/>
    <x v="2"/>
  </r>
  <r>
    <x v="2"/>
    <x v="2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8"/>
    <x v="25"/>
  </r>
  <r>
    <x v="3"/>
    <x v="6"/>
  </r>
  <r>
    <x v="3"/>
    <x v="3"/>
  </r>
  <r>
    <x v="3"/>
    <x v="6"/>
  </r>
  <r>
    <x v="3"/>
    <x v="17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14"/>
  </r>
  <r>
    <x v="2"/>
    <x v="2"/>
  </r>
  <r>
    <x v="2"/>
    <x v="2"/>
  </r>
  <r>
    <x v="2"/>
    <x v="2"/>
  </r>
  <r>
    <x v="2"/>
    <x v="2"/>
  </r>
  <r>
    <x v="7"/>
    <x v="29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6"/>
    <x v="10"/>
  </r>
  <r>
    <x v="2"/>
    <x v="2"/>
  </r>
  <r>
    <x v="2"/>
    <x v="39"/>
  </r>
  <r>
    <x v="3"/>
    <x v="6"/>
  </r>
  <r>
    <x v="2"/>
    <x v="2"/>
  </r>
  <r>
    <x v="3"/>
    <x v="42"/>
  </r>
  <r>
    <x v="2"/>
    <x v="2"/>
  </r>
  <r>
    <x v="2"/>
    <x v="2"/>
  </r>
  <r>
    <x v="8"/>
    <x v="20"/>
  </r>
  <r>
    <x v="2"/>
    <x v="2"/>
  </r>
  <r>
    <x v="1"/>
    <x v="41"/>
  </r>
  <r>
    <x v="2"/>
    <x v="2"/>
  </r>
  <r>
    <x v="2"/>
    <x v="2"/>
  </r>
  <r>
    <x v="2"/>
    <x v="2"/>
  </r>
  <r>
    <x v="2"/>
    <x v="2"/>
  </r>
  <r>
    <x v="3"/>
    <x v="3"/>
  </r>
  <r>
    <x v="2"/>
    <x v="2"/>
  </r>
  <r>
    <x v="2"/>
    <x v="2"/>
  </r>
  <r>
    <x v="1"/>
    <x v="43"/>
  </r>
  <r>
    <x v="2"/>
    <x v="2"/>
  </r>
  <r>
    <x v="2"/>
    <x v="2"/>
  </r>
  <r>
    <x v="2"/>
    <x v="2"/>
  </r>
  <r>
    <x v="2"/>
    <x v="2"/>
  </r>
  <r>
    <x v="3"/>
    <x v="3"/>
  </r>
  <r>
    <x v="3"/>
    <x v="3"/>
  </r>
  <r>
    <x v="3"/>
    <x v="3"/>
  </r>
  <r>
    <x v="1"/>
    <x v="4"/>
  </r>
  <r>
    <x v="2"/>
    <x v="2"/>
  </r>
  <r>
    <x v="8"/>
    <x v="25"/>
  </r>
  <r>
    <x v="3"/>
    <x v="3"/>
  </r>
  <r>
    <x v="1"/>
    <x v="18"/>
  </r>
  <r>
    <x v="2"/>
    <x v="2"/>
  </r>
  <r>
    <x v="8"/>
    <x v="20"/>
  </r>
  <r>
    <x v="8"/>
    <x v="44"/>
  </r>
  <r>
    <x v="8"/>
    <x v="20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3"/>
    <x v="3"/>
  </r>
  <r>
    <x v="1"/>
    <x v="4"/>
  </r>
  <r>
    <x v="1"/>
    <x v="36"/>
  </r>
  <r>
    <x v="3"/>
    <x v="24"/>
  </r>
  <r>
    <x v="3"/>
    <x v="6"/>
  </r>
  <r>
    <x v="7"/>
    <x v="29"/>
  </r>
  <r>
    <x v="1"/>
    <x v="1"/>
  </r>
  <r>
    <x v="2"/>
    <x v="2"/>
  </r>
  <r>
    <x v="2"/>
    <x v="2"/>
  </r>
  <r>
    <x v="2"/>
    <x v="2"/>
  </r>
  <r>
    <x v="2"/>
    <x v="2"/>
  </r>
  <r>
    <x v="2"/>
    <x v="2"/>
  </r>
  <r>
    <x v="3"/>
    <x v="24"/>
  </r>
  <r>
    <x v="3"/>
    <x v="17"/>
  </r>
  <r>
    <x v="1"/>
    <x v="45"/>
  </r>
  <r>
    <x v="3"/>
    <x v="3"/>
  </r>
  <r>
    <x v="1"/>
    <x v="11"/>
  </r>
  <r>
    <x v="6"/>
    <x v="46"/>
  </r>
  <r>
    <x v="2"/>
    <x v="2"/>
  </r>
  <r>
    <x v="2"/>
    <x v="2"/>
  </r>
  <r>
    <x v="8"/>
    <x v="20"/>
  </r>
  <r>
    <x v="3"/>
    <x v="6"/>
  </r>
  <r>
    <x v="3"/>
    <x v="6"/>
  </r>
  <r>
    <x v="2"/>
    <x v="2"/>
  </r>
  <r>
    <x v="6"/>
    <x v="47"/>
  </r>
  <r>
    <x v="3"/>
    <x v="3"/>
  </r>
  <r>
    <x v="3"/>
    <x v="3"/>
  </r>
  <r>
    <x v="2"/>
    <x v="2"/>
  </r>
  <r>
    <x v="2"/>
    <x v="2"/>
  </r>
  <r>
    <x v="2"/>
    <x v="2"/>
  </r>
  <r>
    <x v="8"/>
    <x v="20"/>
  </r>
  <r>
    <x v="2"/>
    <x v="2"/>
  </r>
  <r>
    <x v="2"/>
    <x v="2"/>
  </r>
  <r>
    <x v="1"/>
    <x v="48"/>
  </r>
  <r>
    <x v="8"/>
    <x v="25"/>
  </r>
  <r>
    <x v="3"/>
    <x v="3"/>
  </r>
  <r>
    <x v="3"/>
    <x v="6"/>
  </r>
  <r>
    <x v="3"/>
    <x v="6"/>
  </r>
  <r>
    <x v="2"/>
    <x v="2"/>
  </r>
  <r>
    <x v="3"/>
    <x v="6"/>
  </r>
  <r>
    <x v="2"/>
    <x v="2"/>
  </r>
  <r>
    <x v="2"/>
    <x v="2"/>
  </r>
  <r>
    <x v="3"/>
    <x v="17"/>
  </r>
  <r>
    <x v="2"/>
    <x v="2"/>
  </r>
  <r>
    <x v="2"/>
    <x v="2"/>
  </r>
  <r>
    <x v="3"/>
    <x v="6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14"/>
  </r>
  <r>
    <x v="2"/>
    <x v="2"/>
  </r>
  <r>
    <x v="2"/>
    <x v="2"/>
  </r>
  <r>
    <x v="3"/>
    <x v="3"/>
  </r>
  <r>
    <x v="1"/>
    <x v="36"/>
  </r>
  <r>
    <x v="3"/>
    <x v="3"/>
  </r>
  <r>
    <x v="3"/>
    <x v="3"/>
  </r>
  <r>
    <x v="3"/>
    <x v="3"/>
  </r>
  <r>
    <x v="1"/>
    <x v="4"/>
  </r>
  <r>
    <x v="2"/>
    <x v="2"/>
  </r>
  <r>
    <x v="3"/>
    <x v="3"/>
  </r>
  <r>
    <x v="8"/>
    <x v="20"/>
  </r>
  <r>
    <x v="8"/>
    <x v="20"/>
  </r>
  <r>
    <x v="3"/>
    <x v="38"/>
  </r>
  <r>
    <x v="2"/>
    <x v="2"/>
  </r>
  <r>
    <x v="3"/>
    <x v="3"/>
  </r>
  <r>
    <x v="8"/>
    <x v="28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3"/>
    <x v="3"/>
  </r>
  <r>
    <x v="2"/>
    <x v="2"/>
  </r>
  <r>
    <x v="8"/>
    <x v="28"/>
  </r>
  <r>
    <x v="6"/>
    <x v="26"/>
  </r>
  <r>
    <x v="3"/>
    <x v="6"/>
  </r>
  <r>
    <x v="2"/>
    <x v="2"/>
  </r>
  <r>
    <x v="1"/>
    <x v="4"/>
  </r>
  <r>
    <x v="1"/>
    <x v="4"/>
  </r>
  <r>
    <x v="2"/>
    <x v="2"/>
  </r>
  <r>
    <x v="2"/>
    <x v="2"/>
  </r>
  <r>
    <x v="2"/>
    <x v="2"/>
  </r>
  <r>
    <x v="2"/>
    <x v="2"/>
  </r>
  <r>
    <x v="8"/>
    <x v="28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2"/>
    <x v="2"/>
  </r>
  <r>
    <x v="2"/>
    <x v="2"/>
  </r>
  <r>
    <x v="8"/>
    <x v="20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1"/>
    <x v="11"/>
  </r>
  <r>
    <x v="2"/>
    <x v="2"/>
  </r>
  <r>
    <x v="2"/>
    <x v="2"/>
  </r>
  <r>
    <x v="3"/>
    <x v="3"/>
  </r>
  <r>
    <x v="2"/>
    <x v="2"/>
  </r>
  <r>
    <x v="2"/>
    <x v="2"/>
  </r>
  <r>
    <x v="2"/>
    <x v="2"/>
  </r>
  <r>
    <x v="3"/>
    <x v="42"/>
  </r>
  <r>
    <x v="2"/>
    <x v="2"/>
  </r>
  <r>
    <x v="2"/>
    <x v="2"/>
  </r>
  <r>
    <x v="2"/>
    <x v="2"/>
  </r>
  <r>
    <x v="3"/>
    <x v="3"/>
  </r>
  <r>
    <x v="3"/>
    <x v="3"/>
  </r>
  <r>
    <x v="2"/>
    <x v="2"/>
  </r>
  <r>
    <x v="3"/>
    <x v="17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2"/>
    <x v="2"/>
  </r>
  <r>
    <x v="8"/>
    <x v="28"/>
  </r>
  <r>
    <x v="2"/>
    <x v="2"/>
  </r>
  <r>
    <x v="2"/>
    <x v="2"/>
  </r>
  <r>
    <x v="1"/>
    <x v="14"/>
  </r>
  <r>
    <x v="2"/>
    <x v="2"/>
  </r>
  <r>
    <x v="1"/>
    <x v="4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3"/>
    <x v="3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86A8E5-3452-4EE7-B5D7-957795C164E0}" name="Tabella pivot1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A3:B62" firstHeaderRow="1" firstDataRow="1" firstDataCol="1"/>
  <pivotFields count="2">
    <pivotField axis="axisRow" dataField="1" showAll="0" sortType="descending">
      <items count="10">
        <item x="2"/>
        <item x="7"/>
        <item x="3"/>
        <item x="6"/>
        <item x="1"/>
        <item x="4"/>
        <item x="8"/>
        <item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50">
        <item x="2"/>
        <item x="13"/>
        <item x="24"/>
        <item x="19"/>
        <item x="46"/>
        <item x="28"/>
        <item x="20"/>
        <item x="9"/>
        <item x="32"/>
        <item x="31"/>
        <item x="23"/>
        <item x="44"/>
        <item x="35"/>
        <item x="3"/>
        <item x="26"/>
        <item x="37"/>
        <item x="14"/>
        <item x="7"/>
        <item x="5"/>
        <item x="4"/>
        <item x="27"/>
        <item x="11"/>
        <item x="10"/>
        <item x="8"/>
        <item x="30"/>
        <item x="33"/>
        <item x="1"/>
        <item x="47"/>
        <item x="21"/>
        <item x="40"/>
        <item x="29"/>
        <item x="42"/>
        <item x="48"/>
        <item x="18"/>
        <item x="36"/>
        <item x="17"/>
        <item x="12"/>
        <item x="45"/>
        <item x="15"/>
        <item x="34"/>
        <item x="6"/>
        <item x="16"/>
        <item x="22"/>
        <item x="41"/>
        <item x="43"/>
        <item x="38"/>
        <item x="25"/>
        <item x="39"/>
        <item x="0"/>
        <item t="default"/>
      </items>
    </pivotField>
  </pivotFields>
  <rowFields count="2">
    <field x="0"/>
    <field x="1"/>
  </rowFields>
  <rowItems count="59">
    <i>
      <x/>
    </i>
    <i r="1">
      <x/>
    </i>
    <i r="1">
      <x v="47"/>
    </i>
    <i>
      <x v="2"/>
    </i>
    <i r="1">
      <x v="2"/>
    </i>
    <i r="1">
      <x v="13"/>
    </i>
    <i r="1">
      <x v="31"/>
    </i>
    <i r="1">
      <x v="35"/>
    </i>
    <i r="1">
      <x v="36"/>
    </i>
    <i r="1">
      <x v="40"/>
    </i>
    <i r="1">
      <x v="45"/>
    </i>
    <i>
      <x v="4"/>
    </i>
    <i r="1">
      <x v="12"/>
    </i>
    <i r="1">
      <x v="16"/>
    </i>
    <i r="1">
      <x v="18"/>
    </i>
    <i r="1">
      <x v="19"/>
    </i>
    <i r="1">
      <x v="21"/>
    </i>
    <i r="1">
      <x v="23"/>
    </i>
    <i r="1">
      <x v="25"/>
    </i>
    <i r="1">
      <x v="26"/>
    </i>
    <i r="1">
      <x v="32"/>
    </i>
    <i r="1">
      <x v="33"/>
    </i>
    <i r="1">
      <x v="34"/>
    </i>
    <i r="1">
      <x v="37"/>
    </i>
    <i r="1">
      <x v="38"/>
    </i>
    <i r="1">
      <x v="39"/>
    </i>
    <i r="1">
      <x v="41"/>
    </i>
    <i r="1">
      <x v="42"/>
    </i>
    <i r="1">
      <x v="43"/>
    </i>
    <i r="1">
      <x v="44"/>
    </i>
    <i>
      <x v="6"/>
    </i>
    <i r="1">
      <x v="5"/>
    </i>
    <i r="1">
      <x v="6"/>
    </i>
    <i r="1">
      <x v="9"/>
    </i>
    <i r="1">
      <x v="10"/>
    </i>
    <i r="1">
      <x v="11"/>
    </i>
    <i r="1">
      <x v="29"/>
    </i>
    <i r="1">
      <x v="46"/>
    </i>
    <i>
      <x v="3"/>
    </i>
    <i r="1">
      <x v="3"/>
    </i>
    <i r="1">
      <x v="4"/>
    </i>
    <i r="1">
      <x v="14"/>
    </i>
    <i r="1">
      <x v="15"/>
    </i>
    <i r="1">
      <x v="22"/>
    </i>
    <i r="1">
      <x v="24"/>
    </i>
    <i r="1">
      <x v="27"/>
    </i>
    <i>
      <x v="1"/>
    </i>
    <i r="1">
      <x v="1"/>
    </i>
    <i r="1">
      <x v="28"/>
    </i>
    <i r="1">
      <x v="30"/>
    </i>
    <i>
      <x v="7"/>
    </i>
    <i r="1">
      <x v="7"/>
    </i>
    <i r="1">
      <x v="8"/>
    </i>
    <i>
      <x v="5"/>
    </i>
    <i r="1">
      <x v="17"/>
    </i>
    <i r="1">
      <x v="20"/>
    </i>
    <i>
      <x v="8"/>
    </i>
    <i r="1">
      <x v="48"/>
    </i>
    <i t="grand">
      <x/>
    </i>
  </rowItems>
  <colItems count="1">
    <i/>
  </colItems>
  <dataFields count="1">
    <dataField name="Conteggio di Macrofunzioni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  <ext xmlns:xxpvi="http://schemas.microsoft.com/office/spreadsheetml/2022/pivotVersionInfo" uri="{9F748A41-CAEA-4470-BF7A-CE61E8FFA7F9}">
      <xxpvi:pivotVersionInfo>
        <xxpvi:lastUpdateFeature>RichData</xxpvi:lastUpdateFeature>
      </xxpvi:pivotVersionInfo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50"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e">#NULL!</v>
    <v t="r">1</v>
    <v t="e">#NULL!</v>
    <v t="e">#NULL!</v>
    <v t="e">#NULL!</v>
    <v t="e">#NULL!</v>
    <v t="e">#NULL!</v>
    <v t="e">#NULL!</v>
    <v t="e">#NULL!</v>
    <v t="e">#NULL!</v>
    <v t="e">#NULL!</v>
    <v t="i">1</v>
  </a>
</arrayData>
</file>

<file path=xl/richData/rdrichvalue.xml><?xml version="1.0" encoding="utf-8"?>
<rvData xmlns="http://schemas.microsoft.com/office/spreadsheetml/2017/richdata" count="4">
  <rv s="0">
    <v>13</v>
    <v>3</v>
  </rv>
  <rv s="1">
    <v>13</v>
    <v>1</v>
  </rv>
  <rv s="2">
    <v>0</v>
  </rv>
  <rv s="3">
    <v>{6A574A0F-7F4C-418C-9AD2-31E8DE109FD5}</v>
    <v>0</v>
    <v>0</v>
    <v>2</v>
  </rv>
</rvData>
</file>

<file path=xl/richData/rdrichvaluestructure.xml><?xml version="1.0" encoding="utf-8"?>
<rvStructures xmlns="http://schemas.microsoft.com/office/spreadsheetml/2017/richdata" count="4">
  <s t="_error">
    <k n="errorType" t="i"/>
    <k n="subType" t="i"/>
  </s>
  <s t="_error">
    <k n="errorType" t="i"/>
    <k n="propagated" t="b"/>
  </s>
  <s t="_array">
    <k n="array" t="a"/>
  </s>
  <s t="_datasourcecontainer">
    <k n="%XLUID" t="s"/>
    <k n="_CRID" t="i"/>
    <k n="_Display" t="spb"/>
    <k n="Microfunzioni" t="r"/>
  </s>
</rvStructures>
</file>

<file path=xl/richData/rdsupportingpropertybag.xml><?xml version="1.0" encoding="utf-8"?>
<supportingPropertyBags xmlns="http://schemas.microsoft.com/office/spreadsheetml/2017/richdata2">
  <spbArrays count="1">
    <a count="4">
      <v t="s">Microfunzioni</v>
      <v t="s">_CRID</v>
      <v t="s">%XLUID</v>
      <v t="s">_Display</v>
    </a>
  </spbArrays>
  <spbData count="1">
    <spb s="0">
      <v>0</v>
    </spb>
  </spbData>
</supportingPropertyBags>
</file>

<file path=xl/richData/rdsupportingpropertybagstructure.xml><?xml version="1.0" encoding="utf-8"?>
<spbStructures xmlns="http://schemas.microsoft.com/office/spreadsheetml/2017/richdata2" count="1">
  <s>
    <k n="^Order" t="spba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earch.corpuskiparla.it/corpus/player/player.cgi?code=PBC015&amp;begin=1858970&amp;end=1863160" TargetMode="External"/><Relationship Id="rId671" Type="http://schemas.openxmlformats.org/officeDocument/2006/relationships/hyperlink" Target="https://search.corpuskiparla.it/corpus/player/player.cgi?code=BOA3017&amp;begin=930610&amp;end=934750" TargetMode="External"/><Relationship Id="rId769" Type="http://schemas.openxmlformats.org/officeDocument/2006/relationships/hyperlink" Target="https://search.corpuskiparla.it/corpus/player/player.cgi?code=KPN013&amp;begin=1942697&amp;end=1944953" TargetMode="External"/><Relationship Id="rId21" Type="http://schemas.openxmlformats.org/officeDocument/2006/relationships/hyperlink" Target="https://search.corpuskiparla.it/corpus/player/player.cgi?code=TOA3005&amp;begin=471513&amp;end=474393" TargetMode="External"/><Relationship Id="rId324" Type="http://schemas.openxmlformats.org/officeDocument/2006/relationships/hyperlink" Target="https://search.corpuskiparla.it/corpus/player/player.cgi?code=PTB021&amp;begin=1304276&amp;end=1307010" TargetMode="External"/><Relationship Id="rId531" Type="http://schemas.openxmlformats.org/officeDocument/2006/relationships/hyperlink" Target="https://search.corpuskiparla.it/corpus/player/player.cgi?code=PBB024&amp;begin=2086340&amp;end=2090329" TargetMode="External"/><Relationship Id="rId629" Type="http://schemas.openxmlformats.org/officeDocument/2006/relationships/hyperlink" Target="https://search.corpuskiparla.it/corpus/player/player.cgi?code=PBC012&amp;begin=1908726&amp;end=1917197" TargetMode="External"/><Relationship Id="rId170" Type="http://schemas.openxmlformats.org/officeDocument/2006/relationships/hyperlink" Target="https://search.corpuskiparla.it/corpus/player/player.cgi?code=PBA011&amp;begin=1215918&amp;end=1221992" TargetMode="External"/><Relationship Id="rId268" Type="http://schemas.openxmlformats.org/officeDocument/2006/relationships/hyperlink" Target="https://search.corpuskiparla.it/corpus/player/player.cgi?code=BOA3011&amp;begin=242387&amp;end=246468" TargetMode="External"/><Relationship Id="rId475" Type="http://schemas.openxmlformats.org/officeDocument/2006/relationships/hyperlink" Target="https://search.corpuskiparla.it/corpus/player/player.cgi?code=KPN017&amp;begin=739999&amp;end=742245" TargetMode="External"/><Relationship Id="rId682" Type="http://schemas.openxmlformats.org/officeDocument/2006/relationships/hyperlink" Target="https://search.corpuskiparla.it/corpus/player/player.cgi?code=BOA3001&amp;begin=2544324&amp;end=2546962" TargetMode="External"/><Relationship Id="rId32" Type="http://schemas.openxmlformats.org/officeDocument/2006/relationships/hyperlink" Target="https://search.corpuskiparla.it/corpus/player/player.cgi?code=PBB033&amp;begin=1275371&amp;end=1283413" TargetMode="External"/><Relationship Id="rId128" Type="http://schemas.openxmlformats.org/officeDocument/2006/relationships/hyperlink" Target="https://search.corpuskiparla.it/corpus/player/player.cgi?code=PTA003&amp;begin=3086360&amp;end=3092355" TargetMode="External"/><Relationship Id="rId335" Type="http://schemas.openxmlformats.org/officeDocument/2006/relationships/hyperlink" Target="https://search.corpuskiparla.it/corpus/player/player.cgi?code=PBA006&amp;begin=1642805&amp;end=1646725" TargetMode="External"/><Relationship Id="rId542" Type="http://schemas.openxmlformats.org/officeDocument/2006/relationships/hyperlink" Target="https://search.corpuskiparla.it/corpus/player/player.cgi?code=KPN016&amp;begin=1601852&amp;end=1606992" TargetMode="External"/><Relationship Id="rId181" Type="http://schemas.openxmlformats.org/officeDocument/2006/relationships/hyperlink" Target="https://search.corpuskiparla.it/corpus/player/player.cgi?code=PBC013&amp;begin=1963093&amp;end=1968391" TargetMode="External"/><Relationship Id="rId402" Type="http://schemas.openxmlformats.org/officeDocument/2006/relationships/hyperlink" Target="https://search.corpuskiparla.it/corpus/player/player.cgi?code=PBB030&amp;begin=894549&amp;end=899607" TargetMode="External"/><Relationship Id="rId279" Type="http://schemas.openxmlformats.org/officeDocument/2006/relationships/hyperlink" Target="https://search.corpuskiparla.it/corpus/player/player.cgi?code=PTD016&amp;begin=2597210&amp;end=2599415" TargetMode="External"/><Relationship Id="rId486" Type="http://schemas.openxmlformats.org/officeDocument/2006/relationships/hyperlink" Target="https://search.corpuskiparla.it/corpus/player/player.cgi?code=BOD1001&amp;begin=5600912&amp;end=5604370" TargetMode="External"/><Relationship Id="rId693" Type="http://schemas.openxmlformats.org/officeDocument/2006/relationships/hyperlink" Target="https://search.corpuskiparla.it/corpus/player/player.cgi?code=KPS006&amp;begin=1763064&amp;end=1764116" TargetMode="External"/><Relationship Id="rId707" Type="http://schemas.openxmlformats.org/officeDocument/2006/relationships/hyperlink" Target="https://search.corpuskiparla.it/corpus/player/player.cgi?code=PBB005&amp;begin=2494294&amp;end=2500581" TargetMode="External"/><Relationship Id="rId43" Type="http://schemas.openxmlformats.org/officeDocument/2006/relationships/hyperlink" Target="https://search.corpuskiparla.it/corpus/player/player.cgi?code=PBB033&amp;begin=2134304&amp;end=2140474" TargetMode="External"/><Relationship Id="rId139" Type="http://schemas.openxmlformats.org/officeDocument/2006/relationships/hyperlink" Target="https://search.corpuskiparla.it/corpus/player/player.cgi?code=PBC003&amp;begin=591260&amp;end=592493" TargetMode="External"/><Relationship Id="rId346" Type="http://schemas.openxmlformats.org/officeDocument/2006/relationships/hyperlink" Target="https://search.corpuskiparla.it/corpus/player/player.cgi?code=KPN006&amp;begin=948922&amp;end=951212" TargetMode="External"/><Relationship Id="rId553" Type="http://schemas.openxmlformats.org/officeDocument/2006/relationships/hyperlink" Target="https://search.corpuskiparla.it/corpus/player/player.cgi?code=KPC004&amp;begin=1046676&amp;end=1050575" TargetMode="External"/><Relationship Id="rId760" Type="http://schemas.openxmlformats.org/officeDocument/2006/relationships/hyperlink" Target="https://search.corpuskiparla.it/corpus/player/player.cgi?code=KPC007&amp;begin=1689082&amp;end=1694000" TargetMode="External"/><Relationship Id="rId192" Type="http://schemas.openxmlformats.org/officeDocument/2006/relationships/hyperlink" Target="https://search.corpuskiparla.it/corpus/player/player.cgi?code=TOA3001&amp;begin=699026&amp;end=699723" TargetMode="External"/><Relationship Id="rId206" Type="http://schemas.openxmlformats.org/officeDocument/2006/relationships/hyperlink" Target="https://search.corpuskiparla.it/corpus/player/player.cgi?code=PTB015&amp;begin=534135&amp;end=536800" TargetMode="External"/><Relationship Id="rId413" Type="http://schemas.openxmlformats.org/officeDocument/2006/relationships/hyperlink" Target="https://search.corpuskiparla.it/corpus/player/player.cgi?code=PTA018&amp;begin=729400&amp;end=730180" TargetMode="External"/><Relationship Id="rId497" Type="http://schemas.openxmlformats.org/officeDocument/2006/relationships/hyperlink" Target="https://search.corpuskiparla.it/corpus/player/player.cgi?code=KPS001&amp;begin=4479057&amp;end=4479998" TargetMode="External"/><Relationship Id="rId620" Type="http://schemas.openxmlformats.org/officeDocument/2006/relationships/hyperlink" Target="https://search.corpuskiparla.it/corpus/player/player.cgi?code=PBC022&amp;begin=1350788&amp;end=1353233" TargetMode="External"/><Relationship Id="rId718" Type="http://schemas.openxmlformats.org/officeDocument/2006/relationships/hyperlink" Target="https://search.corpuskiparla.it/corpus/player/player.cgi?code=PBC021&amp;begin=2479375&amp;end=2482535" TargetMode="External"/><Relationship Id="rId357" Type="http://schemas.openxmlformats.org/officeDocument/2006/relationships/hyperlink" Target="https://search.corpuskiparla.it/corpus/player/player.cgi?code=PTD001&amp;begin=1149422&amp;end=1155556" TargetMode="External"/><Relationship Id="rId54" Type="http://schemas.openxmlformats.org/officeDocument/2006/relationships/hyperlink" Target="https://search.corpuskiparla.it/corpus/player/player.cgi?code=PBB017&amp;begin=921929&amp;end=925268" TargetMode="External"/><Relationship Id="rId217" Type="http://schemas.openxmlformats.org/officeDocument/2006/relationships/hyperlink" Target="https://search.corpuskiparla.it/corpus/player/player.cgi?code=KPN004&amp;begin=1173647&amp;end=1175127" TargetMode="External"/><Relationship Id="rId564" Type="http://schemas.openxmlformats.org/officeDocument/2006/relationships/hyperlink" Target="https://search.corpuskiparla.it/corpus/player/player.cgi?code=PBB010&amp;begin=1611540&amp;end=1615932" TargetMode="External"/><Relationship Id="rId771" Type="http://schemas.openxmlformats.org/officeDocument/2006/relationships/hyperlink" Target="https://search.corpuskiparla.it/corpus/player/player.cgi?code=KPN022&amp;begin=592920&amp;end=594890" TargetMode="External"/><Relationship Id="rId424" Type="http://schemas.openxmlformats.org/officeDocument/2006/relationships/hyperlink" Target="https://search.corpuskiparla.it/corpus/player/player.cgi?code=KPN001&amp;begin=674395&amp;end=684437" TargetMode="External"/><Relationship Id="rId631" Type="http://schemas.openxmlformats.org/officeDocument/2006/relationships/hyperlink" Target="https://search.corpuskiparla.it/corpus/player/player.cgi?code=PBC012&amp;begin=2521302&amp;end=2522302" TargetMode="External"/><Relationship Id="rId729" Type="http://schemas.openxmlformats.org/officeDocument/2006/relationships/hyperlink" Target="https://search.corpuskiparla.it/corpus/player/player.cgi?code=PBB014&amp;begin=436227&amp;end=440488" TargetMode="External"/><Relationship Id="rId270" Type="http://schemas.openxmlformats.org/officeDocument/2006/relationships/hyperlink" Target="https://search.corpuskiparla.it/corpus/player/player.cgi?code=BOA3011&amp;begin=671340&amp;end=673354" TargetMode="External"/><Relationship Id="rId65" Type="http://schemas.openxmlformats.org/officeDocument/2006/relationships/hyperlink" Target="https://search.corpuskiparla.it/corpus/player/player.cgi?code=BOD2010&amp;begin=1448902&amp;end=1451410" TargetMode="External"/><Relationship Id="rId130" Type="http://schemas.openxmlformats.org/officeDocument/2006/relationships/hyperlink" Target="https://search.corpuskiparla.it/corpus/player/player.cgi?code=TOC1004&amp;begin=2303835&amp;end=2307033" TargetMode="External"/><Relationship Id="rId368" Type="http://schemas.openxmlformats.org/officeDocument/2006/relationships/hyperlink" Target="https://search.corpuskiparla.it/corpus/player/player.cgi?code=PBB022&amp;begin=2833240&amp;end=2839400" TargetMode="External"/><Relationship Id="rId575" Type="http://schemas.openxmlformats.org/officeDocument/2006/relationships/hyperlink" Target="https://search.corpuskiparla.it/corpus/player/player.cgi?code=KPS003&amp;begin=568200&amp;end=569850" TargetMode="External"/><Relationship Id="rId782" Type="http://schemas.openxmlformats.org/officeDocument/2006/relationships/hyperlink" Target="https://search.corpuskiparla.it/corpus/player/player.cgi?code=PBA019&amp;begin=415684&amp;end=420605" TargetMode="External"/><Relationship Id="rId228" Type="http://schemas.openxmlformats.org/officeDocument/2006/relationships/hyperlink" Target="https://search.corpuskiparla.it/corpus/player/player.cgi?code=PTA005&amp;begin=759795&amp;end=764370" TargetMode="External"/><Relationship Id="rId435" Type="http://schemas.openxmlformats.org/officeDocument/2006/relationships/hyperlink" Target="https://search.corpuskiparla.it/corpus/player/player.cgi?code=PTD007&amp;begin=386691&amp;end=389602" TargetMode="External"/><Relationship Id="rId642" Type="http://schemas.openxmlformats.org/officeDocument/2006/relationships/hyperlink" Target="https://search.corpuskiparla.it/corpus/player/player.cgi?code=TOA3003&amp;begin=1204947&amp;end=1208857" TargetMode="External"/><Relationship Id="rId281" Type="http://schemas.openxmlformats.org/officeDocument/2006/relationships/hyperlink" Target="https://search.corpuskiparla.it/corpus/player/player.cgi?code=PBB025&amp;begin=507684&amp;end=509592" TargetMode="External"/><Relationship Id="rId502" Type="http://schemas.openxmlformats.org/officeDocument/2006/relationships/hyperlink" Target="https://search.corpuskiparla.it/corpus/player/player.cgi?code=KPS024&amp;begin=321716&amp;end=323679" TargetMode="External"/><Relationship Id="rId76" Type="http://schemas.openxmlformats.org/officeDocument/2006/relationships/hyperlink" Target="https://search.corpuskiparla.it/corpus/player/player.cgi?code=KPS023&amp;begin=164085&amp;end=166715" TargetMode="External"/><Relationship Id="rId141" Type="http://schemas.openxmlformats.org/officeDocument/2006/relationships/hyperlink" Target="https://search.corpuskiparla.it/corpus/player/player.cgi?code=PBC003&amp;begin=1367694&amp;end=1371285" TargetMode="External"/><Relationship Id="rId379" Type="http://schemas.openxmlformats.org/officeDocument/2006/relationships/hyperlink" Target="https://search.corpuskiparla.it/corpus/player/player.cgi?code=KPC002&amp;begin=2735065&amp;end=2737991" TargetMode="External"/><Relationship Id="rId586" Type="http://schemas.openxmlformats.org/officeDocument/2006/relationships/hyperlink" Target="https://search.corpuskiparla.it/corpus/player/player.cgi?code=PBB021&amp;begin=702580&amp;end=708640" TargetMode="External"/><Relationship Id="rId793" Type="http://schemas.openxmlformats.org/officeDocument/2006/relationships/hyperlink" Target="https://search.corpuskiparla.it/corpus/player/player.cgi?code=PTA017&amp;begin=734400&amp;end=742510" TargetMode="External"/><Relationship Id="rId7" Type="http://schemas.openxmlformats.org/officeDocument/2006/relationships/hyperlink" Target="https://search.corpuskiparla.it/corpus/player/player.cgi?code=PBB023&amp;begin=1536540&amp;end=1541140" TargetMode="External"/><Relationship Id="rId239" Type="http://schemas.openxmlformats.org/officeDocument/2006/relationships/hyperlink" Target="https://search.corpuskiparla.it/corpus/player/player.cgi?code=PTA005&amp;begin=4181158&amp;end=4184743" TargetMode="External"/><Relationship Id="rId446" Type="http://schemas.openxmlformats.org/officeDocument/2006/relationships/hyperlink" Target="https://search.corpuskiparla.it/corpus/player/player.cgi?code=KPN021&amp;begin=895359&amp;end=898509" TargetMode="External"/><Relationship Id="rId653" Type="http://schemas.openxmlformats.org/officeDocument/2006/relationships/hyperlink" Target="https://search.corpuskiparla.it/corpus/player/player.cgi?code=KPN005&amp;begin=10740&amp;end=13605" TargetMode="External"/><Relationship Id="rId292" Type="http://schemas.openxmlformats.org/officeDocument/2006/relationships/hyperlink" Target="https://search.corpuskiparla.it/corpus/player/player.cgi?code=PBA013&amp;begin=1181305&amp;end=1184213" TargetMode="External"/><Relationship Id="rId306" Type="http://schemas.openxmlformats.org/officeDocument/2006/relationships/hyperlink" Target="https://search.corpuskiparla.it/corpus/player/player.cgi?code=BOA3004&amp;begin=1610452&amp;end=1612268" TargetMode="External"/><Relationship Id="rId87" Type="http://schemas.openxmlformats.org/officeDocument/2006/relationships/hyperlink" Target="https://search.corpuskiparla.it/corpus/player/player.cgi?code=BOA3002&amp;begin=1041961&amp;end=1043564" TargetMode="External"/><Relationship Id="rId513" Type="http://schemas.openxmlformats.org/officeDocument/2006/relationships/hyperlink" Target="https://search.corpuskiparla.it/corpus/player/player.cgi?code=PBB018&amp;begin=2571940&amp;end=2573990" TargetMode="External"/><Relationship Id="rId597" Type="http://schemas.openxmlformats.org/officeDocument/2006/relationships/hyperlink" Target="https://search.corpuskiparla.it/corpus/player/player.cgi?code=PTD021&amp;begin=2455650&amp;end=2458899" TargetMode="External"/><Relationship Id="rId720" Type="http://schemas.openxmlformats.org/officeDocument/2006/relationships/hyperlink" Target="https://search.corpuskiparla.it/corpus/player/player.cgi?code=BOD2008&amp;begin=310337&amp;end=313621" TargetMode="External"/><Relationship Id="rId152" Type="http://schemas.openxmlformats.org/officeDocument/2006/relationships/hyperlink" Target="https://search.corpuskiparla.it/corpus/player/player.cgi?code=TOA3004&amp;begin=1146354&amp;end=1151233" TargetMode="External"/><Relationship Id="rId457" Type="http://schemas.openxmlformats.org/officeDocument/2006/relationships/hyperlink" Target="https://search.corpuskiparla.it/corpus/player/player.cgi?code=PTB023&amp;begin=432479&amp;end=435710" TargetMode="External"/><Relationship Id="rId664" Type="http://schemas.openxmlformats.org/officeDocument/2006/relationships/hyperlink" Target="https://search.corpuskiparla.it/corpus/player/player.cgi?code=PBB028&amp;begin=1489394&amp;end=1492567" TargetMode="External"/><Relationship Id="rId14" Type="http://schemas.openxmlformats.org/officeDocument/2006/relationships/hyperlink" Target="https://search.corpuskiparla.it/corpus/player/player.cgi?code=PTB019&amp;begin=2417887&amp;end=2421585" TargetMode="External"/><Relationship Id="rId317" Type="http://schemas.openxmlformats.org/officeDocument/2006/relationships/hyperlink" Target="https://search.corpuskiparla.it/corpus/player/player.cgi?code=KPN015&amp;begin=1493106&amp;end=1497188" TargetMode="External"/><Relationship Id="rId524" Type="http://schemas.openxmlformats.org/officeDocument/2006/relationships/hyperlink" Target="https://search.corpuskiparla.it/corpus/player/player.cgi?code=KPN026&amp;begin=1872687&amp;end=1874216" TargetMode="External"/><Relationship Id="rId731" Type="http://schemas.openxmlformats.org/officeDocument/2006/relationships/hyperlink" Target="https://search.corpuskiparla.it/corpus/player/player.cgi?code=PBB014&amp;begin=1463280&amp;end=1468045" TargetMode="External"/><Relationship Id="rId98" Type="http://schemas.openxmlformats.org/officeDocument/2006/relationships/hyperlink" Target="https://search.corpuskiparla.it/corpus/player/player.cgi?code=KPS012&amp;begin=910059&amp;end=912286" TargetMode="External"/><Relationship Id="rId163" Type="http://schemas.openxmlformats.org/officeDocument/2006/relationships/hyperlink" Target="https://search.corpuskiparla.it/corpus/player/player.cgi?code=BOA3003&amp;begin=2276262&amp;end=2278508" TargetMode="External"/><Relationship Id="rId370" Type="http://schemas.openxmlformats.org/officeDocument/2006/relationships/hyperlink" Target="https://search.corpuskiparla.it/corpus/player/player.cgi?code=PBB022&amp;begin=3274150&amp;end=3275430" TargetMode="External"/><Relationship Id="rId230" Type="http://schemas.openxmlformats.org/officeDocument/2006/relationships/hyperlink" Target="https://search.corpuskiparla.it/corpus/player/player.cgi?code=PTA005&amp;begin=1861203&amp;end=1863207" TargetMode="External"/><Relationship Id="rId468" Type="http://schemas.openxmlformats.org/officeDocument/2006/relationships/hyperlink" Target="https://search.corpuskiparla.it/corpus/player/player.cgi?code=PBA029&amp;begin=36410&amp;end=42720" TargetMode="External"/><Relationship Id="rId675" Type="http://schemas.openxmlformats.org/officeDocument/2006/relationships/hyperlink" Target="https://search.corpuskiparla.it/corpus/player/player.cgi?code=TOD2007&amp;begin=1503117&amp;end=1507047" TargetMode="External"/><Relationship Id="rId25" Type="http://schemas.openxmlformats.org/officeDocument/2006/relationships/hyperlink" Target="https://search.corpuskiparla.it/corpus/player/player.cgi?code=PBC005&amp;begin=2925835&amp;end=2929205" TargetMode="External"/><Relationship Id="rId328" Type="http://schemas.openxmlformats.org/officeDocument/2006/relationships/hyperlink" Target="https://search.corpuskiparla.it/corpus/player/player.cgi?code=TOD2001&amp;begin=675630&amp;end=680380" TargetMode="External"/><Relationship Id="rId535" Type="http://schemas.openxmlformats.org/officeDocument/2006/relationships/hyperlink" Target="https://search.corpuskiparla.it/corpus/player/player.cgi?code=KPN002&amp;begin=1101780&amp;end=1106780" TargetMode="External"/><Relationship Id="rId742" Type="http://schemas.openxmlformats.org/officeDocument/2006/relationships/hyperlink" Target="https://search.corpuskiparla.it/corpus/player/player.cgi?code=PBA026&amp;begin=1062462&amp;end=1065846" TargetMode="External"/><Relationship Id="rId174" Type="http://schemas.openxmlformats.org/officeDocument/2006/relationships/hyperlink" Target="https://search.corpuskiparla.it/corpus/player/player.cgi?code=PBA011&amp;begin=1903989&amp;end=1908544" TargetMode="External"/><Relationship Id="rId381" Type="http://schemas.openxmlformats.org/officeDocument/2006/relationships/hyperlink" Target="https://search.corpuskiparla.it/corpus/player/player.cgi?code=PTA001&amp;begin=3340110&amp;end=3343702" TargetMode="External"/><Relationship Id="rId602" Type="http://schemas.openxmlformats.org/officeDocument/2006/relationships/hyperlink" Target="https://search.corpuskiparla.it/corpus/player/player.cgi?code=PBB009&amp;begin=3235956&amp;end=3243457" TargetMode="External"/><Relationship Id="rId241" Type="http://schemas.openxmlformats.org/officeDocument/2006/relationships/hyperlink" Target="https://search.corpuskiparla.it/corpus/player/player.cgi?code=PTA005&amp;begin=4916181&amp;end=4918286" TargetMode="External"/><Relationship Id="rId479" Type="http://schemas.openxmlformats.org/officeDocument/2006/relationships/hyperlink" Target="https://search.corpuskiparla.it/corpus/player/player.cgi?code=KPS007&amp;begin=516962&amp;end=518857" TargetMode="External"/><Relationship Id="rId686" Type="http://schemas.openxmlformats.org/officeDocument/2006/relationships/hyperlink" Target="https://search.corpuskiparla.it/corpus/player/player.cgi?code=KPN018&amp;begin=8750&amp;end=11270" TargetMode="External"/><Relationship Id="rId36" Type="http://schemas.openxmlformats.org/officeDocument/2006/relationships/hyperlink" Target="https://search.corpuskiparla.it/corpus/player/player.cgi?code=PBB033&amp;begin=1987756&amp;end=1993594" TargetMode="External"/><Relationship Id="rId339" Type="http://schemas.openxmlformats.org/officeDocument/2006/relationships/hyperlink" Target="https://search.corpuskiparla.it/corpus/player/player.cgi?code=BOA3019&amp;begin=517415&amp;end=519949" TargetMode="External"/><Relationship Id="rId546" Type="http://schemas.openxmlformats.org/officeDocument/2006/relationships/hyperlink" Target="https://search.corpuskiparla.it/corpus/player/player.cgi?code=KPN029&amp;begin=1226308&amp;end=1228469" TargetMode="External"/><Relationship Id="rId753" Type="http://schemas.openxmlformats.org/officeDocument/2006/relationships/hyperlink" Target="https://search.corpuskiparla.it/corpus/player/player.cgi?code=BOD2014&amp;begin=968075&amp;end=969561" TargetMode="External"/><Relationship Id="rId101" Type="http://schemas.openxmlformats.org/officeDocument/2006/relationships/hyperlink" Target="https://search.corpuskiparla.it/corpus/player/player.cgi?code=KPS012&amp;begin=1808120&amp;end=1810125" TargetMode="External"/><Relationship Id="rId185" Type="http://schemas.openxmlformats.org/officeDocument/2006/relationships/hyperlink" Target="https://search.corpuskiparla.it/corpus/player/player.cgi?code=PBC013&amp;begin=2555120&amp;end=2558152" TargetMode="External"/><Relationship Id="rId406" Type="http://schemas.openxmlformats.org/officeDocument/2006/relationships/hyperlink" Target="https://search.corpuskiparla.it/corpus/player/player.cgi?code=PBC024&amp;begin=3118083&amp;end=3121400" TargetMode="External"/><Relationship Id="rId392" Type="http://schemas.openxmlformats.org/officeDocument/2006/relationships/hyperlink" Target="https://search.corpuskiparla.it/corpus/player/player.cgi?code=TOA3006&amp;begin=1243340&amp;end=1251972" TargetMode="External"/><Relationship Id="rId613" Type="http://schemas.openxmlformats.org/officeDocument/2006/relationships/hyperlink" Target="https://search.corpuskiparla.it/corpus/player/player.cgi?code=KPS022&amp;begin=1817221&amp;end=1820810" TargetMode="External"/><Relationship Id="rId697" Type="http://schemas.openxmlformats.org/officeDocument/2006/relationships/hyperlink" Target="https://search.corpuskiparla.it/corpus/player/player.cgi?code=PBB005&amp;begin=1369560&amp;end=1370083" TargetMode="External"/><Relationship Id="rId252" Type="http://schemas.openxmlformats.org/officeDocument/2006/relationships/hyperlink" Target="https://search.corpuskiparla.it/corpus/player/player.cgi?code=KPS004&amp;begin=2188640&amp;end=2194861" TargetMode="External"/><Relationship Id="rId47" Type="http://schemas.openxmlformats.org/officeDocument/2006/relationships/hyperlink" Target="https://search.corpuskiparla.it/corpus/player/player.cgi?code=PTD019&amp;begin=952285&amp;end=959139" TargetMode="External"/><Relationship Id="rId112" Type="http://schemas.openxmlformats.org/officeDocument/2006/relationships/hyperlink" Target="https://search.corpuskiparla.it/corpus/player/player.cgi?code=PBC015&amp;begin=1577570&amp;end=1580495" TargetMode="External"/><Relationship Id="rId557" Type="http://schemas.openxmlformats.org/officeDocument/2006/relationships/hyperlink" Target="https://search.corpuskiparla.it/corpus/player/player.cgi?code=KPS017&amp;begin=168606&amp;end=169395" TargetMode="External"/><Relationship Id="rId764" Type="http://schemas.openxmlformats.org/officeDocument/2006/relationships/hyperlink" Target="https://search.corpuskiparla.it/corpus/player/player.cgi?code=KPN013&amp;begin=599095&amp;end=600568" TargetMode="External"/><Relationship Id="rId196" Type="http://schemas.openxmlformats.org/officeDocument/2006/relationships/hyperlink" Target="https://search.corpuskiparla.it/corpus/player/player.cgi?code=PBC009&amp;begin=4254720&amp;end=4258300" TargetMode="External"/><Relationship Id="rId417" Type="http://schemas.openxmlformats.org/officeDocument/2006/relationships/hyperlink" Target="https://search.corpuskiparla.it/corpus/player/player.cgi?code=BOA3010&amp;begin=1867536&amp;end=1869218" TargetMode="External"/><Relationship Id="rId624" Type="http://schemas.openxmlformats.org/officeDocument/2006/relationships/hyperlink" Target="https://search.corpuskiparla.it/corpus/player/player.cgi?code=PBC012&amp;begin=732457&amp;end=737252" TargetMode="External"/><Relationship Id="rId263" Type="http://schemas.openxmlformats.org/officeDocument/2006/relationships/hyperlink" Target="https://search.corpuskiparla.it/corpus/player/player.cgi?code=KPS004&amp;begin=5788325&amp;end=5792367" TargetMode="External"/><Relationship Id="rId470" Type="http://schemas.openxmlformats.org/officeDocument/2006/relationships/hyperlink" Target="https://search.corpuskiparla.it/corpus/player/player.cgi?code=PBA029&amp;begin=659470&amp;end=668680" TargetMode="External"/><Relationship Id="rId58" Type="http://schemas.openxmlformats.org/officeDocument/2006/relationships/hyperlink" Target="https://search.corpuskiparla.it/corpus/player/player.cgi?code=PBB017&amp;begin=2013492&amp;end=2017415" TargetMode="External"/><Relationship Id="rId123" Type="http://schemas.openxmlformats.org/officeDocument/2006/relationships/hyperlink" Target="https://search.corpuskiparla.it/corpus/player/player.cgi?code=PTA003&amp;begin=862040&amp;end=863582" TargetMode="External"/><Relationship Id="rId330" Type="http://schemas.openxmlformats.org/officeDocument/2006/relationships/hyperlink" Target="https://search.corpuskiparla.it/corpus/player/player.cgi?code=KPN028&amp;begin=317050&amp;end=317930" TargetMode="External"/><Relationship Id="rId568" Type="http://schemas.openxmlformats.org/officeDocument/2006/relationships/hyperlink" Target="https://search.corpuskiparla.it/corpus/player/player.cgi?code=KPN020&amp;begin=1742950&amp;end=1749380" TargetMode="External"/><Relationship Id="rId775" Type="http://schemas.openxmlformats.org/officeDocument/2006/relationships/hyperlink" Target="https://search.corpuskiparla.it/corpus/player/player.cgi?code=PBA015&amp;begin=444975&amp;end=447804" TargetMode="External"/><Relationship Id="rId428" Type="http://schemas.openxmlformats.org/officeDocument/2006/relationships/hyperlink" Target="https://search.corpuskiparla.it/corpus/player/player.cgi?code=KPN001&amp;begin=1138424&amp;end=1142538" TargetMode="External"/><Relationship Id="rId635" Type="http://schemas.openxmlformats.org/officeDocument/2006/relationships/hyperlink" Target="https://search.corpuskiparla.it/corpus/player/player.cgi?code=PBC012&amp;begin=2638530&amp;end=2641446" TargetMode="External"/><Relationship Id="rId274" Type="http://schemas.openxmlformats.org/officeDocument/2006/relationships/hyperlink" Target="https://search.corpuskiparla.it/corpus/player/player.cgi?code=PTD016&amp;begin=1003920&amp;end=1007926" TargetMode="External"/><Relationship Id="rId481" Type="http://schemas.openxmlformats.org/officeDocument/2006/relationships/hyperlink" Target="https://search.corpuskiparla.it/corpus/player/player.cgi?code=KPS007&amp;begin=1965205&amp;end=1966615" TargetMode="External"/><Relationship Id="rId702" Type="http://schemas.openxmlformats.org/officeDocument/2006/relationships/hyperlink" Target="https://search.corpuskiparla.it/corpus/player/player.cgi?code=PBB005&amp;begin=1988064&amp;end=1989862" TargetMode="External"/><Relationship Id="rId69" Type="http://schemas.openxmlformats.org/officeDocument/2006/relationships/hyperlink" Target="https://search.corpuskiparla.it/corpus/player/player.cgi?code=PBC004&amp;begin=3268307&amp;end=3269904" TargetMode="External"/><Relationship Id="rId134" Type="http://schemas.openxmlformats.org/officeDocument/2006/relationships/hyperlink" Target="https://search.corpuskiparla.it/corpus/player/player.cgi?code=PBA017&amp;begin=957026&amp;end=958795" TargetMode="External"/><Relationship Id="rId579" Type="http://schemas.openxmlformats.org/officeDocument/2006/relationships/hyperlink" Target="https://search.corpuskiparla.it/corpus/player/player.cgi?code=KPS003&amp;begin=1349890&amp;end=1354050" TargetMode="External"/><Relationship Id="rId786" Type="http://schemas.openxmlformats.org/officeDocument/2006/relationships/hyperlink" Target="https://search.corpuskiparla.it/corpus/player/player.cgi?code=PBA019&amp;begin=2667300&amp;end=2670588" TargetMode="External"/><Relationship Id="rId341" Type="http://schemas.openxmlformats.org/officeDocument/2006/relationships/hyperlink" Target="https://search.corpuskiparla.it/corpus/player/player.cgi?code=BOA3019&amp;begin=851220&amp;end=854188" TargetMode="External"/><Relationship Id="rId439" Type="http://schemas.openxmlformats.org/officeDocument/2006/relationships/hyperlink" Target="https://search.corpuskiparla.it/corpus/player/player.cgi?code=PTD011&amp;begin=534213&amp;end=536031" TargetMode="External"/><Relationship Id="rId646" Type="http://schemas.openxmlformats.org/officeDocument/2006/relationships/hyperlink" Target="https://search.corpuskiparla.it/corpus/player/player.cgi?code=PBC025&amp;begin=1928294&amp;end=1932421" TargetMode="External"/><Relationship Id="rId201" Type="http://schemas.openxmlformats.org/officeDocument/2006/relationships/hyperlink" Target="https://search.corpuskiparla.it/corpus/player/player.cgi?code=PBC018&amp;begin=2207280&amp;end=2211474" TargetMode="External"/><Relationship Id="rId285" Type="http://schemas.openxmlformats.org/officeDocument/2006/relationships/hyperlink" Target="https://search.corpuskiparla.it/corpus/player/player.cgi?code=KPS010&amp;begin=1290470&amp;end=1290918" TargetMode="External"/><Relationship Id="rId506" Type="http://schemas.openxmlformats.org/officeDocument/2006/relationships/hyperlink" Target="https://search.corpuskiparla.it/corpus/player/player.cgi?code=KPS024&amp;begin=2208354&amp;end=2209694" TargetMode="External"/><Relationship Id="rId492" Type="http://schemas.openxmlformats.org/officeDocument/2006/relationships/hyperlink" Target="https://search.corpuskiparla.it/corpus/player/player.cgi?code=KPS001&amp;begin=2044936&amp;end=2047015" TargetMode="External"/><Relationship Id="rId713" Type="http://schemas.openxmlformats.org/officeDocument/2006/relationships/hyperlink" Target="https://search.corpuskiparla.it/corpus/player/player.cgi?code=BOD2009&amp;begin=1181732&amp;end=1184153" TargetMode="External"/><Relationship Id="rId797" Type="http://schemas.openxmlformats.org/officeDocument/2006/relationships/hyperlink" Target="https://search.corpuskiparla.it/corpus/player/player.cgi?code=KPN007&amp;begin=2365370&amp;end=2367176" TargetMode="External"/><Relationship Id="rId145" Type="http://schemas.openxmlformats.org/officeDocument/2006/relationships/hyperlink" Target="https://search.corpuskiparla.it/corpus/player/player.cgi?code=PBC003&amp;begin=3504297&amp;end=3508100" TargetMode="External"/><Relationship Id="rId352" Type="http://schemas.openxmlformats.org/officeDocument/2006/relationships/hyperlink" Target="https://search.corpuskiparla.it/corpus/player/player.cgi?code=KPN006&amp;begin=1738347&amp;end=1739807" TargetMode="External"/><Relationship Id="rId212" Type="http://schemas.openxmlformats.org/officeDocument/2006/relationships/hyperlink" Target="https://search.corpuskiparla.it/corpus/player/player.cgi?code=BOA3020&amp;begin=338995&amp;end=340835" TargetMode="External"/><Relationship Id="rId657" Type="http://schemas.openxmlformats.org/officeDocument/2006/relationships/hyperlink" Target="https://search.corpuskiparla.it/corpus/player/player.cgi?code=KPN005&amp;begin=1922940&amp;end=1925690" TargetMode="External"/><Relationship Id="rId296" Type="http://schemas.openxmlformats.org/officeDocument/2006/relationships/hyperlink" Target="https://search.corpuskiparla.it/corpus/player/player.cgi?code=PBA013&amp;begin=2154723&amp;end=2156194" TargetMode="External"/><Relationship Id="rId517" Type="http://schemas.openxmlformats.org/officeDocument/2006/relationships/hyperlink" Target="https://search.corpuskiparla.it/corpus/player/player.cgi?code=KPN014&amp;begin=2250&amp;end=3290" TargetMode="External"/><Relationship Id="rId724" Type="http://schemas.openxmlformats.org/officeDocument/2006/relationships/hyperlink" Target="https://search.corpuskiparla.it/corpus/player/player.cgi?code=PTD004&amp;begin=3921280&amp;end=3921930" TargetMode="External"/><Relationship Id="rId60" Type="http://schemas.openxmlformats.org/officeDocument/2006/relationships/hyperlink" Target="https://search.corpuskiparla.it/corpus/player/player.cgi?code=PBB017&amp;begin=2766234&amp;end=2767990" TargetMode="External"/><Relationship Id="rId156" Type="http://schemas.openxmlformats.org/officeDocument/2006/relationships/hyperlink" Target="https://search.corpuskiparla.it/corpus/player/player.cgi?code=PBA001&amp;begin=423440&amp;end=426100" TargetMode="External"/><Relationship Id="rId363" Type="http://schemas.openxmlformats.org/officeDocument/2006/relationships/hyperlink" Target="https://search.corpuskiparla.it/corpus/player/player.cgi?code=PBB022&amp;begin=1037400&amp;end=1041800" TargetMode="External"/><Relationship Id="rId570" Type="http://schemas.openxmlformats.org/officeDocument/2006/relationships/hyperlink" Target="https://search.corpuskiparla.it/corpus/player/player.cgi?code=PTA015&amp;begin=700690&amp;end=707340" TargetMode="External"/><Relationship Id="rId223" Type="http://schemas.openxmlformats.org/officeDocument/2006/relationships/hyperlink" Target="https://search.corpuskiparla.it/corpus/player/player.cgi?code=TOA3002&amp;begin=449301&amp;end=461240" TargetMode="External"/><Relationship Id="rId430" Type="http://schemas.openxmlformats.org/officeDocument/2006/relationships/hyperlink" Target="https://search.corpuskiparla.it/corpus/player/player.cgi?code=KPN001&amp;begin=1825446&amp;end=1827580" TargetMode="External"/><Relationship Id="rId668" Type="http://schemas.openxmlformats.org/officeDocument/2006/relationships/hyperlink" Target="https://search.corpuskiparla.it/corpus/player/player.cgi?code=TOD2013&amp;begin=3171428&amp;end=3172606" TargetMode="External"/><Relationship Id="rId18" Type="http://schemas.openxmlformats.org/officeDocument/2006/relationships/hyperlink" Target="https://search.corpuskiparla.it/corpus/player/player.cgi?code=KPS008&amp;begin=1447719&amp;end=1449369" TargetMode="External"/><Relationship Id="rId528" Type="http://schemas.openxmlformats.org/officeDocument/2006/relationships/hyperlink" Target="https://search.corpuskiparla.it/corpus/player/player.cgi?code=PBB024&amp;begin=443726&amp;end=445887" TargetMode="External"/><Relationship Id="rId735" Type="http://schemas.openxmlformats.org/officeDocument/2006/relationships/hyperlink" Target="https://search.corpuskiparla.it/corpus/player/player.cgi?code=PBB014&amp;begin=1823138&amp;end=1825594" TargetMode="External"/><Relationship Id="rId167" Type="http://schemas.openxmlformats.org/officeDocument/2006/relationships/hyperlink" Target="https://search.corpuskiparla.it/corpus/player/player.cgi?code=KPC005&amp;begin=1101220&amp;end=1103818" TargetMode="External"/><Relationship Id="rId374" Type="http://schemas.openxmlformats.org/officeDocument/2006/relationships/hyperlink" Target="https://search.corpuskiparla.it/corpus/player/player.cgi?code=KPC002&amp;begin=1707194&amp;end=1712538" TargetMode="External"/><Relationship Id="rId581" Type="http://schemas.openxmlformats.org/officeDocument/2006/relationships/hyperlink" Target="https://search.corpuskiparla.it/corpus/player/player.cgi?code=KPS003&amp;begin=2056872&amp;end=2058381" TargetMode="External"/><Relationship Id="rId71" Type="http://schemas.openxmlformats.org/officeDocument/2006/relationships/hyperlink" Target="https://search.corpuskiparla.it/corpus/player/player.cgi?code=KPN030&amp;begin=46910&amp;end=50861" TargetMode="External"/><Relationship Id="rId234" Type="http://schemas.openxmlformats.org/officeDocument/2006/relationships/hyperlink" Target="https://search.corpuskiparla.it/corpus/player/player.cgi?code=PTA005&amp;begin=3680644&amp;end=3683776" TargetMode="External"/><Relationship Id="rId679" Type="http://schemas.openxmlformats.org/officeDocument/2006/relationships/hyperlink" Target="https://search.corpuskiparla.it/corpus/player/player.cgi?code=BOA3001&amp;begin=2107849&amp;end=2113141" TargetMode="External"/><Relationship Id="rId802" Type="http://schemas.openxmlformats.org/officeDocument/2006/relationships/hyperlink" Target="https://search.corpuskiparla.it/corpus/player/player.cgi?code=PBC018&amp;begin=2204687&amp;end=2206554" TargetMode="External"/><Relationship Id="rId2" Type="http://schemas.openxmlformats.org/officeDocument/2006/relationships/hyperlink" Target="https://search.corpuskiparla.it/corpus/conversations/PTB009_jefferson.html" TargetMode="External"/><Relationship Id="rId29" Type="http://schemas.openxmlformats.org/officeDocument/2006/relationships/hyperlink" Target="https://search.corpuskiparla.it/corpus/player/player.cgi?code=PBB033&amp;begin=536459&amp;end=538308" TargetMode="External"/><Relationship Id="rId441" Type="http://schemas.openxmlformats.org/officeDocument/2006/relationships/hyperlink" Target="https://search.corpuskiparla.it/corpus/player/player.cgi?code=PTD011&amp;begin=837706&amp;end=840007" TargetMode="External"/><Relationship Id="rId539" Type="http://schemas.openxmlformats.org/officeDocument/2006/relationships/hyperlink" Target="https://search.corpuskiparla.it/corpus/player/player.cgi?code=KPN016&amp;begin=297130&amp;end=300920" TargetMode="External"/><Relationship Id="rId746" Type="http://schemas.openxmlformats.org/officeDocument/2006/relationships/hyperlink" Target="https://search.corpuskiparla.it/corpus/player/player.cgi?code=TOA3011&amp;begin=557074&amp;end=558915" TargetMode="External"/><Relationship Id="rId178" Type="http://schemas.openxmlformats.org/officeDocument/2006/relationships/hyperlink" Target="https://search.corpuskiparla.it/corpus/player/player.cgi?code=PBC013&amp;begin=1550280&amp;end=1554191" TargetMode="External"/><Relationship Id="rId301" Type="http://schemas.openxmlformats.org/officeDocument/2006/relationships/hyperlink" Target="https://search.corpuskiparla.it/corpus/player/player.cgi?code=PBA021&amp;begin=1135912&amp;end=1140197" TargetMode="External"/><Relationship Id="rId82" Type="http://schemas.openxmlformats.org/officeDocument/2006/relationships/hyperlink" Target="https://search.corpuskiparla.it/corpus/player/player.cgi?code=KPS023&amp;begin=1720174&amp;end=1722066" TargetMode="External"/><Relationship Id="rId385" Type="http://schemas.openxmlformats.org/officeDocument/2006/relationships/hyperlink" Target="https://search.corpuskiparla.it/corpus/player/player.cgi?code=KPS002&amp;begin=864296&amp;end=868210" TargetMode="External"/><Relationship Id="rId592" Type="http://schemas.openxmlformats.org/officeDocument/2006/relationships/hyperlink" Target="https://search.corpuskiparla.it/corpus/player/player.cgi?code=KPS021&amp;begin=1884758&amp;end=1888033" TargetMode="External"/><Relationship Id="rId606" Type="http://schemas.openxmlformats.org/officeDocument/2006/relationships/hyperlink" Target="https://search.corpuskiparla.it/corpus/player/player.cgi?code=PBC002&amp;begin=340370&amp;end=341860" TargetMode="External"/><Relationship Id="rId245" Type="http://schemas.openxmlformats.org/officeDocument/2006/relationships/hyperlink" Target="https://search.corpuskiparla.it/corpus/player/player.cgi?code=PBB001&amp;begin=1516500&amp;end=1517905" TargetMode="External"/><Relationship Id="rId452" Type="http://schemas.openxmlformats.org/officeDocument/2006/relationships/hyperlink" Target="https://search.corpuskiparla.it/corpus/player/player.cgi?code=KPN021&amp;begin=3065292&amp;end=3072124" TargetMode="External"/><Relationship Id="rId105" Type="http://schemas.openxmlformats.org/officeDocument/2006/relationships/hyperlink" Target="https://search.corpuskiparla.it/corpus/player/player.cgi?code=TOD1005bis&amp;begin=2463418&amp;end=2467361" TargetMode="External"/><Relationship Id="rId312" Type="http://schemas.openxmlformats.org/officeDocument/2006/relationships/hyperlink" Target="https://search.corpuskiparla.it/corpus/player/player.cgi?code=PTB007&amp;begin=1864371&amp;end=1865940" TargetMode="External"/><Relationship Id="rId757" Type="http://schemas.openxmlformats.org/officeDocument/2006/relationships/hyperlink" Target="https://search.corpuskiparla.it/corpus/player/player.cgi?code=KPC007&amp;begin=673557&amp;end=675640" TargetMode="External"/><Relationship Id="rId93" Type="http://schemas.openxmlformats.org/officeDocument/2006/relationships/hyperlink" Target="https://search.corpuskiparla.it/corpus/player/player.cgi?code=PBA028&amp;begin=1858063&amp;end=1861690" TargetMode="External"/><Relationship Id="rId189" Type="http://schemas.openxmlformats.org/officeDocument/2006/relationships/hyperlink" Target="https://search.corpuskiparla.it/corpus/player/player.cgi?code=PTD012&amp;begin=3482743&amp;end=3484239" TargetMode="External"/><Relationship Id="rId396" Type="http://schemas.openxmlformats.org/officeDocument/2006/relationships/hyperlink" Target="https://search.corpuskiparla.it/corpus/player/player.cgi?code=BOA3015&amp;begin=1293106&amp;end=1296064" TargetMode="External"/><Relationship Id="rId617" Type="http://schemas.openxmlformats.org/officeDocument/2006/relationships/hyperlink" Target="https://search.corpuskiparla.it/corpus/player/player.cgi?code=PBA027&amp;begin=3075210&amp;end=3076970" TargetMode="External"/><Relationship Id="rId256" Type="http://schemas.openxmlformats.org/officeDocument/2006/relationships/hyperlink" Target="https://search.corpuskiparla.it/corpus/player/player.cgi?code=KPS004&amp;begin=3558795&amp;end=3567816" TargetMode="External"/><Relationship Id="rId463" Type="http://schemas.openxmlformats.org/officeDocument/2006/relationships/hyperlink" Target="https://search.corpuskiparla.it/corpus/player/player.cgi?code=PTB023&amp;begin=1996723&amp;end=1998583" TargetMode="External"/><Relationship Id="rId670" Type="http://schemas.openxmlformats.org/officeDocument/2006/relationships/hyperlink" Target="https://search.corpuskiparla.it/corpus/player/player.cgi?code=BOA3017&amp;begin=771998&amp;end=776228" TargetMode="External"/><Relationship Id="rId116" Type="http://schemas.openxmlformats.org/officeDocument/2006/relationships/hyperlink" Target="https://search.corpuskiparla.it/corpus/player/player.cgi?code=PBC015&amp;begin=1760455&amp;end=1764720" TargetMode="External"/><Relationship Id="rId323" Type="http://schemas.openxmlformats.org/officeDocument/2006/relationships/hyperlink" Target="https://search.corpuskiparla.it/corpus/player/player.cgi?code=BOA3006&amp;begin=499630&amp;end=506720" TargetMode="External"/><Relationship Id="rId530" Type="http://schemas.openxmlformats.org/officeDocument/2006/relationships/hyperlink" Target="https://search.corpuskiparla.it/corpus/player/player.cgi?code=PBB024&amp;begin=1565442&amp;end=1570833" TargetMode="External"/><Relationship Id="rId768" Type="http://schemas.openxmlformats.org/officeDocument/2006/relationships/hyperlink" Target="https://search.corpuskiparla.it/corpus/player/player.cgi?code=KPN013&amp;begin=1930273&amp;end=1933627" TargetMode="External"/><Relationship Id="rId20" Type="http://schemas.openxmlformats.org/officeDocument/2006/relationships/hyperlink" Target="https://search.corpuskiparla.it/corpus/player/player.cgi?code=TOA3005&amp;begin=185748&amp;end=190573" TargetMode="External"/><Relationship Id="rId628" Type="http://schemas.openxmlformats.org/officeDocument/2006/relationships/hyperlink" Target="https://search.corpuskiparla.it/corpus/player/player.cgi?code=PBC012&amp;begin=1894934&amp;end=1903038" TargetMode="External"/><Relationship Id="rId267" Type="http://schemas.openxmlformats.org/officeDocument/2006/relationships/hyperlink" Target="https://search.corpuskiparla.it/corpus/player/player.cgi?code=KPC001&amp;begin=850367&amp;end=854228" TargetMode="External"/><Relationship Id="rId474" Type="http://schemas.openxmlformats.org/officeDocument/2006/relationships/hyperlink" Target="https://search.corpuskiparla.it/corpus/player/player.cgi?code=KPN017&amp;begin=163590&amp;end=166239" TargetMode="External"/><Relationship Id="rId127" Type="http://schemas.openxmlformats.org/officeDocument/2006/relationships/hyperlink" Target="https://search.corpuskiparla.it/corpus/player/player.cgi?code=PTA003&amp;begin=2998836&amp;end=3002524" TargetMode="External"/><Relationship Id="rId681" Type="http://schemas.openxmlformats.org/officeDocument/2006/relationships/hyperlink" Target="https://search.corpuskiparla.it/corpus/player/player.cgi?code=BOA3001&amp;begin=2364736&amp;end=2366697" TargetMode="External"/><Relationship Id="rId779" Type="http://schemas.openxmlformats.org/officeDocument/2006/relationships/hyperlink" Target="https://search.corpuskiparla.it/corpus/player/player.cgi?code=PTD006&amp;begin=2058462&amp;end=2061220" TargetMode="External"/><Relationship Id="rId31" Type="http://schemas.openxmlformats.org/officeDocument/2006/relationships/hyperlink" Target="https://search.corpuskiparla.it/corpus/player/player.cgi?code=PBB033&amp;begin=1029134&amp;end=1032246" TargetMode="External"/><Relationship Id="rId334" Type="http://schemas.openxmlformats.org/officeDocument/2006/relationships/hyperlink" Target="https://search.corpuskiparla.it/corpus/player/player.cgi?code=PBA006&amp;begin=1608735&amp;end=1614935" TargetMode="External"/><Relationship Id="rId541" Type="http://schemas.openxmlformats.org/officeDocument/2006/relationships/hyperlink" Target="https://search.corpuskiparla.it/corpus/player/player.cgi?code=KPN016&amp;begin=345940&amp;end=348477" TargetMode="External"/><Relationship Id="rId639" Type="http://schemas.openxmlformats.org/officeDocument/2006/relationships/hyperlink" Target="https://search.corpuskiparla.it/corpus/player/player.cgi?code=TOA3003&amp;begin=711475&amp;end=714099" TargetMode="External"/><Relationship Id="rId180" Type="http://schemas.openxmlformats.org/officeDocument/2006/relationships/hyperlink" Target="https://search.corpuskiparla.it/corpus/player/player.cgi?code=PBC013&amp;begin=1874540&amp;end=1878591" TargetMode="External"/><Relationship Id="rId278" Type="http://schemas.openxmlformats.org/officeDocument/2006/relationships/hyperlink" Target="https://search.corpuskiparla.it/corpus/player/player.cgi?code=PTD016&amp;begin=1659080&amp;end=1662870" TargetMode="External"/><Relationship Id="rId401" Type="http://schemas.openxmlformats.org/officeDocument/2006/relationships/hyperlink" Target="https://search.corpuskiparla.it/corpus/player/player.cgi?code=PBC017&amp;begin=2917370&amp;end=2920732" TargetMode="External"/><Relationship Id="rId485" Type="http://schemas.openxmlformats.org/officeDocument/2006/relationships/hyperlink" Target="https://search.corpuskiparla.it/corpus/player/player.cgi?code=BOD1001&amp;begin=4508680&amp;end=4517073" TargetMode="External"/><Relationship Id="rId692" Type="http://schemas.openxmlformats.org/officeDocument/2006/relationships/hyperlink" Target="https://search.corpuskiparla.it/corpus/player/player.cgi?code=KPS006&amp;begin=993883&amp;end=996281" TargetMode="External"/><Relationship Id="rId706" Type="http://schemas.openxmlformats.org/officeDocument/2006/relationships/hyperlink" Target="https://search.corpuskiparla.it/corpus/player/player.cgi?code=PBB005&amp;begin=2467463&amp;end=2470787" TargetMode="External"/><Relationship Id="rId42" Type="http://schemas.openxmlformats.org/officeDocument/2006/relationships/hyperlink" Target="https://search.corpuskiparla.it/corpus/player/player.cgi?code=PBB033&amp;begin=2134304&amp;end=2140474" TargetMode="External"/><Relationship Id="rId138" Type="http://schemas.openxmlformats.org/officeDocument/2006/relationships/hyperlink" Target="https://search.corpuskiparla.it/corpus/player/player.cgi?code=KPN023&amp;begin=1458540&amp;end=1459900" TargetMode="External"/><Relationship Id="rId345" Type="http://schemas.openxmlformats.org/officeDocument/2006/relationships/hyperlink" Target="https://search.corpuskiparla.it/corpus/player/player.cgi?code=KPN006&amp;begin=895717&amp;end=897997" TargetMode="External"/><Relationship Id="rId552" Type="http://schemas.openxmlformats.org/officeDocument/2006/relationships/hyperlink" Target="https://search.corpuskiparla.it/corpus/player/player.cgi?code=KPC004&amp;begin=104915&amp;end=105479" TargetMode="External"/><Relationship Id="rId191" Type="http://schemas.openxmlformats.org/officeDocument/2006/relationships/hyperlink" Target="https://search.corpuskiparla.it/corpus/player/player.cgi?code=TOA3001&amp;begin=172201&amp;end=178341" TargetMode="External"/><Relationship Id="rId205" Type="http://schemas.openxmlformats.org/officeDocument/2006/relationships/hyperlink" Target="https://search.corpuskiparla.it/corpus/player/player.cgi?code=PTB015&amp;begin=266588&amp;end=269115" TargetMode="External"/><Relationship Id="rId412" Type="http://schemas.openxmlformats.org/officeDocument/2006/relationships/hyperlink" Target="https://search.corpuskiparla.it/corpus/player/player.cgi?code=PTA018&amp;begin=163796&amp;end=165794" TargetMode="External"/><Relationship Id="rId289" Type="http://schemas.openxmlformats.org/officeDocument/2006/relationships/hyperlink" Target="https://search.corpuskiparla.it/corpus/player/player.cgi?code=KPN025&amp;begin=51400&amp;end=51806" TargetMode="External"/><Relationship Id="rId496" Type="http://schemas.openxmlformats.org/officeDocument/2006/relationships/hyperlink" Target="https://search.corpuskiparla.it/corpus/player/player.cgi?code=KPS001&amp;begin=4093366&amp;end=4096396" TargetMode="External"/><Relationship Id="rId717" Type="http://schemas.openxmlformats.org/officeDocument/2006/relationships/hyperlink" Target="https://search.corpuskiparla.it/corpus/player/player.cgi?code=PBC021&amp;begin=2093618&amp;end=2095738" TargetMode="External"/><Relationship Id="rId53" Type="http://schemas.openxmlformats.org/officeDocument/2006/relationships/hyperlink" Target="https://search.corpuskiparla.it/corpus/player/player.cgi?code=PBB017&amp;begin=821355&amp;end=824200" TargetMode="External"/><Relationship Id="rId149" Type="http://schemas.openxmlformats.org/officeDocument/2006/relationships/hyperlink" Target="https://search.corpuskiparla.it/corpus/player/player.cgi?code=TOA3004&amp;begin=713044&amp;end=716698" TargetMode="External"/><Relationship Id="rId356" Type="http://schemas.openxmlformats.org/officeDocument/2006/relationships/hyperlink" Target="https://search.corpuskiparla.it/corpus/player/player.cgi?code=PTD001&amp;begin=427629&amp;end=432412" TargetMode="External"/><Relationship Id="rId563" Type="http://schemas.openxmlformats.org/officeDocument/2006/relationships/hyperlink" Target="https://search.corpuskiparla.it/corpus/player/player.cgi?code=PBB010&amp;begin=883075&amp;end=886202" TargetMode="External"/><Relationship Id="rId770" Type="http://schemas.openxmlformats.org/officeDocument/2006/relationships/hyperlink" Target="https://search.corpuskiparla.it/corpus/player/player.cgi?code=KPN013&amp;begin=2844178&amp;end=2846431" TargetMode="External"/><Relationship Id="rId216" Type="http://schemas.openxmlformats.org/officeDocument/2006/relationships/hyperlink" Target="https://search.corpuskiparla.it/corpus/player/player.cgi?code=PTA016&amp;begin=2268890&amp;end=2272320" TargetMode="External"/><Relationship Id="rId423" Type="http://schemas.openxmlformats.org/officeDocument/2006/relationships/hyperlink" Target="https://search.corpuskiparla.it/corpus/player/player.cgi?code=KPN001&amp;begin=657077&amp;end=664353" TargetMode="External"/><Relationship Id="rId630" Type="http://schemas.openxmlformats.org/officeDocument/2006/relationships/hyperlink" Target="https://search.corpuskiparla.it/corpus/player/player.cgi?code=PBC012&amp;begin=2052959&amp;end=2057236" TargetMode="External"/><Relationship Id="rId728" Type="http://schemas.openxmlformats.org/officeDocument/2006/relationships/hyperlink" Target="https://search.corpuskiparla.it/corpus/player/player.cgi?code=PTB026&amp;begin=2495110&amp;end=2499103" TargetMode="External"/><Relationship Id="rId64" Type="http://schemas.openxmlformats.org/officeDocument/2006/relationships/hyperlink" Target="https://search.corpuskiparla.it/corpus/player/player.cgi?code=PTB014&amp;begin=180896&amp;end=183000" TargetMode="External"/><Relationship Id="rId367" Type="http://schemas.openxmlformats.org/officeDocument/2006/relationships/hyperlink" Target="https://search.corpuskiparla.it/corpus/player/player.cgi?code=PBB022&amp;begin=2263560&amp;end=2269590" TargetMode="External"/><Relationship Id="rId574" Type="http://schemas.openxmlformats.org/officeDocument/2006/relationships/hyperlink" Target="https://search.corpuskiparla.it/corpus/player/player.cgi?code=BOD2015&amp;begin=1190826&amp;end=1191990" TargetMode="External"/><Relationship Id="rId227" Type="http://schemas.openxmlformats.org/officeDocument/2006/relationships/hyperlink" Target="https://search.corpuskiparla.it/corpus/player/player.cgi?code=PTA005&amp;begin=312801&amp;end=315458" TargetMode="External"/><Relationship Id="rId781" Type="http://schemas.openxmlformats.org/officeDocument/2006/relationships/hyperlink" Target="https://search.corpuskiparla.it/corpus/player/player.cgi?code=PTD006&amp;begin=3972803&amp;end=3973819" TargetMode="External"/><Relationship Id="rId269" Type="http://schemas.openxmlformats.org/officeDocument/2006/relationships/hyperlink" Target="https://search.corpuskiparla.it/corpus/player/player.cgi?code=BOA3011&amp;begin=283799&amp;end=285212" TargetMode="External"/><Relationship Id="rId434" Type="http://schemas.openxmlformats.org/officeDocument/2006/relationships/hyperlink" Target="https://search.corpuskiparla.it/corpus/player/player.cgi?code=KPN001&amp;begin=2211673&amp;end=2221072" TargetMode="External"/><Relationship Id="rId476" Type="http://schemas.openxmlformats.org/officeDocument/2006/relationships/hyperlink" Target="https://search.corpuskiparla.it/corpus/player/player.cgi?code=KPN017&amp;begin=820600&amp;end=823820" TargetMode="External"/><Relationship Id="rId641" Type="http://schemas.openxmlformats.org/officeDocument/2006/relationships/hyperlink" Target="https://search.corpuskiparla.it/corpus/player/player.cgi?code=TOA3003&amp;begin=1147793&amp;end=1152893" TargetMode="External"/><Relationship Id="rId683" Type="http://schemas.openxmlformats.org/officeDocument/2006/relationships/hyperlink" Target="https://search.corpuskiparla.it/corpus/player/player.cgi?code=BOA3001&amp;begin=2854636&amp;end=2858509" TargetMode="External"/><Relationship Id="rId739" Type="http://schemas.openxmlformats.org/officeDocument/2006/relationships/hyperlink" Target="https://search.corpuskiparla.it/corpus/player/player.cgi?code=PTA006&amp;begin=3552915&amp;end=3555400" TargetMode="External"/><Relationship Id="rId33" Type="http://schemas.openxmlformats.org/officeDocument/2006/relationships/hyperlink" Target="https://search.corpuskiparla.it/corpus/player/player.cgi?code=PBB033&amp;begin=1471313&amp;end=1471578" TargetMode="External"/><Relationship Id="rId129" Type="http://schemas.openxmlformats.org/officeDocument/2006/relationships/hyperlink" Target="https://search.corpuskiparla.it/corpus/player/player.cgi?code=PTA003&amp;begin=3516666&amp;end=3518068" TargetMode="External"/><Relationship Id="rId280" Type="http://schemas.openxmlformats.org/officeDocument/2006/relationships/hyperlink" Target="https://search.corpuskiparla.it/corpus/player/player.cgi?code=PTD016&amp;begin=2613013&amp;end=2616113" TargetMode="External"/><Relationship Id="rId336" Type="http://schemas.openxmlformats.org/officeDocument/2006/relationships/hyperlink" Target="https://search.corpuskiparla.it/corpus/player/player.cgi?code=PBA006&amp;begin=1923190&amp;end=1927970" TargetMode="External"/><Relationship Id="rId501" Type="http://schemas.openxmlformats.org/officeDocument/2006/relationships/hyperlink" Target="https://search.corpuskiparla.it/corpus/player/player.cgi?code=KPC011&amp;begin=2368971&amp;end=2371801" TargetMode="External"/><Relationship Id="rId543" Type="http://schemas.openxmlformats.org/officeDocument/2006/relationships/hyperlink" Target="https://search.corpuskiparla.it/corpus/player/player.cgi?code=KPN016&amp;begin=1641911&amp;end=1648310" TargetMode="External"/><Relationship Id="rId75" Type="http://schemas.openxmlformats.org/officeDocument/2006/relationships/hyperlink" Target="https://search.corpuskiparla.it/corpus/player/player.cgi?code=KPN030&amp;begin=1616501&amp;end=1620792" TargetMode="External"/><Relationship Id="rId140" Type="http://schemas.openxmlformats.org/officeDocument/2006/relationships/hyperlink" Target="https://search.corpuskiparla.it/corpus/player/player.cgi?code=PBC003&amp;begin=774496&amp;end=775304" TargetMode="External"/><Relationship Id="rId182" Type="http://schemas.openxmlformats.org/officeDocument/2006/relationships/hyperlink" Target="https://search.corpuskiparla.it/corpus/player/player.cgi?code=PBC013&amp;begin=2021691&amp;end=2025760" TargetMode="External"/><Relationship Id="rId378" Type="http://schemas.openxmlformats.org/officeDocument/2006/relationships/hyperlink" Target="https://search.corpuskiparla.it/corpus/player/player.cgi?code=KPC002&amp;begin=2500607&amp;end=2503797" TargetMode="External"/><Relationship Id="rId403" Type="http://schemas.openxmlformats.org/officeDocument/2006/relationships/hyperlink" Target="https://search.corpuskiparla.it/corpus/player/player.cgi?code=PBB030&amp;begin=1853017&amp;end=1855047" TargetMode="External"/><Relationship Id="rId585" Type="http://schemas.openxmlformats.org/officeDocument/2006/relationships/hyperlink" Target="https://search.corpuskiparla.it/corpus/player/player.cgi?code=PBB021&amp;begin=309080&amp;end=315210" TargetMode="External"/><Relationship Id="rId750" Type="http://schemas.openxmlformats.org/officeDocument/2006/relationships/hyperlink" Target="https://search.corpuskiparla.it/corpus/player/player.cgi?code=TOA3011&amp;begin=1313686&amp;end=1318527" TargetMode="External"/><Relationship Id="rId792" Type="http://schemas.openxmlformats.org/officeDocument/2006/relationships/hyperlink" Target="https://search.corpuskiparla.it/corpus/player/player.cgi?code=TOD2005&amp;begin=1670715&amp;end=1672623" TargetMode="External"/><Relationship Id="rId6" Type="http://schemas.openxmlformats.org/officeDocument/2006/relationships/hyperlink" Target="https://search.corpuskiparla.it/corpus/player/player.cgi?code=PBB023&amp;begin=1510907&amp;end=1516620" TargetMode="External"/><Relationship Id="rId238" Type="http://schemas.openxmlformats.org/officeDocument/2006/relationships/hyperlink" Target="https://search.corpuskiparla.it/corpus/player/player.cgi?code=PTA005&amp;begin=4123297&amp;end=4126212" TargetMode="External"/><Relationship Id="rId445" Type="http://schemas.openxmlformats.org/officeDocument/2006/relationships/hyperlink" Target="https://search.corpuskiparla.it/corpus/player/player.cgi?code=KPN021&amp;begin=769989&amp;end=770859" TargetMode="External"/><Relationship Id="rId487" Type="http://schemas.openxmlformats.org/officeDocument/2006/relationships/hyperlink" Target="https://search.corpuskiparla.it/corpus/player/player.cgi?code=KPS001&amp;begin=278382&amp;end=284020" TargetMode="External"/><Relationship Id="rId610" Type="http://schemas.openxmlformats.org/officeDocument/2006/relationships/hyperlink" Target="https://search.corpuskiparla.it/corpus/player/player.cgi?code=KPS022&amp;begin=1338870&amp;end=1346450" TargetMode="External"/><Relationship Id="rId652" Type="http://schemas.openxmlformats.org/officeDocument/2006/relationships/hyperlink" Target="https://search.corpuskiparla.it/corpus/player/player.cgi?code=KPN011&amp;begin=2431990&amp;end=2434243" TargetMode="External"/><Relationship Id="rId694" Type="http://schemas.openxmlformats.org/officeDocument/2006/relationships/hyperlink" Target="https://search.corpuskiparla.it/corpus/player/player.cgi?code=KPS006&amp;begin=1768004&amp;end=1768891" TargetMode="External"/><Relationship Id="rId708" Type="http://schemas.openxmlformats.org/officeDocument/2006/relationships/hyperlink" Target="https://search.corpuskiparla.it/corpus/player/player.cgi?code=PBB005&amp;begin=2578294&amp;end=2581209" TargetMode="External"/><Relationship Id="rId291" Type="http://schemas.openxmlformats.org/officeDocument/2006/relationships/hyperlink" Target="https://search.corpuskiparla.it/corpus/player/player.cgi?code=PBA013&amp;begin=1177664&amp;end=1180966" TargetMode="External"/><Relationship Id="rId305" Type="http://schemas.openxmlformats.org/officeDocument/2006/relationships/hyperlink" Target="https://search.corpuskiparla.it/corpus/player/player.cgi?code=BOA3004&amp;begin=1150863&amp;end=1151810" TargetMode="External"/><Relationship Id="rId347" Type="http://schemas.openxmlformats.org/officeDocument/2006/relationships/hyperlink" Target="https://search.corpuskiparla.it/corpus/player/player.cgi?code=KPN006&amp;begin=1347226&amp;end=1348606" TargetMode="External"/><Relationship Id="rId512" Type="http://schemas.openxmlformats.org/officeDocument/2006/relationships/hyperlink" Target="https://search.corpuskiparla.it/corpus/player/player.cgi?code=PBB018&amp;begin=1832760&amp;end=1837360" TargetMode="External"/><Relationship Id="rId44" Type="http://schemas.openxmlformats.org/officeDocument/2006/relationships/hyperlink" Target="https://search.corpuskiparla.it/corpus/player/player.cgi?code=PBB033&amp;begin=2252816&amp;end=2258190" TargetMode="External"/><Relationship Id="rId86" Type="http://schemas.openxmlformats.org/officeDocument/2006/relationships/hyperlink" Target="https://search.corpuskiparla.it/corpus/player/player.cgi?code=BOA3002&amp;begin=773165&amp;end=776677" TargetMode="External"/><Relationship Id="rId151" Type="http://schemas.openxmlformats.org/officeDocument/2006/relationships/hyperlink" Target="https://search.corpuskiparla.it/corpus/player/player.cgi?code=TOA3004&amp;begin=1127317&amp;end=1131001" TargetMode="External"/><Relationship Id="rId389" Type="http://schemas.openxmlformats.org/officeDocument/2006/relationships/hyperlink" Target="https://search.corpuskiparla.it/corpus/player/player.cgi?code=TOA3006&amp;begin=570945&amp;end=580260" TargetMode="External"/><Relationship Id="rId554" Type="http://schemas.openxmlformats.org/officeDocument/2006/relationships/hyperlink" Target="https://search.corpuskiparla.it/corpus/player/player.cgi?code=KPN003&amp;begin=2317176&amp;end=2318796" TargetMode="External"/><Relationship Id="rId596" Type="http://schemas.openxmlformats.org/officeDocument/2006/relationships/hyperlink" Target="https://search.corpuskiparla.it/corpus/player/player.cgi?code=PTD021&amp;begin=178438&amp;end=184069" TargetMode="External"/><Relationship Id="rId761" Type="http://schemas.openxmlformats.org/officeDocument/2006/relationships/hyperlink" Target="https://search.corpuskiparla.it/corpus/player/player.cgi?code=KPC007&amp;begin=1932213&amp;end=1934000" TargetMode="External"/><Relationship Id="rId193" Type="http://schemas.openxmlformats.org/officeDocument/2006/relationships/hyperlink" Target="https://search.corpuskiparla.it/corpus/player/player.cgi?code=TOA3001&amp;begin=1584206&amp;end=1589193" TargetMode="External"/><Relationship Id="rId207" Type="http://schemas.openxmlformats.org/officeDocument/2006/relationships/hyperlink" Target="https://search.corpuskiparla.it/corpus/player/player.cgi?code=PTB015&amp;begin=604652&amp;end=608820" TargetMode="External"/><Relationship Id="rId249" Type="http://schemas.openxmlformats.org/officeDocument/2006/relationships/hyperlink" Target="https://search.corpuskiparla.it/corpus/player/player.cgi?code=KPS014&amp;begin=140619&amp;end=141648" TargetMode="External"/><Relationship Id="rId414" Type="http://schemas.openxmlformats.org/officeDocument/2006/relationships/hyperlink" Target="https://search.corpuskiparla.it/corpus/player/player.cgi?code=PTA018&amp;begin=1792090&amp;end=1794075" TargetMode="External"/><Relationship Id="rId456" Type="http://schemas.openxmlformats.org/officeDocument/2006/relationships/hyperlink" Target="https://search.corpuskiparla.it/corpus/player/player.cgi?code=PTB023&amp;begin=172323&amp;end=174370" TargetMode="External"/><Relationship Id="rId498" Type="http://schemas.openxmlformats.org/officeDocument/2006/relationships/hyperlink" Target="https://search.corpuskiparla.it/corpus/player/player.cgi?code=KPS001&amp;begin=4752827&amp;end=4754046" TargetMode="External"/><Relationship Id="rId621" Type="http://schemas.openxmlformats.org/officeDocument/2006/relationships/hyperlink" Target="https://search.corpuskiparla.it/corpus/player/player.cgi?code=PBC022&amp;begin=1353286&amp;end=1356664" TargetMode="External"/><Relationship Id="rId663" Type="http://schemas.openxmlformats.org/officeDocument/2006/relationships/hyperlink" Target="https://search.corpuskiparla.it/corpus/player/player.cgi?code=PBB028&amp;begin=711110&amp;end=714840" TargetMode="External"/><Relationship Id="rId13" Type="http://schemas.openxmlformats.org/officeDocument/2006/relationships/hyperlink" Target="https://search.corpuskiparla.it/corpus/player/player.cgi?code=TOD2016&amp;begin=385783&amp;end=389689" TargetMode="External"/><Relationship Id="rId109" Type="http://schemas.openxmlformats.org/officeDocument/2006/relationships/hyperlink" Target="https://search.corpuskiparla.it/corpus/player/player.cgi?code=PBC015&amp;begin=1004570&amp;end=1013080" TargetMode="External"/><Relationship Id="rId260" Type="http://schemas.openxmlformats.org/officeDocument/2006/relationships/hyperlink" Target="https://search.corpuskiparla.it/corpus/player/player.cgi?code=KPS004&amp;begin=4783756&amp;end=4785734" TargetMode="External"/><Relationship Id="rId316" Type="http://schemas.openxmlformats.org/officeDocument/2006/relationships/hyperlink" Target="https://search.corpuskiparla.it/corpus/player/player.cgi?code=KPN015&amp;begin=215460&amp;end=219630" TargetMode="External"/><Relationship Id="rId523" Type="http://schemas.openxmlformats.org/officeDocument/2006/relationships/hyperlink" Target="https://search.corpuskiparla.it/corpus/player/player.cgi?code=KPN026&amp;begin=1838852&amp;end=1841429" TargetMode="External"/><Relationship Id="rId719" Type="http://schemas.openxmlformats.org/officeDocument/2006/relationships/hyperlink" Target="https://search.corpuskiparla.it/corpus/player/player.cgi?code=PBC021&amp;begin=2902291&amp;end=2908163" TargetMode="External"/><Relationship Id="rId55" Type="http://schemas.openxmlformats.org/officeDocument/2006/relationships/hyperlink" Target="https://search.corpuskiparla.it/corpus/player/player.cgi?code=PBB017&amp;begin=1503664&amp;end=1504904" TargetMode="External"/><Relationship Id="rId97" Type="http://schemas.openxmlformats.org/officeDocument/2006/relationships/hyperlink" Target="https://search.corpuskiparla.it/corpus/player/player.cgi?code=KPS012&amp;begin=641773&amp;end=646679" TargetMode="External"/><Relationship Id="rId120" Type="http://schemas.openxmlformats.org/officeDocument/2006/relationships/hyperlink" Target="https://search.corpuskiparla.it/corpus/player/player.cgi?code=PTA003&amp;begin=601042&amp;end=604439" TargetMode="External"/><Relationship Id="rId358" Type="http://schemas.openxmlformats.org/officeDocument/2006/relationships/hyperlink" Target="https://search.corpuskiparla.it/corpus/player/player.cgi?code=PTD001&amp;begin=1284049&amp;end=1288637" TargetMode="External"/><Relationship Id="rId565" Type="http://schemas.openxmlformats.org/officeDocument/2006/relationships/hyperlink" Target="https://search.corpuskiparla.it/corpus/player/player.cgi?code=PBB010&amp;begin=1618353&amp;end=1623000" TargetMode="External"/><Relationship Id="rId730" Type="http://schemas.openxmlformats.org/officeDocument/2006/relationships/hyperlink" Target="https://search.corpuskiparla.it/corpus/player/player.cgi?code=PBB014&amp;begin=519741&amp;end=523938" TargetMode="External"/><Relationship Id="rId772" Type="http://schemas.openxmlformats.org/officeDocument/2006/relationships/hyperlink" Target="https://search.corpuskiparla.it/corpus/player/player.cgi?code=KPN022&amp;begin=597550&amp;end=599250" TargetMode="External"/><Relationship Id="rId162" Type="http://schemas.openxmlformats.org/officeDocument/2006/relationships/hyperlink" Target="https://search.corpuskiparla.it/corpus/player/player.cgi?code=BOA3003&amp;begin=2098385&amp;end=2099162" TargetMode="External"/><Relationship Id="rId218" Type="http://schemas.openxmlformats.org/officeDocument/2006/relationships/hyperlink" Target="https://search.corpuskiparla.it/corpus/player/player.cgi?code=KPN004&amp;begin=1186732&amp;end=1188704" TargetMode="External"/><Relationship Id="rId425" Type="http://schemas.openxmlformats.org/officeDocument/2006/relationships/hyperlink" Target="https://search.corpuskiparla.it/corpus/player/player.cgi?code=KPN001&amp;begin=726515&amp;end=734400" TargetMode="External"/><Relationship Id="rId467" Type="http://schemas.openxmlformats.org/officeDocument/2006/relationships/hyperlink" Target="https://search.corpuskiparla.it/corpus/player/player.cgi?code=PBA008&amp;begin=1755516&amp;end=1759131" TargetMode="External"/><Relationship Id="rId632" Type="http://schemas.openxmlformats.org/officeDocument/2006/relationships/hyperlink" Target="https://search.corpuskiparla.it/corpus/player/player.cgi?code=PBC012&amp;begin=2551918&amp;end=2555741" TargetMode="External"/><Relationship Id="rId271" Type="http://schemas.openxmlformats.org/officeDocument/2006/relationships/hyperlink" Target="https://search.corpuskiparla.it/corpus/player/player.cgi?code=PTD016&amp;begin=366270&amp;end=366670" TargetMode="External"/><Relationship Id="rId674" Type="http://schemas.openxmlformats.org/officeDocument/2006/relationships/hyperlink" Target="https://search.corpuskiparla.it/corpus/player/player.cgi?code=PBA030&amp;begin=700068&amp;end=701275" TargetMode="External"/><Relationship Id="rId24" Type="http://schemas.openxmlformats.org/officeDocument/2006/relationships/hyperlink" Target="https://search.corpuskiparla.it/corpus/player/player.cgi?code=PBC005&amp;begin=1085140&amp;end=1092560" TargetMode="External"/><Relationship Id="rId66" Type="http://schemas.openxmlformats.org/officeDocument/2006/relationships/hyperlink" Target="https://search.corpuskiparla.it/corpus/player/player.cgi?code=PBC001&amp;begin=1650616&amp;end=1651395" TargetMode="External"/><Relationship Id="rId131" Type="http://schemas.openxmlformats.org/officeDocument/2006/relationships/hyperlink" Target="https://search.corpuskiparla.it/corpus/player/player.cgi?code=PBA017&amp;begin=522813&amp;end=525560" TargetMode="External"/><Relationship Id="rId327" Type="http://schemas.openxmlformats.org/officeDocument/2006/relationships/hyperlink" Target="https://search.corpuskiparla.it/corpus/player/player.cgi?code=TOD2001&amp;begin=258733&amp;end=260008" TargetMode="External"/><Relationship Id="rId369" Type="http://schemas.openxmlformats.org/officeDocument/2006/relationships/hyperlink" Target="https://search.corpuskiparla.it/corpus/player/player.cgi?code=PBB022&amp;begin=2983810&amp;end=2991190" TargetMode="External"/><Relationship Id="rId534" Type="http://schemas.openxmlformats.org/officeDocument/2006/relationships/hyperlink" Target="https://search.corpuskiparla.it/corpus/player/player.cgi?code=KPN002&amp;begin=512485&amp;end=514505" TargetMode="External"/><Relationship Id="rId576" Type="http://schemas.openxmlformats.org/officeDocument/2006/relationships/hyperlink" Target="https://search.corpuskiparla.it/corpus/player/player.cgi?code=KPS003&amp;begin=802550&amp;end=803830" TargetMode="External"/><Relationship Id="rId741" Type="http://schemas.openxmlformats.org/officeDocument/2006/relationships/hyperlink" Target="https://search.corpuskiparla.it/corpus/player/player.cgi?code=PBB006&amp;begin=1978337&amp;end=1983513" TargetMode="External"/><Relationship Id="rId783" Type="http://schemas.openxmlformats.org/officeDocument/2006/relationships/hyperlink" Target="https://search.corpuskiparla.it/corpus/player/player.cgi?code=PBA019&amp;begin=1275310&amp;end=1277559" TargetMode="External"/><Relationship Id="rId173" Type="http://schemas.openxmlformats.org/officeDocument/2006/relationships/hyperlink" Target="https://search.corpuskiparla.it/corpus/player/player.cgi?code=PBA011&amp;begin=1756880&amp;end=1760964" TargetMode="External"/><Relationship Id="rId229" Type="http://schemas.openxmlformats.org/officeDocument/2006/relationships/hyperlink" Target="https://search.corpuskiparla.it/corpus/player/player.cgi?code=PTA005&amp;begin=1209796&amp;end=1213198" TargetMode="External"/><Relationship Id="rId380" Type="http://schemas.openxmlformats.org/officeDocument/2006/relationships/hyperlink" Target="https://search.corpuskiparla.it/corpus/player/player.cgi?code=PTA001&amp;begin=2513500&amp;end=2516601" TargetMode="External"/><Relationship Id="rId436" Type="http://schemas.openxmlformats.org/officeDocument/2006/relationships/hyperlink" Target="https://search.corpuskiparla.it/corpus/player/player.cgi?code=PTD007&amp;begin=2296169&amp;end=2296850" TargetMode="External"/><Relationship Id="rId601" Type="http://schemas.openxmlformats.org/officeDocument/2006/relationships/hyperlink" Target="https://search.corpuskiparla.it/corpus/player/player.cgi?code=PBB009&amp;begin=2865527&amp;end=2870501" TargetMode="External"/><Relationship Id="rId643" Type="http://schemas.openxmlformats.org/officeDocument/2006/relationships/hyperlink" Target="https://search.corpuskiparla.it/corpus/player/player.cgi?code=TOA3003&amp;begin=1214986&amp;end=1220597" TargetMode="External"/><Relationship Id="rId240" Type="http://schemas.openxmlformats.org/officeDocument/2006/relationships/hyperlink" Target="https://search.corpuskiparla.it/corpus/player/player.cgi?code=PTA005&amp;begin=4656264&amp;end=4658773" TargetMode="External"/><Relationship Id="rId478" Type="http://schemas.openxmlformats.org/officeDocument/2006/relationships/hyperlink" Target="https://search.corpuskiparla.it/corpus/player/player.cgi?code=KPN017&amp;begin=1993401&amp;end=1996587" TargetMode="External"/><Relationship Id="rId685" Type="http://schemas.openxmlformats.org/officeDocument/2006/relationships/hyperlink" Target="https://search.corpuskiparla.it/corpus/player/player.cgi?code=BOA3001&amp;begin=3266993&amp;end=3278335" TargetMode="External"/><Relationship Id="rId35" Type="http://schemas.openxmlformats.org/officeDocument/2006/relationships/hyperlink" Target="https://search.corpuskiparla.it/corpus/player/player.cgi?code=PBB033&amp;begin=1984767&amp;end=1986558" TargetMode="External"/><Relationship Id="rId77" Type="http://schemas.openxmlformats.org/officeDocument/2006/relationships/hyperlink" Target="https://search.corpuskiparla.it/corpus/player/player.cgi?code=KPS023&amp;begin=993167&amp;end=995494" TargetMode="External"/><Relationship Id="rId100" Type="http://schemas.openxmlformats.org/officeDocument/2006/relationships/hyperlink" Target="https://search.corpuskiparla.it/corpus/player/player.cgi?code=KPS012&amp;begin=1394440&amp;end=1398080" TargetMode="External"/><Relationship Id="rId282" Type="http://schemas.openxmlformats.org/officeDocument/2006/relationships/hyperlink" Target="https://search.corpuskiparla.it/corpus/player/player.cgi?code=PBB025&amp;begin=2623280&amp;end=2630523" TargetMode="External"/><Relationship Id="rId338" Type="http://schemas.openxmlformats.org/officeDocument/2006/relationships/hyperlink" Target="https://search.corpuskiparla.it/corpus/player/player.cgi?code=BOA3019&amp;begin=312576&amp;end=313639" TargetMode="External"/><Relationship Id="rId503" Type="http://schemas.openxmlformats.org/officeDocument/2006/relationships/hyperlink" Target="https://search.corpuskiparla.it/corpus/player/player.cgi?code=KPS024&amp;begin=946645&amp;end=947182" TargetMode="External"/><Relationship Id="rId545" Type="http://schemas.openxmlformats.org/officeDocument/2006/relationships/hyperlink" Target="https://search.corpuskiparla.it/corpus/player/player.cgi?code=KPN029&amp;begin=1154840&amp;end=1156985" TargetMode="External"/><Relationship Id="rId587" Type="http://schemas.openxmlformats.org/officeDocument/2006/relationships/hyperlink" Target="https://search.corpuskiparla.it/corpus/player/player.cgi?code=KPS021&amp;begin=260880&amp;end=262245" TargetMode="External"/><Relationship Id="rId710" Type="http://schemas.openxmlformats.org/officeDocument/2006/relationships/hyperlink" Target="https://search.corpuskiparla.it/corpus/player/player.cgi?code=PBB005&amp;begin=2612456&amp;end=2615853" TargetMode="External"/><Relationship Id="rId752" Type="http://schemas.openxmlformats.org/officeDocument/2006/relationships/hyperlink" Target="https://search.corpuskiparla.it/corpus/player/player.cgi?code=BOD2014&amp;begin=922061&amp;end=923350" TargetMode="External"/><Relationship Id="rId8" Type="http://schemas.openxmlformats.org/officeDocument/2006/relationships/hyperlink" Target="https://search.corpuskiparla.it/corpus/conversations/PBB023_jefferson.html" TargetMode="External"/><Relationship Id="rId142" Type="http://schemas.openxmlformats.org/officeDocument/2006/relationships/hyperlink" Target="https://search.corpuskiparla.it/corpus/player/player.cgi?code=PBC003&amp;begin=1580004&amp;end=1581382" TargetMode="External"/><Relationship Id="rId184" Type="http://schemas.openxmlformats.org/officeDocument/2006/relationships/hyperlink" Target="https://search.corpuskiparla.it/corpus/player/player.cgi?code=PBC013&amp;begin=2491510&amp;end=2497191" TargetMode="External"/><Relationship Id="rId391" Type="http://schemas.openxmlformats.org/officeDocument/2006/relationships/hyperlink" Target="https://search.corpuskiparla.it/corpus/player/player.cgi?code=TOA3006&amp;begin=780746&amp;end=795781" TargetMode="External"/><Relationship Id="rId405" Type="http://schemas.openxmlformats.org/officeDocument/2006/relationships/hyperlink" Target="https://search.corpuskiparla.it/corpus/player/player.cgi?code=PBB030&amp;begin=2622392&amp;end=2625847" TargetMode="External"/><Relationship Id="rId447" Type="http://schemas.openxmlformats.org/officeDocument/2006/relationships/hyperlink" Target="https://search.corpuskiparla.it/corpus/player/player.cgi?code=KPN021&amp;begin=914159&amp;end=918189" TargetMode="External"/><Relationship Id="rId612" Type="http://schemas.openxmlformats.org/officeDocument/2006/relationships/hyperlink" Target="https://search.corpuskiparla.it/corpus/player/player.cgi?code=KPS022&amp;begin=1794510&amp;end=1797540" TargetMode="External"/><Relationship Id="rId794" Type="http://schemas.openxmlformats.org/officeDocument/2006/relationships/hyperlink" Target="https://search.corpuskiparla.it/corpus/player/player.cgi?code=KPN007&amp;begin=383226&amp;end=385443" TargetMode="External"/><Relationship Id="rId251" Type="http://schemas.openxmlformats.org/officeDocument/2006/relationships/hyperlink" Target="https://search.corpuskiparla.it/corpus/player/player.cgi?code=KPS004&amp;begin=1457898&amp;end=1459939" TargetMode="External"/><Relationship Id="rId489" Type="http://schemas.openxmlformats.org/officeDocument/2006/relationships/hyperlink" Target="https://search.corpuskiparla.it/corpus/player/player.cgi?code=KPS001&amp;begin=511645&amp;end=513605" TargetMode="External"/><Relationship Id="rId654" Type="http://schemas.openxmlformats.org/officeDocument/2006/relationships/hyperlink" Target="https://search.corpuskiparla.it/corpus/player/player.cgi?code=KPN005&amp;begin=25492&amp;end=26990" TargetMode="External"/><Relationship Id="rId696" Type="http://schemas.openxmlformats.org/officeDocument/2006/relationships/hyperlink" Target="https://search.corpuskiparla.it/corpus/player/player.cgi?code=PBB005&amp;begin=1252970&amp;end=1258305" TargetMode="External"/><Relationship Id="rId46" Type="http://schemas.openxmlformats.org/officeDocument/2006/relationships/hyperlink" Target="https://search.corpuskiparla.it/corpus/player/player.cgi?code=PBB033&amp;begin=2898214&amp;end=2903234" TargetMode="External"/><Relationship Id="rId293" Type="http://schemas.openxmlformats.org/officeDocument/2006/relationships/hyperlink" Target="https://search.corpuskiparla.it/corpus/player/player.cgi?code=PBA013&amp;begin=1317848&amp;end=1321967" TargetMode="External"/><Relationship Id="rId307" Type="http://schemas.openxmlformats.org/officeDocument/2006/relationships/hyperlink" Target="https://search.corpuskiparla.it/corpus/player/player.cgi?code=BOA3004&amp;begin=1767899&amp;end=1768812" TargetMode="External"/><Relationship Id="rId349" Type="http://schemas.openxmlformats.org/officeDocument/2006/relationships/hyperlink" Target="https://search.corpuskiparla.it/corpus/player/player.cgi?code=KPN006&amp;begin=1414169&amp;end=1415889" TargetMode="External"/><Relationship Id="rId514" Type="http://schemas.openxmlformats.org/officeDocument/2006/relationships/hyperlink" Target="https://search.corpuskiparla.it/corpus/player/player.cgi?code=TOD1005&amp;begin=901365&amp;end=908208" TargetMode="External"/><Relationship Id="rId556" Type="http://schemas.openxmlformats.org/officeDocument/2006/relationships/hyperlink" Target="https://search.corpuskiparla.it/corpus/player/player.cgi?code=KPS017&amp;begin=39882&amp;end=40990" TargetMode="External"/><Relationship Id="rId721" Type="http://schemas.openxmlformats.org/officeDocument/2006/relationships/hyperlink" Target="https://search.corpuskiparla.it/corpus/player/player.cgi?code=PTD004&amp;begin=2528714&amp;end=2530190" TargetMode="External"/><Relationship Id="rId763" Type="http://schemas.openxmlformats.org/officeDocument/2006/relationships/hyperlink" Target="https://search.corpuskiparla.it/corpus/player/player.cgi?code=KPC007&amp;begin=2310370&amp;end=2313390" TargetMode="External"/><Relationship Id="rId88" Type="http://schemas.openxmlformats.org/officeDocument/2006/relationships/hyperlink" Target="https://search.corpuskiparla.it/corpus/player/player.cgi?code=PBA028&amp;begin=578190&amp;end=582020" TargetMode="External"/><Relationship Id="rId111" Type="http://schemas.openxmlformats.org/officeDocument/2006/relationships/hyperlink" Target="https://search.corpuskiparla.it/corpus/player/player.cgi?code=PBC015&amp;begin=1358790&amp;end=1361465" TargetMode="External"/><Relationship Id="rId153" Type="http://schemas.openxmlformats.org/officeDocument/2006/relationships/hyperlink" Target="https://search.corpuskiparla.it/corpus/player/player.cgi?code=TOA3004&amp;begin=1484861&amp;end=1489816" TargetMode="External"/><Relationship Id="rId195" Type="http://schemas.openxmlformats.org/officeDocument/2006/relationships/hyperlink" Target="https://search.corpuskiparla.it/corpus/player/player.cgi?code=PBB007&amp;begin=1760509&amp;end=1761870" TargetMode="External"/><Relationship Id="rId209" Type="http://schemas.openxmlformats.org/officeDocument/2006/relationships/hyperlink" Target="https://search.corpuskiparla.it/corpus/player/player.cgi?code=PTB015&amp;begin=1345653&amp;end=1346913" TargetMode="External"/><Relationship Id="rId360" Type="http://schemas.openxmlformats.org/officeDocument/2006/relationships/hyperlink" Target="https://search.corpuskiparla.it/corpus/player/player.cgi?code=PTD001&amp;begin=2053792&amp;end=2055322" TargetMode="External"/><Relationship Id="rId416" Type="http://schemas.openxmlformats.org/officeDocument/2006/relationships/hyperlink" Target="https://search.corpuskiparla.it/corpus/player/player.cgi?code=PTA018&amp;begin=1858775&amp;end=1859555" TargetMode="External"/><Relationship Id="rId598" Type="http://schemas.openxmlformats.org/officeDocument/2006/relationships/hyperlink" Target="https://search.corpuskiparla.it/corpus/player/player.cgi?code=PTD021&amp;begin=3235902&amp;end=3237724" TargetMode="External"/><Relationship Id="rId220" Type="http://schemas.openxmlformats.org/officeDocument/2006/relationships/hyperlink" Target="https://search.corpuskiparla.it/corpus/player/player.cgi?code=PBA014&amp;begin=1634330&amp;end=1636470" TargetMode="External"/><Relationship Id="rId458" Type="http://schemas.openxmlformats.org/officeDocument/2006/relationships/hyperlink" Target="https://search.corpuskiparla.it/corpus/player/player.cgi?code=PTB023&amp;begin=631328&amp;end=632826" TargetMode="External"/><Relationship Id="rId623" Type="http://schemas.openxmlformats.org/officeDocument/2006/relationships/hyperlink" Target="https://search.corpuskiparla.it/corpus/player/player.cgi?code=TOA3008&amp;begin=3822045&amp;end=3823783" TargetMode="External"/><Relationship Id="rId665" Type="http://schemas.openxmlformats.org/officeDocument/2006/relationships/hyperlink" Target="https://search.corpuskiparla.it/corpus/player/player.cgi?code=TOD2013&amp;begin=1843294&amp;end=1845352" TargetMode="External"/><Relationship Id="rId15" Type="http://schemas.openxmlformats.org/officeDocument/2006/relationships/hyperlink" Target="https://search.corpuskiparla.it/corpus/player/player.cgi?code=PBA004&amp;begin=852760&amp;end=855400" TargetMode="External"/><Relationship Id="rId57" Type="http://schemas.openxmlformats.org/officeDocument/2006/relationships/hyperlink" Target="https://search.corpuskiparla.it/corpus/player/player.cgi?code=PBB017&amp;begin=1997220&amp;end=1999313" TargetMode="External"/><Relationship Id="rId262" Type="http://schemas.openxmlformats.org/officeDocument/2006/relationships/hyperlink" Target="https://search.corpuskiparla.it/corpus/player/player.cgi?code=KPS004&amp;begin=5528124&amp;end=5532327" TargetMode="External"/><Relationship Id="rId318" Type="http://schemas.openxmlformats.org/officeDocument/2006/relationships/hyperlink" Target="https://search.corpuskiparla.it/corpus/player/player.cgi?code=KPN015&amp;begin=1723560&amp;end=1727308" TargetMode="External"/><Relationship Id="rId525" Type="http://schemas.openxmlformats.org/officeDocument/2006/relationships/hyperlink" Target="https://search.corpuskiparla.it/corpus/player/player.cgi?code=KPN026&amp;begin=1940241&amp;end=1942037" TargetMode="External"/><Relationship Id="rId567" Type="http://schemas.openxmlformats.org/officeDocument/2006/relationships/hyperlink" Target="https://search.corpuskiparla.it/corpus/player/player.cgi?code=KPN020&amp;begin=1104225&amp;end=1111155" TargetMode="External"/><Relationship Id="rId732" Type="http://schemas.openxmlformats.org/officeDocument/2006/relationships/hyperlink" Target="https://search.corpuskiparla.it/corpus/player/player.cgi?code=PBB014&amp;begin=1619638&amp;end=1624600" TargetMode="External"/><Relationship Id="rId99" Type="http://schemas.openxmlformats.org/officeDocument/2006/relationships/hyperlink" Target="https://search.corpuskiparla.it/corpus/player/player.cgi?code=KPS012&amp;begin=1091969&amp;end=1093882" TargetMode="External"/><Relationship Id="rId122" Type="http://schemas.openxmlformats.org/officeDocument/2006/relationships/hyperlink" Target="https://search.corpuskiparla.it/corpus/player/player.cgi?code=PTA003&amp;begin=857706&amp;end=862006" TargetMode="External"/><Relationship Id="rId164" Type="http://schemas.openxmlformats.org/officeDocument/2006/relationships/hyperlink" Target="https://search.corpuskiparla.it/corpus/player/player.cgi?code=BOA3003&amp;begin=3467903&amp;end=3469776" TargetMode="External"/><Relationship Id="rId371" Type="http://schemas.openxmlformats.org/officeDocument/2006/relationships/hyperlink" Target="https://search.corpuskiparla.it/corpus/player/player.cgi?code=KPC002&amp;begin=776726&amp;end=782020" TargetMode="External"/><Relationship Id="rId774" Type="http://schemas.openxmlformats.org/officeDocument/2006/relationships/hyperlink" Target="https://search.corpuskiparla.it/corpus/player/player.cgi?code=PBA015&amp;begin=137411&amp;end=139622" TargetMode="External"/><Relationship Id="rId427" Type="http://schemas.openxmlformats.org/officeDocument/2006/relationships/hyperlink" Target="https://search.corpuskiparla.it/corpus/player/player.cgi?code=KPN001&amp;begin=1033096&amp;end=1044489" TargetMode="External"/><Relationship Id="rId469" Type="http://schemas.openxmlformats.org/officeDocument/2006/relationships/hyperlink" Target="https://search.corpuskiparla.it/corpus/player/player.cgi?code=PBA029&amp;begin=449447&amp;end=456236" TargetMode="External"/><Relationship Id="rId634" Type="http://schemas.openxmlformats.org/officeDocument/2006/relationships/hyperlink" Target="https://search.corpuskiparla.it/corpus/player/player.cgi?code=PBC012&amp;begin=2610938&amp;end=2614953" TargetMode="External"/><Relationship Id="rId676" Type="http://schemas.openxmlformats.org/officeDocument/2006/relationships/hyperlink" Target="https://search.corpuskiparla.it/corpus/player/player.cgi?code=BOA3001&amp;begin=889538&amp;end=894518" TargetMode="External"/><Relationship Id="rId26" Type="http://schemas.openxmlformats.org/officeDocument/2006/relationships/hyperlink" Target="https://search.corpuskiparla.it/corpus/player/player.cgi?code=PTA002&amp;begin=248320&amp;end=254960" TargetMode="External"/><Relationship Id="rId231" Type="http://schemas.openxmlformats.org/officeDocument/2006/relationships/hyperlink" Target="https://search.corpuskiparla.it/corpus/player/player.cgi?code=PTA005&amp;begin=1994940&amp;end=1997707" TargetMode="External"/><Relationship Id="rId273" Type="http://schemas.openxmlformats.org/officeDocument/2006/relationships/hyperlink" Target="https://search.corpuskiparla.it/corpus/player/player.cgi?code=PTD016&amp;begin=992030&amp;end=995520" TargetMode="External"/><Relationship Id="rId329" Type="http://schemas.openxmlformats.org/officeDocument/2006/relationships/hyperlink" Target="https://search.corpuskiparla.it/corpus/player/player.cgi?code=TOD2001&amp;begin=849958&amp;end=856043" TargetMode="External"/><Relationship Id="rId480" Type="http://schemas.openxmlformats.org/officeDocument/2006/relationships/hyperlink" Target="https://search.corpuskiparla.it/corpus/player/player.cgi?code=KPS007&amp;begin=1292437&amp;end=1296400" TargetMode="External"/><Relationship Id="rId536" Type="http://schemas.openxmlformats.org/officeDocument/2006/relationships/hyperlink" Target="https://search.corpuskiparla.it/corpus/player/player.cgi?code=KPN002&amp;begin=1274900&amp;end=1289135" TargetMode="External"/><Relationship Id="rId701" Type="http://schemas.openxmlformats.org/officeDocument/2006/relationships/hyperlink" Target="https://search.corpuskiparla.it/corpus/player/player.cgi?code=PBB005&amp;begin=1984064&amp;end=1987853" TargetMode="External"/><Relationship Id="rId68" Type="http://schemas.openxmlformats.org/officeDocument/2006/relationships/hyperlink" Target="https://search.corpuskiparla.it/corpus/player/player.cgi?code=PBC004&amp;begin=2599490&amp;end=2605537" TargetMode="External"/><Relationship Id="rId133" Type="http://schemas.openxmlformats.org/officeDocument/2006/relationships/hyperlink" Target="https://search.corpuskiparla.it/corpus/player/player.cgi?code=PBA017&amp;begin=849190&amp;end=850281" TargetMode="External"/><Relationship Id="rId175" Type="http://schemas.openxmlformats.org/officeDocument/2006/relationships/hyperlink" Target="https://search.corpuskiparla.it/corpus/player/player.cgi?code=PBA011&amp;begin=2135915&amp;end=2140525" TargetMode="External"/><Relationship Id="rId340" Type="http://schemas.openxmlformats.org/officeDocument/2006/relationships/hyperlink" Target="https://search.corpuskiparla.it/corpus/player/player.cgi?code=BOA3019&amp;begin=762416&amp;end=763523" TargetMode="External"/><Relationship Id="rId578" Type="http://schemas.openxmlformats.org/officeDocument/2006/relationships/hyperlink" Target="https://search.corpuskiparla.it/corpus/player/player.cgi?code=KPS003&amp;begin=1237920&amp;end=1247000" TargetMode="External"/><Relationship Id="rId743" Type="http://schemas.openxmlformats.org/officeDocument/2006/relationships/hyperlink" Target="https://search.corpuskiparla.it/corpus/player/player.cgi?code=PBB019&amp;begin=704420&amp;end=708340" TargetMode="External"/><Relationship Id="rId785" Type="http://schemas.openxmlformats.org/officeDocument/2006/relationships/hyperlink" Target="https://search.corpuskiparla.it/corpus/player/player.cgi?code=PBA019&amp;begin=1694391&amp;end=1697241" TargetMode="External"/><Relationship Id="rId200" Type="http://schemas.openxmlformats.org/officeDocument/2006/relationships/hyperlink" Target="https://search.corpuskiparla.it/corpus/player/player.cgi?code=PBC018&amp;begin=2176880&amp;end=2179187" TargetMode="External"/><Relationship Id="rId382" Type="http://schemas.openxmlformats.org/officeDocument/2006/relationships/hyperlink" Target="https://search.corpuskiparla.it/corpus/player/player.cgi?code=PTA001&amp;begin=3427510&amp;end=3432707" TargetMode="External"/><Relationship Id="rId438" Type="http://schemas.openxmlformats.org/officeDocument/2006/relationships/hyperlink" Target="https://search.corpuskiparla.it/corpus/player/player.cgi?code=KPS015&amp;begin=2238413&amp;end=2239447" TargetMode="External"/><Relationship Id="rId603" Type="http://schemas.openxmlformats.org/officeDocument/2006/relationships/hyperlink" Target="https://search.corpuskiparla.it/corpus/player/player.cgi?code=PBB009&amp;begin=3807214&amp;end=3811980" TargetMode="External"/><Relationship Id="rId645" Type="http://schemas.openxmlformats.org/officeDocument/2006/relationships/hyperlink" Target="https://search.corpuskiparla.it/corpus/player/player.cgi?code=PBC025&amp;begin=805594&amp;end=806098" TargetMode="External"/><Relationship Id="rId687" Type="http://schemas.openxmlformats.org/officeDocument/2006/relationships/hyperlink" Target="https://search.corpuskiparla.it/corpus/player/player.cgi?code=BOD2019&amp;begin=461699&amp;end=464939" TargetMode="External"/><Relationship Id="rId242" Type="http://schemas.openxmlformats.org/officeDocument/2006/relationships/hyperlink" Target="https://search.corpuskiparla.it/corpus/player/player.cgi?code=PTA005&amp;begin=5350217&amp;end=5352996" TargetMode="External"/><Relationship Id="rId284" Type="http://schemas.openxmlformats.org/officeDocument/2006/relationships/hyperlink" Target="https://search.corpuskiparla.it/corpus/player/player.cgi?code=KPS010&amp;begin=874084&amp;end=875604" TargetMode="External"/><Relationship Id="rId491" Type="http://schemas.openxmlformats.org/officeDocument/2006/relationships/hyperlink" Target="https://search.corpuskiparla.it/corpus/player/player.cgi?code=KPS001&amp;begin=1265795&amp;end=1266156" TargetMode="External"/><Relationship Id="rId505" Type="http://schemas.openxmlformats.org/officeDocument/2006/relationships/hyperlink" Target="https://search.corpuskiparla.it/corpus/player/player.cgi?code=KPS024&amp;begin=2063436&amp;end=2066266" TargetMode="External"/><Relationship Id="rId712" Type="http://schemas.openxmlformats.org/officeDocument/2006/relationships/hyperlink" Target="https://search.corpuskiparla.it/corpus/player/player.cgi?code=PBB005&amp;begin=2748206&amp;end=2753015" TargetMode="External"/><Relationship Id="rId37" Type="http://schemas.openxmlformats.org/officeDocument/2006/relationships/hyperlink" Target="https://search.corpuskiparla.it/corpus/player/player.cgi?code=PBB033&amp;begin=1987756&amp;end=1993594" TargetMode="External"/><Relationship Id="rId79" Type="http://schemas.openxmlformats.org/officeDocument/2006/relationships/hyperlink" Target="https://search.corpuskiparla.it/corpus/player/player.cgi?code=KPS023&amp;begin=1572328&amp;end=1574995" TargetMode="External"/><Relationship Id="rId102" Type="http://schemas.openxmlformats.org/officeDocument/2006/relationships/hyperlink" Target="https://search.corpuskiparla.it/corpus/player/player.cgi?code=KPS012&amp;begin=1849778&amp;end=1854313" TargetMode="External"/><Relationship Id="rId144" Type="http://schemas.openxmlformats.org/officeDocument/2006/relationships/hyperlink" Target="https://search.corpuskiparla.it/corpus/player/player.cgi?code=PBC003&amp;begin=2551000&amp;end=2555828" TargetMode="External"/><Relationship Id="rId547" Type="http://schemas.openxmlformats.org/officeDocument/2006/relationships/hyperlink" Target="https://search.corpuskiparla.it/corpus/player/player.cgi?code=KPN029&amp;begin=1640580&amp;end=1641982" TargetMode="External"/><Relationship Id="rId589" Type="http://schemas.openxmlformats.org/officeDocument/2006/relationships/hyperlink" Target="https://search.corpuskiparla.it/corpus/player/player.cgi?code=KPS021&amp;begin=1245073&amp;end=1247359" TargetMode="External"/><Relationship Id="rId754" Type="http://schemas.openxmlformats.org/officeDocument/2006/relationships/hyperlink" Target="https://search.corpuskiparla.it/corpus/player/player.cgi?code=BOD2014&amp;begin=1092083&amp;end=1095036" TargetMode="External"/><Relationship Id="rId796" Type="http://schemas.openxmlformats.org/officeDocument/2006/relationships/hyperlink" Target="https://search.corpuskiparla.it/corpus/player/player.cgi?code=KPN007&amp;begin=1832839&amp;end=1835200" TargetMode="External"/><Relationship Id="rId90" Type="http://schemas.openxmlformats.org/officeDocument/2006/relationships/hyperlink" Target="https://search.corpuskiparla.it/corpus/player/player.cgi?code=PBA028&amp;begin=890300&amp;end=895730" TargetMode="External"/><Relationship Id="rId186" Type="http://schemas.openxmlformats.org/officeDocument/2006/relationships/hyperlink" Target="https://search.corpuskiparla.it/corpus/player/player.cgi?code=PTD012&amp;begin=2007054&amp;end=2009644" TargetMode="External"/><Relationship Id="rId351" Type="http://schemas.openxmlformats.org/officeDocument/2006/relationships/hyperlink" Target="https://search.corpuskiparla.it/corpus/player/player.cgi?code=KPN006&amp;begin=1674788&amp;end=1676458" TargetMode="External"/><Relationship Id="rId393" Type="http://schemas.openxmlformats.org/officeDocument/2006/relationships/hyperlink" Target="https://search.corpuskiparla.it/corpus/player/player.cgi?code=BOA3015&amp;begin=387723&amp;end=391330" TargetMode="External"/><Relationship Id="rId407" Type="http://schemas.openxmlformats.org/officeDocument/2006/relationships/hyperlink" Target="https://search.corpuskiparla.it/corpus/player/player.cgi?code=PBC024&amp;begin=3673480&amp;end=3674548" TargetMode="External"/><Relationship Id="rId449" Type="http://schemas.openxmlformats.org/officeDocument/2006/relationships/hyperlink" Target="https://search.corpuskiparla.it/corpus/player/player.cgi?code=KPN021&amp;begin=998828&amp;end=1002549" TargetMode="External"/><Relationship Id="rId614" Type="http://schemas.openxmlformats.org/officeDocument/2006/relationships/hyperlink" Target="https://search.corpuskiparla.it/corpus/player/player.cgi?code=KPS022&amp;begin=1861920&amp;end=1865658" TargetMode="External"/><Relationship Id="rId656" Type="http://schemas.openxmlformats.org/officeDocument/2006/relationships/hyperlink" Target="https://search.corpuskiparla.it/corpus/player/player.cgi?code=KPN005&amp;begin=665716&amp;end=668566" TargetMode="External"/><Relationship Id="rId211" Type="http://schemas.openxmlformats.org/officeDocument/2006/relationships/hyperlink" Target="https://search.corpuskiparla.it/corpus/player/player.cgi?code=PTB015&amp;begin=2959415&amp;end=2963125" TargetMode="External"/><Relationship Id="rId253" Type="http://schemas.openxmlformats.org/officeDocument/2006/relationships/hyperlink" Target="https://search.corpuskiparla.it/corpus/player/player.cgi?code=KPS004&amp;begin=2252871&amp;end=2254062" TargetMode="External"/><Relationship Id="rId295" Type="http://schemas.openxmlformats.org/officeDocument/2006/relationships/hyperlink" Target="https://search.corpuskiparla.it/corpus/player/player.cgi?code=PBA013&amp;begin=1650191&amp;end=1653475" TargetMode="External"/><Relationship Id="rId309" Type="http://schemas.openxmlformats.org/officeDocument/2006/relationships/hyperlink" Target="https://search.corpuskiparla.it/corpus/player/player.cgi?code=BOA3004&amp;begin=3385515&amp;end=3388326" TargetMode="External"/><Relationship Id="rId460" Type="http://schemas.openxmlformats.org/officeDocument/2006/relationships/hyperlink" Target="https://search.corpuskiparla.it/corpus/player/player.cgi?code=PTB023&amp;begin=1320549&amp;end=1321700" TargetMode="External"/><Relationship Id="rId516" Type="http://schemas.openxmlformats.org/officeDocument/2006/relationships/hyperlink" Target="https://search.corpuskiparla.it/corpus/player/player.cgi?code=KPN010&amp;begin=403516&amp;end=407641" TargetMode="External"/><Relationship Id="rId698" Type="http://schemas.openxmlformats.org/officeDocument/2006/relationships/hyperlink" Target="https://search.corpuskiparla.it/corpus/player/player.cgi?code=PBB005&amp;begin=1385670&amp;end=1388257" TargetMode="External"/><Relationship Id="rId48" Type="http://schemas.openxmlformats.org/officeDocument/2006/relationships/hyperlink" Target="https://search.corpuskiparla.it/corpus/player/player.cgi?code=PTD019&amp;begin=2660340&amp;end=2662976" TargetMode="External"/><Relationship Id="rId113" Type="http://schemas.openxmlformats.org/officeDocument/2006/relationships/hyperlink" Target="https://search.corpuskiparla.it/corpus/player/player.cgi?code=PBC015&amp;begin=1665485&amp;end=1670127" TargetMode="External"/><Relationship Id="rId320" Type="http://schemas.openxmlformats.org/officeDocument/2006/relationships/hyperlink" Target="https://search.corpuskiparla.it/corpus/player/player.cgi?code=PTD010&amp;begin=1286679&amp;end=1287817" TargetMode="External"/><Relationship Id="rId558" Type="http://schemas.openxmlformats.org/officeDocument/2006/relationships/hyperlink" Target="https://search.corpuskiparla.it/corpus/player/player.cgi?code=KPS017&amp;begin=424590&amp;end=425150" TargetMode="External"/><Relationship Id="rId723" Type="http://schemas.openxmlformats.org/officeDocument/2006/relationships/hyperlink" Target="https://search.corpuskiparla.it/corpus/player/player.cgi?code=PTD004&amp;begin=2858710&amp;end=2861447" TargetMode="External"/><Relationship Id="rId765" Type="http://schemas.openxmlformats.org/officeDocument/2006/relationships/hyperlink" Target="https://search.corpuskiparla.it/corpus/player/player.cgi?code=KPN013&amp;begin=1063558&amp;end=1064546" TargetMode="External"/><Relationship Id="rId155" Type="http://schemas.openxmlformats.org/officeDocument/2006/relationships/hyperlink" Target="https://search.corpuskiparla.it/corpus/player/player.cgi?code=TOA3004&amp;begin=1784790&amp;end=1786880" TargetMode="External"/><Relationship Id="rId197" Type="http://schemas.openxmlformats.org/officeDocument/2006/relationships/hyperlink" Target="https://search.corpuskiparla.it/corpus/player/player.cgi?code=PBC018&amp;begin=1693494&amp;end=1698547" TargetMode="External"/><Relationship Id="rId362" Type="http://schemas.openxmlformats.org/officeDocument/2006/relationships/hyperlink" Target="https://search.corpuskiparla.it/corpus/player/player.cgi?code=PBB022&amp;begin=927530&amp;end=933320" TargetMode="External"/><Relationship Id="rId418" Type="http://schemas.openxmlformats.org/officeDocument/2006/relationships/hyperlink" Target="https://search.corpuskiparla.it/corpus/player/player.cgi?code=BOA3010&amp;begin=3285414&amp;end=3288405" TargetMode="External"/><Relationship Id="rId625" Type="http://schemas.openxmlformats.org/officeDocument/2006/relationships/hyperlink" Target="https://search.corpuskiparla.it/corpus/player/player.cgi?code=PBC012&amp;begin=1020018&amp;end=1025775" TargetMode="External"/><Relationship Id="rId222" Type="http://schemas.openxmlformats.org/officeDocument/2006/relationships/hyperlink" Target="https://search.corpuskiparla.it/corpus/player/player.cgi?code=KPC003&amp;begin=1465152&amp;end=1466255" TargetMode="External"/><Relationship Id="rId264" Type="http://schemas.openxmlformats.org/officeDocument/2006/relationships/hyperlink" Target="https://search.corpuskiparla.it/corpus/player/player.cgi?code=KPS004&amp;begin=6187081&amp;end=6192673" TargetMode="External"/><Relationship Id="rId471" Type="http://schemas.openxmlformats.org/officeDocument/2006/relationships/hyperlink" Target="https://search.corpuskiparla.it/corpus/player/player.cgi?code=PBA029&amp;begin=865410&amp;end=870240" TargetMode="External"/><Relationship Id="rId667" Type="http://schemas.openxmlformats.org/officeDocument/2006/relationships/hyperlink" Target="https://search.corpuskiparla.it/corpus/player/player.cgi?code=TOD2013&amp;begin=2454853&amp;end=2459772" TargetMode="External"/><Relationship Id="rId17" Type="http://schemas.openxmlformats.org/officeDocument/2006/relationships/hyperlink" Target="https://search.corpuskiparla.it/corpus/player/player.cgi?code=KPS008&amp;begin=265665&amp;end=268395" TargetMode="External"/><Relationship Id="rId59" Type="http://schemas.openxmlformats.org/officeDocument/2006/relationships/hyperlink" Target="https://search.corpuskiparla.it/corpus/player/player.cgi?code=PBB017&amp;begin=2076579&amp;end=2084309" TargetMode="External"/><Relationship Id="rId124" Type="http://schemas.openxmlformats.org/officeDocument/2006/relationships/hyperlink" Target="https://search.corpuskiparla.it/corpus/player/player.cgi?code=PTA003&amp;begin=1379955&amp;end=1384637" TargetMode="External"/><Relationship Id="rId527" Type="http://schemas.openxmlformats.org/officeDocument/2006/relationships/hyperlink" Target="https://search.corpuskiparla.it/corpus/player/player.cgi?code=KPN026&amp;begin=2154541&amp;end=2157707" TargetMode="External"/><Relationship Id="rId569" Type="http://schemas.openxmlformats.org/officeDocument/2006/relationships/hyperlink" Target="https://search.corpuskiparla.it/corpus/player/player.cgi?code=KPC006&amp;begin=439812&amp;end=441732" TargetMode="External"/><Relationship Id="rId734" Type="http://schemas.openxmlformats.org/officeDocument/2006/relationships/hyperlink" Target="https://search.corpuskiparla.it/corpus/player/player.cgi?code=PBB014&amp;begin=1619638&amp;end=1624600" TargetMode="External"/><Relationship Id="rId776" Type="http://schemas.openxmlformats.org/officeDocument/2006/relationships/hyperlink" Target="https://search.corpuskiparla.it/corpus/player/player.cgi?code=PBA015&amp;begin=597770&amp;end=599576" TargetMode="External"/><Relationship Id="rId70" Type="http://schemas.openxmlformats.org/officeDocument/2006/relationships/hyperlink" Target="https://search.corpuskiparla.it/corpus/player/player.cgi?code=PBC004&amp;begin=3502616&amp;end=3504111" TargetMode="External"/><Relationship Id="rId166" Type="http://schemas.openxmlformats.org/officeDocument/2006/relationships/hyperlink" Target="https://search.corpuskiparla.it/corpus/player/player.cgi?code=KPC005&amp;begin=598263&amp;end=600565" TargetMode="External"/><Relationship Id="rId331" Type="http://schemas.openxmlformats.org/officeDocument/2006/relationships/hyperlink" Target="https://search.corpuskiparla.it/corpus/player/player.cgi?code=KPN028&amp;begin=482140&amp;end=484233" TargetMode="External"/><Relationship Id="rId373" Type="http://schemas.openxmlformats.org/officeDocument/2006/relationships/hyperlink" Target="https://search.corpuskiparla.it/corpus/player/player.cgi?code=KPC002&amp;begin=1671330&amp;end=1676083" TargetMode="External"/><Relationship Id="rId429" Type="http://schemas.openxmlformats.org/officeDocument/2006/relationships/hyperlink" Target="https://search.corpuskiparla.it/corpus/player/player.cgi?code=KPN001&amp;begin=1815225&amp;end=1816333" TargetMode="External"/><Relationship Id="rId580" Type="http://schemas.openxmlformats.org/officeDocument/2006/relationships/hyperlink" Target="https://search.corpuskiparla.it/corpus/player/player.cgi?code=KPS003&amp;begin=1456589&amp;end=1463427" TargetMode="External"/><Relationship Id="rId636" Type="http://schemas.openxmlformats.org/officeDocument/2006/relationships/hyperlink" Target="https://search.corpuskiparla.it/corpus/player/player.cgi?code=PBC012&amp;begin=2772442&amp;end=2779837" TargetMode="External"/><Relationship Id="rId801" Type="http://schemas.openxmlformats.org/officeDocument/2006/relationships/hyperlink" Target="https://search.corpuskiparla.it/corpus/player/player.cgi?code=KPN024&amp;begin=1425400&amp;end=1441600" TargetMode="External"/><Relationship Id="rId1" Type="http://schemas.openxmlformats.org/officeDocument/2006/relationships/hyperlink" Target="https://search.corpuskiparla.it/corpus/player/player.cgi?code=PTB009&amp;begin=2027669&amp;end=2031054" TargetMode="External"/><Relationship Id="rId233" Type="http://schemas.openxmlformats.org/officeDocument/2006/relationships/hyperlink" Target="https://search.corpuskiparla.it/corpus/player/player.cgi?code=PTA005&amp;begin=3070390&amp;end=3072407" TargetMode="External"/><Relationship Id="rId440" Type="http://schemas.openxmlformats.org/officeDocument/2006/relationships/hyperlink" Target="https://search.corpuskiparla.it/corpus/player/player.cgi?code=PTD011&amp;begin=677606&amp;end=679000" TargetMode="External"/><Relationship Id="rId678" Type="http://schemas.openxmlformats.org/officeDocument/2006/relationships/hyperlink" Target="https://search.corpuskiparla.it/corpus/player/player.cgi?code=BOA3001&amp;begin=1870527&amp;end=1878449" TargetMode="External"/><Relationship Id="rId28" Type="http://schemas.openxmlformats.org/officeDocument/2006/relationships/hyperlink" Target="https://search.corpuskiparla.it/corpus/player/player.cgi?code=PBB033&amp;begin=51330&amp;end=59006" TargetMode="External"/><Relationship Id="rId275" Type="http://schemas.openxmlformats.org/officeDocument/2006/relationships/hyperlink" Target="https://search.corpuskiparla.it/corpus/player/player.cgi?code=PTD016&amp;begin=1076325&amp;end=1078620" TargetMode="External"/><Relationship Id="rId300" Type="http://schemas.openxmlformats.org/officeDocument/2006/relationships/hyperlink" Target="https://search.corpuskiparla.it/corpus/player/player.cgi?code=PBA021&amp;begin=433068&amp;end=434719" TargetMode="External"/><Relationship Id="rId482" Type="http://schemas.openxmlformats.org/officeDocument/2006/relationships/hyperlink" Target="https://search.corpuskiparla.it/corpus/player/player.cgi?code=BOD1001&amp;begin=211105&amp;end=212235" TargetMode="External"/><Relationship Id="rId538" Type="http://schemas.openxmlformats.org/officeDocument/2006/relationships/hyperlink" Target="https://search.corpuskiparla.it/corpus/player/player.cgi?code=KPN016&amp;begin=227260&amp;end=232612" TargetMode="External"/><Relationship Id="rId703" Type="http://schemas.openxmlformats.org/officeDocument/2006/relationships/hyperlink" Target="https://search.corpuskiparla.it/corpus/player/player.cgi?code=PBB005&amp;begin=2073147&amp;end=2074982" TargetMode="External"/><Relationship Id="rId745" Type="http://schemas.openxmlformats.org/officeDocument/2006/relationships/hyperlink" Target="https://search.corpuskiparla.it/corpus/player/player.cgi?code=TOA3011&amp;begin=422135&amp;end=426075" TargetMode="External"/><Relationship Id="rId81" Type="http://schemas.openxmlformats.org/officeDocument/2006/relationships/hyperlink" Target="https://search.corpuskiparla.it/corpus/player/player.cgi?code=KPS023&amp;begin=1657974&amp;end=1660415" TargetMode="External"/><Relationship Id="rId135" Type="http://schemas.openxmlformats.org/officeDocument/2006/relationships/hyperlink" Target="https://search.corpuskiparla.it/corpus/player/player.cgi?code=PBA017&amp;begin=1692441&amp;end=1694040" TargetMode="External"/><Relationship Id="rId177" Type="http://schemas.openxmlformats.org/officeDocument/2006/relationships/hyperlink" Target="https://search.corpuskiparla.it/corpus/player/player.cgi?code=PBC013&amp;begin=1283540&amp;end=1293614" TargetMode="External"/><Relationship Id="rId342" Type="http://schemas.openxmlformats.org/officeDocument/2006/relationships/hyperlink" Target="https://search.corpuskiparla.it/corpus/player/player.cgi?code=TOD2014&amp;begin=1395050&amp;end=1401510" TargetMode="External"/><Relationship Id="rId384" Type="http://schemas.openxmlformats.org/officeDocument/2006/relationships/hyperlink" Target="https://search.corpuskiparla.it/corpus/player/player.cgi?code=KPS002&amp;begin=698635&amp;end=700173" TargetMode="External"/><Relationship Id="rId591" Type="http://schemas.openxmlformats.org/officeDocument/2006/relationships/hyperlink" Target="https://search.corpuskiparla.it/corpus/player/player.cgi?code=KPS021&amp;begin=1733778&amp;end=1735496" TargetMode="External"/><Relationship Id="rId605" Type="http://schemas.openxmlformats.org/officeDocument/2006/relationships/hyperlink" Target="https://search.corpuskiparla.it/corpus/player/player.cgi?code=PBB009&amp;begin=3954224&amp;end=3958945" TargetMode="External"/><Relationship Id="rId787" Type="http://schemas.openxmlformats.org/officeDocument/2006/relationships/hyperlink" Target="https://search.corpuskiparla.it/corpus/player/player.cgi?code=PBA019&amp;begin=2984610&amp;end=2988680" TargetMode="External"/><Relationship Id="rId202" Type="http://schemas.openxmlformats.org/officeDocument/2006/relationships/hyperlink" Target="https://search.corpuskiparla.it/corpus/player/player.cgi?code=PBB027&amp;begin=2231562&amp;end=2236167" TargetMode="External"/><Relationship Id="rId244" Type="http://schemas.openxmlformats.org/officeDocument/2006/relationships/hyperlink" Target="https://search.corpuskiparla.it/corpus/player/player.cgi?code=PTA005&amp;begin=5587304&amp;end=5591370" TargetMode="External"/><Relationship Id="rId647" Type="http://schemas.openxmlformats.org/officeDocument/2006/relationships/hyperlink" Target="https://search.corpuskiparla.it/corpus/player/player.cgi?code=PBC025&amp;begin=2679001&amp;end=2679993" TargetMode="External"/><Relationship Id="rId689" Type="http://schemas.openxmlformats.org/officeDocument/2006/relationships/hyperlink" Target="https://search.corpuskiparla.it/corpus/player/player.cgi?code=BOD2019&amp;begin=1733931&amp;end=1737500" TargetMode="External"/><Relationship Id="rId39" Type="http://schemas.openxmlformats.org/officeDocument/2006/relationships/hyperlink" Target="https://search.corpuskiparla.it/corpus/player/player.cgi?code=PBB033&amp;begin=2016398&amp;end=2021256" TargetMode="External"/><Relationship Id="rId286" Type="http://schemas.openxmlformats.org/officeDocument/2006/relationships/hyperlink" Target="https://search.corpuskiparla.it/corpus/player/player.cgi?code=KPC009&amp;begin=419820&amp;end=422880" TargetMode="External"/><Relationship Id="rId451" Type="http://schemas.openxmlformats.org/officeDocument/2006/relationships/hyperlink" Target="https://search.corpuskiparla.it/corpus/player/player.cgi?code=KPN021&amp;begin=1664540&amp;end=1666100" TargetMode="External"/><Relationship Id="rId493" Type="http://schemas.openxmlformats.org/officeDocument/2006/relationships/hyperlink" Target="https://search.corpuskiparla.it/corpus/player/player.cgi?code=KPS001&amp;begin=2745541&amp;end=2746718" TargetMode="External"/><Relationship Id="rId507" Type="http://schemas.openxmlformats.org/officeDocument/2006/relationships/hyperlink" Target="https://search.corpuskiparla.it/corpus/player/player.cgi?code=KPS018&amp;begin=76170&amp;end=79186" TargetMode="External"/><Relationship Id="rId549" Type="http://schemas.openxmlformats.org/officeDocument/2006/relationships/hyperlink" Target="https://search.corpuskiparla.it/corpus/player/player.cgi?code=PBB016&amp;begin=911927&amp;end=915127" TargetMode="External"/><Relationship Id="rId714" Type="http://schemas.openxmlformats.org/officeDocument/2006/relationships/hyperlink" Target="https://search.corpuskiparla.it/corpus/player/player.cgi?code=PBB031&amp;begin=1343230&amp;end=1347634" TargetMode="External"/><Relationship Id="rId756" Type="http://schemas.openxmlformats.org/officeDocument/2006/relationships/hyperlink" Target="https://search.corpuskiparla.it/corpus/player/player.cgi?code=TOA3009&amp;begin=1334720&amp;end=1337561" TargetMode="External"/><Relationship Id="rId50" Type="http://schemas.openxmlformats.org/officeDocument/2006/relationships/hyperlink" Target="https://search.corpuskiparla.it/corpus/player/player.cgi?code=PTD019&amp;begin=2919161&amp;end=2926605" TargetMode="External"/><Relationship Id="rId104" Type="http://schemas.openxmlformats.org/officeDocument/2006/relationships/hyperlink" Target="https://search.corpuskiparla.it/corpus/player/player.cgi?code=PBC019&amp;begin=192280&amp;end=197270" TargetMode="External"/><Relationship Id="rId146" Type="http://schemas.openxmlformats.org/officeDocument/2006/relationships/hyperlink" Target="https://search.corpuskiparla.it/corpus/player/player.cgi?code=PBC003&amp;begin=3693281&amp;end=3693852" TargetMode="External"/><Relationship Id="rId188" Type="http://schemas.openxmlformats.org/officeDocument/2006/relationships/hyperlink" Target="https://search.corpuskiparla.it/corpus/player/player.cgi?code=PTD012&amp;begin=2512419&amp;end=2513419" TargetMode="External"/><Relationship Id="rId311" Type="http://schemas.openxmlformats.org/officeDocument/2006/relationships/hyperlink" Target="https://search.corpuskiparla.it/corpus/player/player.cgi?code=PTB007&amp;begin=133255&amp;end=136500" TargetMode="External"/><Relationship Id="rId353" Type="http://schemas.openxmlformats.org/officeDocument/2006/relationships/hyperlink" Target="https://search.corpuskiparla.it/corpus/player/player.cgi?code=KPN006&amp;begin=1903292&amp;end=1904282" TargetMode="External"/><Relationship Id="rId395" Type="http://schemas.openxmlformats.org/officeDocument/2006/relationships/hyperlink" Target="https://search.corpuskiparla.it/corpus/player/player.cgi?code=BOA3015&amp;begin=1125981&amp;end=1129066" TargetMode="External"/><Relationship Id="rId409" Type="http://schemas.openxmlformats.org/officeDocument/2006/relationships/hyperlink" Target="https://search.corpuskiparla.it/corpus/player/player.cgi?code=KPN012&amp;begin=616230&amp;end=618131" TargetMode="External"/><Relationship Id="rId560" Type="http://schemas.openxmlformats.org/officeDocument/2006/relationships/hyperlink" Target="https://search.corpuskiparla.it/corpus/player/player.cgi?code=KPS017&amp;begin=1184490&amp;end=1187300" TargetMode="External"/><Relationship Id="rId798" Type="http://schemas.openxmlformats.org/officeDocument/2006/relationships/hyperlink" Target="https://search.corpuskiparla.it/corpus/player/player.cgi?code=KPN007&amp;begin=2674895&amp;end=2678197" TargetMode="External"/><Relationship Id="rId92" Type="http://schemas.openxmlformats.org/officeDocument/2006/relationships/hyperlink" Target="https://search.corpuskiparla.it/corpus/player/player.cgi?code=PBA028&amp;begin=1659900&amp;end=1665820" TargetMode="External"/><Relationship Id="rId213" Type="http://schemas.openxmlformats.org/officeDocument/2006/relationships/hyperlink" Target="https://search.corpuskiparla.it/corpus/player/player.cgi?code=BOA3020&amp;begin=1271970&amp;end=1273190" TargetMode="External"/><Relationship Id="rId420" Type="http://schemas.openxmlformats.org/officeDocument/2006/relationships/hyperlink" Target="https://search.corpuskiparla.it/corpus/player/player.cgi?code=KPS005&amp;begin=513130&amp;end=518450" TargetMode="External"/><Relationship Id="rId616" Type="http://schemas.openxmlformats.org/officeDocument/2006/relationships/hyperlink" Target="https://search.corpuskiparla.it/corpus/player/player.cgi?code=PBA027&amp;begin=231041&amp;end=233052" TargetMode="External"/><Relationship Id="rId658" Type="http://schemas.openxmlformats.org/officeDocument/2006/relationships/hyperlink" Target="https://search.corpuskiparla.it/corpus/player/player.cgi?code=KPN005&amp;begin=2242533&amp;end=2245604" TargetMode="External"/><Relationship Id="rId255" Type="http://schemas.openxmlformats.org/officeDocument/2006/relationships/hyperlink" Target="https://search.corpuskiparla.it/corpus/player/player.cgi?code=KPS004&amp;begin=3481080&amp;end=3484731" TargetMode="External"/><Relationship Id="rId297" Type="http://schemas.openxmlformats.org/officeDocument/2006/relationships/hyperlink" Target="https://search.corpuskiparla.it/corpus/player/player.cgi?code=PBA013&amp;begin=2625070&amp;end=2628666" TargetMode="External"/><Relationship Id="rId462" Type="http://schemas.openxmlformats.org/officeDocument/2006/relationships/hyperlink" Target="https://search.corpuskiparla.it/corpus/player/player.cgi?code=PTB023&amp;begin=1649914&amp;end=1653592" TargetMode="External"/><Relationship Id="rId518" Type="http://schemas.openxmlformats.org/officeDocument/2006/relationships/hyperlink" Target="https://search.corpuskiparla.it/corpus/player/player.cgi?code=KPS011&amp;begin=1990335&amp;end=1992750" TargetMode="External"/><Relationship Id="rId725" Type="http://schemas.openxmlformats.org/officeDocument/2006/relationships/hyperlink" Target="https://search.corpuskiparla.it/corpus/player/player.cgi?code=PTD004&amp;begin=4047697&amp;end=4049358" TargetMode="External"/><Relationship Id="rId115" Type="http://schemas.openxmlformats.org/officeDocument/2006/relationships/hyperlink" Target="https://search.corpuskiparla.it/corpus/player/player.cgi?code=PBC015&amp;begin=1745810&amp;end=1751590" TargetMode="External"/><Relationship Id="rId157" Type="http://schemas.openxmlformats.org/officeDocument/2006/relationships/hyperlink" Target="https://search.corpuskiparla.it/corpus/player/player.cgi?code=PBA001&amp;begin=529510&amp;end=532558" TargetMode="External"/><Relationship Id="rId322" Type="http://schemas.openxmlformats.org/officeDocument/2006/relationships/hyperlink" Target="https://search.corpuskiparla.it/corpus/player/player.cgi?code=BOA3006&amp;begin=406850&amp;end=410520" TargetMode="External"/><Relationship Id="rId364" Type="http://schemas.openxmlformats.org/officeDocument/2006/relationships/hyperlink" Target="https://search.corpuskiparla.it/corpus/player/player.cgi?code=PBB022&amp;begin=1975790&amp;end=1980480" TargetMode="External"/><Relationship Id="rId767" Type="http://schemas.openxmlformats.org/officeDocument/2006/relationships/hyperlink" Target="https://search.corpuskiparla.it/corpus/player/player.cgi?code=KPN013&amp;begin=1770487&amp;end=1775023" TargetMode="External"/><Relationship Id="rId61" Type="http://schemas.openxmlformats.org/officeDocument/2006/relationships/hyperlink" Target="https://search.corpuskiparla.it/corpus/player/player.cgi?code=BOA3018&amp;begin=16440&amp;end=19420" TargetMode="External"/><Relationship Id="rId199" Type="http://schemas.openxmlformats.org/officeDocument/2006/relationships/hyperlink" Target="https://search.corpuskiparla.it/corpus/player/player.cgi?code=PBC018&amp;begin=2067233&amp;end=2069693" TargetMode="External"/><Relationship Id="rId571" Type="http://schemas.openxmlformats.org/officeDocument/2006/relationships/hyperlink" Target="https://search.corpuskiparla.it/corpus/player/player.cgi?code=PTA015&amp;begin=928456&amp;end=930900" TargetMode="External"/><Relationship Id="rId627" Type="http://schemas.openxmlformats.org/officeDocument/2006/relationships/hyperlink" Target="https://search.corpuskiparla.it/corpus/player/player.cgi?code=PBC012&amp;begin=1579721&amp;end=1582500" TargetMode="External"/><Relationship Id="rId669" Type="http://schemas.openxmlformats.org/officeDocument/2006/relationships/hyperlink" Target="https://search.corpuskiparla.it/corpus/player/player.cgi?code=BOA3017&amp;begin=768658&amp;end=771240" TargetMode="External"/><Relationship Id="rId19" Type="http://schemas.openxmlformats.org/officeDocument/2006/relationships/hyperlink" Target="https://search.corpuskiparla.it/corpus/player/player.cgi?code=PTB002&amp;begin=971219&amp;end=976063" TargetMode="External"/><Relationship Id="rId224" Type="http://schemas.openxmlformats.org/officeDocument/2006/relationships/hyperlink" Target="https://search.corpuskiparla.it/corpus/player/player.cgi?code=TOA3013&amp;begin=142214&amp;end=143712" TargetMode="External"/><Relationship Id="rId266" Type="http://schemas.openxmlformats.org/officeDocument/2006/relationships/hyperlink" Target="https://search.corpuskiparla.it/corpus/player/player.cgi?code=KPS004&amp;begin=6513091&amp;end=6515755" TargetMode="External"/><Relationship Id="rId431" Type="http://schemas.openxmlformats.org/officeDocument/2006/relationships/hyperlink" Target="https://search.corpuskiparla.it/corpus/player/player.cgi?code=KPN001&amp;begin=2008534&amp;end=2009895" TargetMode="External"/><Relationship Id="rId473" Type="http://schemas.openxmlformats.org/officeDocument/2006/relationships/hyperlink" Target="https://search.corpuskiparla.it/corpus/player/player.cgi?code=KPN017&amp;begin=139939&amp;end=141359" TargetMode="External"/><Relationship Id="rId529" Type="http://schemas.openxmlformats.org/officeDocument/2006/relationships/hyperlink" Target="https://search.corpuskiparla.it/corpus/player/player.cgi?code=PBB024&amp;begin=1149065&amp;end=1152580" TargetMode="External"/><Relationship Id="rId680" Type="http://schemas.openxmlformats.org/officeDocument/2006/relationships/hyperlink" Target="https://search.corpuskiparla.it/corpus/player/player.cgi?code=BOA3001&amp;begin=2184089&amp;end=2188046" TargetMode="External"/><Relationship Id="rId736" Type="http://schemas.openxmlformats.org/officeDocument/2006/relationships/hyperlink" Target="https://search.corpuskiparla.it/corpus/player/player.cgi?code=PBB014&amp;begin=1823138&amp;end=1825594" TargetMode="External"/><Relationship Id="rId30" Type="http://schemas.openxmlformats.org/officeDocument/2006/relationships/hyperlink" Target="https://search.corpuskiparla.it/corpus/player/player.cgi?code=PBB033&amp;begin=974939&amp;end=979573" TargetMode="External"/><Relationship Id="rId126" Type="http://schemas.openxmlformats.org/officeDocument/2006/relationships/hyperlink" Target="https://search.corpuskiparla.it/corpus/player/player.cgi?code=PTA003&amp;begin=1857059&amp;end=1861255" TargetMode="External"/><Relationship Id="rId168" Type="http://schemas.openxmlformats.org/officeDocument/2006/relationships/hyperlink" Target="https://search.corpuskiparla.it/corpus/player/player.cgi?code=KPC005&amp;begin=1363535&amp;end=1365397" TargetMode="External"/><Relationship Id="rId333" Type="http://schemas.openxmlformats.org/officeDocument/2006/relationships/hyperlink" Target="https://search.corpuskiparla.it/corpus/player/player.cgi?code=PBA006&amp;begin=560705&amp;end=561495" TargetMode="External"/><Relationship Id="rId540" Type="http://schemas.openxmlformats.org/officeDocument/2006/relationships/hyperlink" Target="https://search.corpuskiparla.it/corpus/player/player.cgi?code=KPN016&amp;begin=343478&amp;end=345800" TargetMode="External"/><Relationship Id="rId778" Type="http://schemas.openxmlformats.org/officeDocument/2006/relationships/hyperlink" Target="https://search.corpuskiparla.it/corpus/player/player.cgi?code=PTD006&amp;begin=1866560&amp;end=1868053" TargetMode="External"/><Relationship Id="rId72" Type="http://schemas.openxmlformats.org/officeDocument/2006/relationships/hyperlink" Target="https://search.corpuskiparla.it/corpus/player/player.cgi?code=KPN030&amp;begin=983735&amp;end=987671" TargetMode="External"/><Relationship Id="rId375" Type="http://schemas.openxmlformats.org/officeDocument/2006/relationships/hyperlink" Target="https://search.corpuskiparla.it/corpus/player/player.cgi?code=KPC002&amp;begin=1995630&amp;end=1999972" TargetMode="External"/><Relationship Id="rId582" Type="http://schemas.openxmlformats.org/officeDocument/2006/relationships/hyperlink" Target="https://search.corpuskiparla.it/corpus/player/player.cgi?code=KPS003&amp;begin=2111294&amp;end=2117045" TargetMode="External"/><Relationship Id="rId638" Type="http://schemas.openxmlformats.org/officeDocument/2006/relationships/hyperlink" Target="https://search.corpuskiparla.it/corpus/player/player.cgi?code=TOA3003&amp;begin=233503&amp;end=237613" TargetMode="External"/><Relationship Id="rId803" Type="http://schemas.openxmlformats.org/officeDocument/2006/relationships/hyperlink" Target="https://search.corpuskiparla.it/corpus/conversations/BOA3001.html" TargetMode="External"/><Relationship Id="rId3" Type="http://schemas.openxmlformats.org/officeDocument/2006/relationships/hyperlink" Target="https://search.corpuskiparla.it/corpus/player/player.cgi?code=PTB009&amp;begin=2073858&amp;end=2077753" TargetMode="External"/><Relationship Id="rId235" Type="http://schemas.openxmlformats.org/officeDocument/2006/relationships/hyperlink" Target="https://search.corpuskiparla.it/corpus/player/player.cgi?code=PTA005&amp;begin=3818060&amp;end=3821897" TargetMode="External"/><Relationship Id="rId277" Type="http://schemas.openxmlformats.org/officeDocument/2006/relationships/hyperlink" Target="https://search.corpuskiparla.it/corpus/player/player.cgi?code=PTD016&amp;begin=1273593&amp;end=1277883" TargetMode="External"/><Relationship Id="rId400" Type="http://schemas.openxmlformats.org/officeDocument/2006/relationships/hyperlink" Target="https://search.corpuskiparla.it/corpus/player/player.cgi?code=PBC017&amp;begin=2618210&amp;end=2621949" TargetMode="External"/><Relationship Id="rId442" Type="http://schemas.openxmlformats.org/officeDocument/2006/relationships/hyperlink" Target="https://search.corpuskiparla.it/corpus/player/player.cgi?code=PTD011&amp;begin=840206&amp;end=841995" TargetMode="External"/><Relationship Id="rId484" Type="http://schemas.openxmlformats.org/officeDocument/2006/relationships/hyperlink" Target="https://search.corpuskiparla.it/corpus/player/player.cgi?code=BOD1001&amp;begin=4083577&amp;end=4084801" TargetMode="External"/><Relationship Id="rId705" Type="http://schemas.openxmlformats.org/officeDocument/2006/relationships/hyperlink" Target="https://search.corpuskiparla.it/corpus/player/player.cgi?code=PBB005&amp;begin=2392015&amp;end=2394779" TargetMode="External"/><Relationship Id="rId137" Type="http://schemas.openxmlformats.org/officeDocument/2006/relationships/hyperlink" Target="https://search.corpuskiparla.it/corpus/player/player.cgi?code=KPN023&amp;begin=1076030&amp;end=1077560" TargetMode="External"/><Relationship Id="rId302" Type="http://schemas.openxmlformats.org/officeDocument/2006/relationships/hyperlink" Target="https://search.corpuskiparla.it/corpus/player/player.cgi?code=PBA021&amp;begin=1625710&amp;end=1628303" TargetMode="External"/><Relationship Id="rId344" Type="http://schemas.openxmlformats.org/officeDocument/2006/relationships/hyperlink" Target="https://search.corpuskiparla.it/corpus/player/player.cgi?code=KPN006&amp;begin=46248&amp;end=49200" TargetMode="External"/><Relationship Id="rId691" Type="http://schemas.openxmlformats.org/officeDocument/2006/relationships/hyperlink" Target="https://search.corpuskiparla.it/corpus/player/player.cgi?code=KPS006&amp;begin=181548&amp;end=182919" TargetMode="External"/><Relationship Id="rId747" Type="http://schemas.openxmlformats.org/officeDocument/2006/relationships/hyperlink" Target="https://search.corpuskiparla.it/corpus/player/player.cgi?code=TOA3011&amp;begin=567540&amp;end=569426" TargetMode="External"/><Relationship Id="rId789" Type="http://schemas.openxmlformats.org/officeDocument/2006/relationships/hyperlink" Target="https://search.corpuskiparla.it/corpus/player/player.cgi?code=TOD2005&amp;begin=640992&amp;end=644018" TargetMode="External"/><Relationship Id="rId41" Type="http://schemas.openxmlformats.org/officeDocument/2006/relationships/hyperlink" Target="https://search.corpuskiparla.it/corpus/player/player.cgi?code=PBB033&amp;begin=2098338&amp;end=2103607" TargetMode="External"/><Relationship Id="rId83" Type="http://schemas.openxmlformats.org/officeDocument/2006/relationships/hyperlink" Target="https://search.corpuskiparla.it/corpus/player/player.cgi?code=BOA3002&amp;begin=152901&amp;end=159248" TargetMode="External"/><Relationship Id="rId179" Type="http://schemas.openxmlformats.org/officeDocument/2006/relationships/hyperlink" Target="https://search.corpuskiparla.it/corpus/player/player.cgi?code=PBC013&amp;begin=1679291&amp;end=1683591" TargetMode="External"/><Relationship Id="rId386" Type="http://schemas.openxmlformats.org/officeDocument/2006/relationships/hyperlink" Target="https://search.corpuskiparla.it/corpus/player/player.cgi?code=KPS002&amp;begin=1989686&amp;end=1993991" TargetMode="External"/><Relationship Id="rId551" Type="http://schemas.openxmlformats.org/officeDocument/2006/relationships/hyperlink" Target="https://search.corpuskiparla.it/corpus/player/player.cgi?code=PBC007&amp;begin=2274820&amp;end=2280580" TargetMode="External"/><Relationship Id="rId593" Type="http://schemas.openxmlformats.org/officeDocument/2006/relationships/hyperlink" Target="https://search.corpuskiparla.it/corpus/player/player.cgi?code=KPS021&amp;begin=2260917&amp;end=2268515" TargetMode="External"/><Relationship Id="rId607" Type="http://schemas.openxmlformats.org/officeDocument/2006/relationships/hyperlink" Target="https://search.corpuskiparla.it/corpus/player/player.cgi?code=PBC002&amp;begin=1207610&amp;end=1211840" TargetMode="External"/><Relationship Id="rId649" Type="http://schemas.openxmlformats.org/officeDocument/2006/relationships/hyperlink" Target="https://search.corpuskiparla.it/corpus/player/player.cgi?code=KPN011&amp;begin=2375673&amp;end=2376558" TargetMode="External"/><Relationship Id="rId190" Type="http://schemas.openxmlformats.org/officeDocument/2006/relationships/hyperlink" Target="https://search.corpuskiparla.it/corpus/conversations/TOA3001.html" TargetMode="External"/><Relationship Id="rId204" Type="http://schemas.openxmlformats.org/officeDocument/2006/relationships/hyperlink" Target="https://search.corpuskiparla.it/corpus/player/player.cgi?code=BOA3016&amp;begin=611567&amp;end=614943" TargetMode="External"/><Relationship Id="rId246" Type="http://schemas.openxmlformats.org/officeDocument/2006/relationships/hyperlink" Target="https://search.corpuskiparla.it/corpus/player/player.cgi?code=KPN031&amp;begin=493900&amp;end=495080" TargetMode="External"/><Relationship Id="rId288" Type="http://schemas.openxmlformats.org/officeDocument/2006/relationships/hyperlink" Target="https://search.corpuskiparla.it/corpus/player/player.cgi?code=KPC009&amp;begin=1719717&amp;end=1723141" TargetMode="External"/><Relationship Id="rId411" Type="http://schemas.openxmlformats.org/officeDocument/2006/relationships/hyperlink" Target="https://search.corpuskiparla.it/corpus/player/player.cgi?code=KPN012&amp;begin=2185111&amp;end=2186370" TargetMode="External"/><Relationship Id="rId453" Type="http://schemas.openxmlformats.org/officeDocument/2006/relationships/hyperlink" Target="https://search.corpuskiparla.it/corpus/player/player.cgi?code=KPN021&amp;begin=3367656&amp;end=3370981" TargetMode="External"/><Relationship Id="rId509" Type="http://schemas.openxmlformats.org/officeDocument/2006/relationships/hyperlink" Target="https://search.corpuskiparla.it/corpus/player/player.cgi?code=KPS018&amp;begin=848847&amp;end=852774" TargetMode="External"/><Relationship Id="rId660" Type="http://schemas.openxmlformats.org/officeDocument/2006/relationships/hyperlink" Target="https://search.corpuskiparla.it/corpus/player/player.cgi?code=KPN027&amp;begin=617241&amp;end=619635" TargetMode="External"/><Relationship Id="rId106" Type="http://schemas.openxmlformats.org/officeDocument/2006/relationships/hyperlink" Target="https://search.corpuskiparla.it/corpus/player/player.cgi?code=PBC015&amp;begin=92945&amp;end=94152" TargetMode="External"/><Relationship Id="rId313" Type="http://schemas.openxmlformats.org/officeDocument/2006/relationships/hyperlink" Target="https://search.corpuskiparla.it/corpus/player/player.cgi?code=PTB007&amp;begin=3396159&amp;end=3397459" TargetMode="External"/><Relationship Id="rId495" Type="http://schemas.openxmlformats.org/officeDocument/2006/relationships/hyperlink" Target="https://search.corpuskiparla.it/corpus/player/player.cgi?code=KPS001&amp;begin=4036228&amp;end=4041278" TargetMode="External"/><Relationship Id="rId716" Type="http://schemas.openxmlformats.org/officeDocument/2006/relationships/hyperlink" Target="https://search.corpuskiparla.it/corpus/player/player.cgi?code=PBC021&amp;begin=2014706&amp;end=2018136" TargetMode="External"/><Relationship Id="rId758" Type="http://schemas.openxmlformats.org/officeDocument/2006/relationships/hyperlink" Target="https://search.corpuskiparla.it/corpus/player/player.cgi?code=KPC007&amp;begin=1324624&amp;end=1330682" TargetMode="External"/><Relationship Id="rId10" Type="http://schemas.openxmlformats.org/officeDocument/2006/relationships/hyperlink" Target="https://search.corpuskiparla.it/corpus/player/player.cgi?code=PBB023&amp;begin=1580540&amp;end=1582094" TargetMode="External"/><Relationship Id="rId52" Type="http://schemas.openxmlformats.org/officeDocument/2006/relationships/hyperlink" Target="https://search.corpuskiparla.it/corpus/player/player.cgi?code=TOD2008&amp;begin=1784770&amp;end=1786700" TargetMode="External"/><Relationship Id="rId94" Type="http://schemas.openxmlformats.org/officeDocument/2006/relationships/hyperlink" Target="https://search.corpuskiparla.it/corpus/player/player.cgi?code=PBA028&amp;begin=2290967&amp;end=2291940" TargetMode="External"/><Relationship Id="rId148" Type="http://schemas.openxmlformats.org/officeDocument/2006/relationships/hyperlink" Target="https://search.corpuskiparla.it/corpus/player/player.cgi?code=PBC003&amp;begin=4240241&amp;end=4248800" TargetMode="External"/><Relationship Id="rId355" Type="http://schemas.openxmlformats.org/officeDocument/2006/relationships/hyperlink" Target="https://search.corpuskiparla.it/corpus/player/player.cgi?code=PBC010&amp;begin=2517590&amp;end=2519841" TargetMode="External"/><Relationship Id="rId397" Type="http://schemas.openxmlformats.org/officeDocument/2006/relationships/hyperlink" Target="https://search.corpuskiparla.it/corpus/player/player.cgi?code=BOA3021&amp;begin=311710&amp;end=313147" TargetMode="External"/><Relationship Id="rId520" Type="http://schemas.openxmlformats.org/officeDocument/2006/relationships/hyperlink" Target="https://search.corpuskiparla.it/corpus/player/player.cgi?code=KPN026&amp;begin=209653&amp;end=210793" TargetMode="External"/><Relationship Id="rId562" Type="http://schemas.openxmlformats.org/officeDocument/2006/relationships/hyperlink" Target="https://search.corpuskiparla.it/corpus/player/player.cgi?code=PBB010&amp;begin=249705&amp;end=251220" TargetMode="External"/><Relationship Id="rId618" Type="http://schemas.openxmlformats.org/officeDocument/2006/relationships/hyperlink" Target="https://search.corpuskiparla.it/corpus/player/player.cgi?code=PBA012&amp;begin=44590&amp;end=45060" TargetMode="External"/><Relationship Id="rId215" Type="http://schemas.openxmlformats.org/officeDocument/2006/relationships/hyperlink" Target="https://search.corpuskiparla.it/corpus/player/player.cgi?code=PTA016&amp;begin=1347810&amp;end=1352510" TargetMode="External"/><Relationship Id="rId257" Type="http://schemas.openxmlformats.org/officeDocument/2006/relationships/hyperlink" Target="https://search.corpuskiparla.it/corpus/player/player.cgi?code=KPS004&amp;begin=3915653&amp;end=3918597" TargetMode="External"/><Relationship Id="rId422" Type="http://schemas.openxmlformats.org/officeDocument/2006/relationships/hyperlink" Target="https://search.corpuskiparla.it/corpus/player/player.cgi?code=KPS005&amp;begin=1410374&amp;end=1415889" TargetMode="External"/><Relationship Id="rId464" Type="http://schemas.openxmlformats.org/officeDocument/2006/relationships/hyperlink" Target="https://search.corpuskiparla.it/corpus/player/player.cgi?code=PTB023&amp;begin=2872628&amp;end=2874792" TargetMode="External"/><Relationship Id="rId299" Type="http://schemas.openxmlformats.org/officeDocument/2006/relationships/hyperlink" Target="https://search.corpuskiparla.it/corpus/player/player.cgi?code=PBA013&amp;begin=3108230&amp;end=3112354" TargetMode="External"/><Relationship Id="rId727" Type="http://schemas.openxmlformats.org/officeDocument/2006/relationships/hyperlink" Target="https://search.corpuskiparla.it/corpus/player/player.cgi?code=PTD014&amp;begin=253397&amp;end=262800" TargetMode="External"/><Relationship Id="rId63" Type="http://schemas.openxmlformats.org/officeDocument/2006/relationships/hyperlink" Target="https://search.corpuskiparla.it/corpus/player/player.cgi?code=BOA3018&amp;begin=1514800&amp;end=1516000" TargetMode="External"/><Relationship Id="rId159" Type="http://schemas.openxmlformats.org/officeDocument/2006/relationships/hyperlink" Target="https://search.corpuskiparla.it/corpus/player/player.cgi?code=TOD2012&amp;begin=1736777&amp;end=1738587" TargetMode="External"/><Relationship Id="rId366" Type="http://schemas.openxmlformats.org/officeDocument/2006/relationships/hyperlink" Target="https://search.corpuskiparla.it/corpus/player/player.cgi?code=PBB022&amp;begin=2203730&amp;end=2212840" TargetMode="External"/><Relationship Id="rId573" Type="http://schemas.openxmlformats.org/officeDocument/2006/relationships/hyperlink" Target="https://search.corpuskiparla.it/corpus/player/player.cgi?code=BOD2015&amp;begin=879485&amp;end=880876" TargetMode="External"/><Relationship Id="rId780" Type="http://schemas.openxmlformats.org/officeDocument/2006/relationships/hyperlink" Target="https://search.corpuskiparla.it/corpus/player/player.cgi?code=PTD006&amp;begin=2487183&amp;end=2490224" TargetMode="External"/><Relationship Id="rId226" Type="http://schemas.openxmlformats.org/officeDocument/2006/relationships/hyperlink" Target="https://search.corpuskiparla.it/corpus/player/player.cgi?code=PTA005&amp;begin=295753&amp;end=300508" TargetMode="External"/><Relationship Id="rId433" Type="http://schemas.openxmlformats.org/officeDocument/2006/relationships/hyperlink" Target="https://search.corpuskiparla.it/corpus/player/player.cgi?code=KPN001&amp;begin=2171782&amp;end=2173200" TargetMode="External"/><Relationship Id="rId640" Type="http://schemas.openxmlformats.org/officeDocument/2006/relationships/hyperlink" Target="https://search.corpuskiparla.it/corpus/player/player.cgi?code=TOA3003&amp;begin=759205&amp;end=763211" TargetMode="External"/><Relationship Id="rId738" Type="http://schemas.openxmlformats.org/officeDocument/2006/relationships/hyperlink" Target="https://search.corpuskiparla.it/corpus/player/player.cgi?code=PTA006&amp;begin=1932019&amp;end=1937810" TargetMode="External"/><Relationship Id="rId74" Type="http://schemas.openxmlformats.org/officeDocument/2006/relationships/hyperlink" Target="https://search.corpuskiparla.it/corpus/player/player.cgi?code=KPN030&amp;begin=1368532&amp;end=1370799" TargetMode="External"/><Relationship Id="rId377" Type="http://schemas.openxmlformats.org/officeDocument/2006/relationships/hyperlink" Target="https://search.corpuskiparla.it/corpus/player/player.cgi?code=KPC002&amp;begin=2475328&amp;end=2477652" TargetMode="External"/><Relationship Id="rId500" Type="http://schemas.openxmlformats.org/officeDocument/2006/relationships/hyperlink" Target="https://search.corpuskiparla.it/corpus/player/player.cgi?code=KPC011&amp;begin=2267825&amp;end=2271530" TargetMode="External"/><Relationship Id="rId584" Type="http://schemas.openxmlformats.org/officeDocument/2006/relationships/hyperlink" Target="https://search.corpuskiparla.it/corpus/player/player.cgi?code=PBB021&amp;begin=309080&amp;end=315210" TargetMode="External"/><Relationship Id="rId5" Type="http://schemas.openxmlformats.org/officeDocument/2006/relationships/hyperlink" Target="https://search.corpuskiparla.it/corpus/player/player.cgi?code=TOA3012&amp;begin=200488&amp;end=202036" TargetMode="External"/><Relationship Id="rId237" Type="http://schemas.openxmlformats.org/officeDocument/2006/relationships/hyperlink" Target="https://search.corpuskiparla.it/corpus/player/player.cgi?code=PTA005&amp;begin=4095559&amp;end=4100087" TargetMode="External"/><Relationship Id="rId791" Type="http://schemas.openxmlformats.org/officeDocument/2006/relationships/hyperlink" Target="https://search.corpuskiparla.it/corpus/player/player.cgi?code=TOD2005&amp;begin=1164705&amp;end=1165354" TargetMode="External"/><Relationship Id="rId444" Type="http://schemas.openxmlformats.org/officeDocument/2006/relationships/hyperlink" Target="https://search.corpuskiparla.it/corpus/player/player.cgi?code=KPN021&amp;begin=365239&amp;end=368859" TargetMode="External"/><Relationship Id="rId651" Type="http://schemas.openxmlformats.org/officeDocument/2006/relationships/hyperlink" Target="https://search.corpuskiparla.it/corpus/player/player.cgi?code=KPN011&amp;begin=2422243&amp;end=2423396" TargetMode="External"/><Relationship Id="rId749" Type="http://schemas.openxmlformats.org/officeDocument/2006/relationships/hyperlink" Target="https://search.corpuskiparla.it/corpus/player/player.cgi?code=TOA3011&amp;begin=870123&amp;end=872507" TargetMode="External"/><Relationship Id="rId290" Type="http://schemas.openxmlformats.org/officeDocument/2006/relationships/hyperlink" Target="https://search.corpuskiparla.it/corpus/player/player.cgi?code=KPN025&amp;begin=1746613&amp;end=1746926" TargetMode="External"/><Relationship Id="rId304" Type="http://schemas.openxmlformats.org/officeDocument/2006/relationships/hyperlink" Target="https://search.corpuskiparla.it/corpus/player/player.cgi?code=BOA3004&amp;begin=426242&amp;end=427305" TargetMode="External"/><Relationship Id="rId388" Type="http://schemas.openxmlformats.org/officeDocument/2006/relationships/hyperlink" Target="https://search.corpuskiparla.it/corpus/player/player.cgi?code=KPN019&amp;begin=1517045&amp;end=1522335" TargetMode="External"/><Relationship Id="rId511" Type="http://schemas.openxmlformats.org/officeDocument/2006/relationships/hyperlink" Target="https://search.corpuskiparla.it/corpus/player/player.cgi?code=KPS018&amp;begin=2216257&amp;end=2217896" TargetMode="External"/><Relationship Id="rId609" Type="http://schemas.openxmlformats.org/officeDocument/2006/relationships/hyperlink" Target="https://search.corpuskiparla.it/corpus/player/player.cgi?code=PBB004&amp;begin=434960&amp;end=439460" TargetMode="External"/><Relationship Id="rId85" Type="http://schemas.openxmlformats.org/officeDocument/2006/relationships/hyperlink" Target="https://search.corpuskiparla.it/corpus/player/player.cgi?code=BOA3002&amp;begin=399724&amp;end=403480" TargetMode="External"/><Relationship Id="rId150" Type="http://schemas.openxmlformats.org/officeDocument/2006/relationships/hyperlink" Target="https://search.corpuskiparla.it/corpus/player/player.cgi?code=TOA3004&amp;begin=930330&amp;end=931785" TargetMode="External"/><Relationship Id="rId595" Type="http://schemas.openxmlformats.org/officeDocument/2006/relationships/hyperlink" Target="https://search.corpuskiparla.it/corpus/player/player.cgi?code=KPS021&amp;begin=2992760&amp;end=2997607" TargetMode="External"/><Relationship Id="rId248" Type="http://schemas.openxmlformats.org/officeDocument/2006/relationships/hyperlink" Target="https://search.corpuskiparla.it/corpus/player/player.cgi?code=KPN031&amp;begin=2938089&amp;end=2938499" TargetMode="External"/><Relationship Id="rId455" Type="http://schemas.openxmlformats.org/officeDocument/2006/relationships/hyperlink" Target="https://search.corpuskiparla.it/corpus/player/player.cgi?code=PTB003&amp;begin=1560249&amp;end=1566829" TargetMode="External"/><Relationship Id="rId662" Type="http://schemas.openxmlformats.org/officeDocument/2006/relationships/hyperlink" Target="https://search.corpuskiparla.it/corpus/player/player.cgi?code=KPN027&amp;begin=1343763&amp;end=1345560" TargetMode="External"/><Relationship Id="rId12" Type="http://schemas.openxmlformats.org/officeDocument/2006/relationships/hyperlink" Target="https://search.corpuskiparla.it/corpus/player/player.cgi?code=PBB012&amp;begin=1794965&amp;end=1797665" TargetMode="External"/><Relationship Id="rId108" Type="http://schemas.openxmlformats.org/officeDocument/2006/relationships/hyperlink" Target="https://search.corpuskiparla.it/corpus/player/player.cgi?code=PBC015&amp;begin=510810&amp;end=522280" TargetMode="External"/><Relationship Id="rId315" Type="http://schemas.openxmlformats.org/officeDocument/2006/relationships/hyperlink" Target="https://search.corpuskiparla.it/corpus/player/player.cgi?code=KPN015&amp;begin=38746&amp;end=40820" TargetMode="External"/><Relationship Id="rId522" Type="http://schemas.openxmlformats.org/officeDocument/2006/relationships/hyperlink" Target="https://search.corpuskiparla.it/corpus/player/player.cgi?code=KPN026&amp;begin=1836838&amp;end=1838239" TargetMode="External"/><Relationship Id="rId96" Type="http://schemas.openxmlformats.org/officeDocument/2006/relationships/hyperlink" Target="https://search.corpuskiparla.it/corpus/player/player.cgi?code=PBB026&amp;begin=1907780&amp;end=1911864" TargetMode="External"/><Relationship Id="rId161" Type="http://schemas.openxmlformats.org/officeDocument/2006/relationships/hyperlink" Target="https://search.corpuskiparla.it/corpus/player/player.cgi?code=BOA3003&amp;begin=497648&amp;end=504517" TargetMode="External"/><Relationship Id="rId399" Type="http://schemas.openxmlformats.org/officeDocument/2006/relationships/hyperlink" Target="https://search.corpuskiparla.it/corpus/player/player.cgi?code=BOA3021&amp;begin=3817658&amp;end=3821050" TargetMode="External"/><Relationship Id="rId259" Type="http://schemas.openxmlformats.org/officeDocument/2006/relationships/hyperlink" Target="https://search.corpuskiparla.it/corpus/player/player.cgi?code=KPS004&amp;begin=4106356&amp;end=4107440" TargetMode="External"/><Relationship Id="rId466" Type="http://schemas.openxmlformats.org/officeDocument/2006/relationships/hyperlink" Target="https://search.corpuskiparla.it/corpus/player/player.cgi?code=PBA008&amp;begin=1071227&amp;end=1074584" TargetMode="External"/><Relationship Id="rId673" Type="http://schemas.openxmlformats.org/officeDocument/2006/relationships/hyperlink" Target="https://search.corpuskiparla.it/corpus/player/player.cgi?code=BOA3017&amp;begin=1625496&amp;end=1627546" TargetMode="External"/><Relationship Id="rId23" Type="http://schemas.openxmlformats.org/officeDocument/2006/relationships/hyperlink" Target="https://search.corpuskiparla.it/corpus/player/player.cgi?code=TOA3005&amp;begin=1387581&amp;end=1392308" TargetMode="External"/><Relationship Id="rId119" Type="http://schemas.openxmlformats.org/officeDocument/2006/relationships/hyperlink" Target="https://search.corpuskiparla.it/corpus/player/player.cgi?code=PTA003&amp;begin=449665&amp;end=450998" TargetMode="External"/><Relationship Id="rId326" Type="http://schemas.openxmlformats.org/officeDocument/2006/relationships/hyperlink" Target="https://search.corpuskiparla.it/corpus/player/player.cgi?code=TOD2001&amp;begin=47111&amp;end=53440" TargetMode="External"/><Relationship Id="rId533" Type="http://schemas.openxmlformats.org/officeDocument/2006/relationships/hyperlink" Target="https://search.corpuskiparla.it/corpus/player/player.cgi?code=PBC011&amp;begin=3563701&amp;end=3567754" TargetMode="External"/><Relationship Id="rId740" Type="http://schemas.openxmlformats.org/officeDocument/2006/relationships/hyperlink" Target="https://search.corpuskiparla.it/corpus/player/player.cgi?code=PTA006&amp;begin=3859725&amp;end=3860460" TargetMode="External"/><Relationship Id="rId172" Type="http://schemas.openxmlformats.org/officeDocument/2006/relationships/hyperlink" Target="https://search.corpuskiparla.it/corpus/player/player.cgi?code=PBA011&amp;begin=1727041&amp;end=1728329" TargetMode="External"/><Relationship Id="rId477" Type="http://schemas.openxmlformats.org/officeDocument/2006/relationships/hyperlink" Target="https://search.corpuskiparla.it/corpus/player/player.cgi?code=KPN017&amp;begin=1424270&amp;end=1426742" TargetMode="External"/><Relationship Id="rId600" Type="http://schemas.openxmlformats.org/officeDocument/2006/relationships/hyperlink" Target="https://search.corpuskiparla.it/corpus/player/player.cgi?code=BOA3012&amp;begin=400526&amp;end=403475" TargetMode="External"/><Relationship Id="rId684" Type="http://schemas.openxmlformats.org/officeDocument/2006/relationships/hyperlink" Target="https://search.corpuskiparla.it/corpus/player/player.cgi?code=BOA3001&amp;begin=2960479&amp;end=2963674" TargetMode="External"/><Relationship Id="rId337" Type="http://schemas.openxmlformats.org/officeDocument/2006/relationships/hyperlink" Target="https://search.corpuskiparla.it/corpus/player/player.cgi?code=PBA006&amp;begin=2765589&amp;end=2771488" TargetMode="External"/><Relationship Id="rId34" Type="http://schemas.openxmlformats.org/officeDocument/2006/relationships/hyperlink" Target="https://search.corpuskiparla.it/corpus/player/player.cgi?code=PBB033&amp;begin=1531880&amp;end=1535540" TargetMode="External"/><Relationship Id="rId544" Type="http://schemas.openxmlformats.org/officeDocument/2006/relationships/hyperlink" Target="https://search.corpuskiparla.it/corpus/player/player.cgi?code=KPN029&amp;begin=453630&amp;end=455523" TargetMode="External"/><Relationship Id="rId751" Type="http://schemas.openxmlformats.org/officeDocument/2006/relationships/hyperlink" Target="https://search.corpuskiparla.it/corpus/player/player.cgi?code=BOD2014&amp;begin=596231&amp;end=597661" TargetMode="External"/><Relationship Id="rId183" Type="http://schemas.openxmlformats.org/officeDocument/2006/relationships/hyperlink" Target="https://search.corpuskiparla.it/corpus/player/player.cgi?code=PBC013&amp;begin=2219181&amp;end=2227381" TargetMode="External"/><Relationship Id="rId390" Type="http://schemas.openxmlformats.org/officeDocument/2006/relationships/hyperlink" Target="https://search.corpuskiparla.it/corpus/player/player.cgi?code=TOA3006&amp;begin=588409&amp;end=599600" TargetMode="External"/><Relationship Id="rId404" Type="http://schemas.openxmlformats.org/officeDocument/2006/relationships/hyperlink" Target="https://search.corpuskiparla.it/corpus/player/player.cgi?code=PBB030&amp;begin=2352415&amp;end=2354398" TargetMode="External"/><Relationship Id="rId611" Type="http://schemas.openxmlformats.org/officeDocument/2006/relationships/hyperlink" Target="https://search.corpuskiparla.it/corpus/player/player.cgi?code=KPS022&amp;begin=1534105&amp;end=1542170" TargetMode="External"/><Relationship Id="rId250" Type="http://schemas.openxmlformats.org/officeDocument/2006/relationships/hyperlink" Target="https://search.corpuskiparla.it/corpus/player/player.cgi?code=KPS014&amp;begin=1419777&amp;end=1423089" TargetMode="External"/><Relationship Id="rId488" Type="http://schemas.openxmlformats.org/officeDocument/2006/relationships/hyperlink" Target="https://search.corpuskiparla.it/corpus/player/player.cgi?code=KPS001&amp;begin=432496&amp;end=434193" TargetMode="External"/><Relationship Id="rId695" Type="http://schemas.openxmlformats.org/officeDocument/2006/relationships/hyperlink" Target="https://search.corpuskiparla.it/corpus/player/player.cgi?code=PBB005&amp;begin=702412&amp;end=706182" TargetMode="External"/><Relationship Id="rId709" Type="http://schemas.openxmlformats.org/officeDocument/2006/relationships/hyperlink" Target="https://search.corpuskiparla.it/corpus/player/player.cgi?code=PBB005&amp;begin=2607000&amp;end=2607401" TargetMode="External"/><Relationship Id="rId45" Type="http://schemas.openxmlformats.org/officeDocument/2006/relationships/hyperlink" Target="https://search.corpuskiparla.it/corpus/player/player.cgi?code=PBB033&amp;begin=2512980&amp;end=2518833" TargetMode="External"/><Relationship Id="rId110" Type="http://schemas.openxmlformats.org/officeDocument/2006/relationships/hyperlink" Target="https://search.corpuskiparla.it/corpus/player/player.cgi?code=PBC015&amp;begin=1323500&amp;end=1325829" TargetMode="External"/><Relationship Id="rId348" Type="http://schemas.openxmlformats.org/officeDocument/2006/relationships/hyperlink" Target="https://search.corpuskiparla.it/corpus/player/player.cgi?code=KPN006&amp;begin=1412529&amp;end=1413969" TargetMode="External"/><Relationship Id="rId555" Type="http://schemas.openxmlformats.org/officeDocument/2006/relationships/hyperlink" Target="https://search.corpuskiparla.it/corpus/player/player.cgi?code=KPS017&amp;begin=36919&amp;end=39772" TargetMode="External"/><Relationship Id="rId762" Type="http://schemas.openxmlformats.org/officeDocument/2006/relationships/hyperlink" Target="https://search.corpuskiparla.it/corpus/player/player.cgi?code=KPC007&amp;begin=2042027&amp;end=2046000" TargetMode="External"/><Relationship Id="rId194" Type="http://schemas.openxmlformats.org/officeDocument/2006/relationships/hyperlink" Target="https://search.corpuskiparla.it/corpus/player/player.cgi?code=TOA3001&amp;begin=1841821&amp;end=1845332" TargetMode="External"/><Relationship Id="rId208" Type="http://schemas.openxmlformats.org/officeDocument/2006/relationships/hyperlink" Target="https://search.corpuskiparla.it/corpus/player/player.cgi?code=PTB015&amp;begin=1064447&amp;end=1071620" TargetMode="External"/><Relationship Id="rId415" Type="http://schemas.openxmlformats.org/officeDocument/2006/relationships/hyperlink" Target="https://search.corpuskiparla.it/corpus/player/player.cgi?code=PTA018&amp;begin=1801479&amp;end=1805055" TargetMode="External"/><Relationship Id="rId622" Type="http://schemas.openxmlformats.org/officeDocument/2006/relationships/hyperlink" Target="https://search.corpuskiparla.it/corpus/player/player.cgi?code=TOA3008&amp;begin=2877330&amp;end=2879510" TargetMode="External"/><Relationship Id="rId261" Type="http://schemas.openxmlformats.org/officeDocument/2006/relationships/hyperlink" Target="https://search.corpuskiparla.it/corpus/player/player.cgi?code=KPS004&amp;begin=5055286&amp;end=5057768" TargetMode="External"/><Relationship Id="rId499" Type="http://schemas.openxmlformats.org/officeDocument/2006/relationships/hyperlink" Target="https://search.corpuskiparla.it/corpus/player/player.cgi?code=KPS001&amp;begin=4752827&amp;end=4754046" TargetMode="External"/><Relationship Id="rId56" Type="http://schemas.openxmlformats.org/officeDocument/2006/relationships/hyperlink" Target="https://search.corpuskiparla.it/corpus/player/player.cgi?code=PBB017&amp;begin=1864312&amp;end=1867474" TargetMode="External"/><Relationship Id="rId359" Type="http://schemas.openxmlformats.org/officeDocument/2006/relationships/hyperlink" Target="https://search.corpuskiparla.it/corpus/player/player.cgi?code=PTD001&amp;begin=1321811&amp;end=1324202" TargetMode="External"/><Relationship Id="rId566" Type="http://schemas.openxmlformats.org/officeDocument/2006/relationships/hyperlink" Target="https://search.corpuskiparla.it/corpus/player/player.cgi?code=PBB010&amp;begin=1681959&amp;end=1687942" TargetMode="External"/><Relationship Id="rId773" Type="http://schemas.openxmlformats.org/officeDocument/2006/relationships/hyperlink" Target="https://search.corpuskiparla.it/corpus/player/player.cgi?code=KPN022&amp;begin=655090&amp;end=656270" TargetMode="External"/><Relationship Id="rId121" Type="http://schemas.openxmlformats.org/officeDocument/2006/relationships/hyperlink" Target="https://search.corpuskiparla.it/corpus/player/player.cgi?code=PTA003&amp;begin=825115&amp;end=826709" TargetMode="External"/><Relationship Id="rId219" Type="http://schemas.openxmlformats.org/officeDocument/2006/relationships/hyperlink" Target="https://search.corpuskiparla.it/corpus/player/player.cgi?code=KPN004&amp;begin=1961620&amp;end=1969341" TargetMode="External"/><Relationship Id="rId426" Type="http://schemas.openxmlformats.org/officeDocument/2006/relationships/hyperlink" Target="https://search.corpuskiparla.it/corpus/player/player.cgi?code=KPN001&amp;begin=799020&amp;end=805102" TargetMode="External"/><Relationship Id="rId633" Type="http://schemas.openxmlformats.org/officeDocument/2006/relationships/hyperlink" Target="https://search.corpuskiparla.it/corpus/player/player.cgi?code=PBC012&amp;begin=2607651&amp;end=2609998" TargetMode="External"/><Relationship Id="rId67" Type="http://schemas.openxmlformats.org/officeDocument/2006/relationships/hyperlink" Target="https://search.corpuskiparla.it/corpus/player/player.cgi?code=PBC004&amp;begin=720380&amp;end=723730" TargetMode="External"/><Relationship Id="rId272" Type="http://schemas.openxmlformats.org/officeDocument/2006/relationships/hyperlink" Target="https://search.corpuskiparla.it/corpus/player/player.cgi?code=PTD016&amp;begin=448565&amp;end=449105" TargetMode="External"/><Relationship Id="rId577" Type="http://schemas.openxmlformats.org/officeDocument/2006/relationships/hyperlink" Target="https://search.corpuskiparla.it/corpus/player/player.cgi?code=KPS003&amp;begin=1158312&amp;end=1161010" TargetMode="External"/><Relationship Id="rId700" Type="http://schemas.openxmlformats.org/officeDocument/2006/relationships/hyperlink" Target="https://search.corpuskiparla.it/corpus/player/player.cgi?code=PBB005&amp;begin=1864440&amp;end=1870606" TargetMode="External"/><Relationship Id="rId132" Type="http://schemas.openxmlformats.org/officeDocument/2006/relationships/hyperlink" Target="https://search.corpuskiparla.it/corpus/player/player.cgi?code=PBA017&amp;begin=569923&amp;end=570604" TargetMode="External"/><Relationship Id="rId784" Type="http://schemas.openxmlformats.org/officeDocument/2006/relationships/hyperlink" Target="https://search.corpuskiparla.it/corpus/player/player.cgi?code=PBA019&amp;begin=1384657&amp;end=1388776" TargetMode="External"/><Relationship Id="rId437" Type="http://schemas.openxmlformats.org/officeDocument/2006/relationships/hyperlink" Target="https://search.corpuskiparla.it/corpus/player/player.cgi?code=KPS015&amp;begin=1666308&amp;end=1667070" TargetMode="External"/><Relationship Id="rId644" Type="http://schemas.openxmlformats.org/officeDocument/2006/relationships/hyperlink" Target="https://search.corpuskiparla.it/corpus/player/player.cgi?code=PBC025&amp;begin=697000&amp;end=701699" TargetMode="External"/><Relationship Id="rId283" Type="http://schemas.openxmlformats.org/officeDocument/2006/relationships/hyperlink" Target="https://search.corpuskiparla.it/corpus/player/player.cgi?code=PBB020&amp;begin=630488&amp;end=638388" TargetMode="External"/><Relationship Id="rId490" Type="http://schemas.openxmlformats.org/officeDocument/2006/relationships/hyperlink" Target="https://search.corpuskiparla.it/corpus/player/player.cgi?code=KPS001&amp;begin=773831&amp;end=777018" TargetMode="External"/><Relationship Id="rId504" Type="http://schemas.openxmlformats.org/officeDocument/2006/relationships/hyperlink" Target="https://search.corpuskiparla.it/corpus/player/player.cgi?code=KPS024&amp;begin=1567819&amp;end=1568556" TargetMode="External"/><Relationship Id="rId711" Type="http://schemas.openxmlformats.org/officeDocument/2006/relationships/hyperlink" Target="https://search.corpuskiparla.it/corpus/player/player.cgi?code=PBB005&amp;begin=2672059&amp;end=2674809" TargetMode="External"/><Relationship Id="rId78" Type="http://schemas.openxmlformats.org/officeDocument/2006/relationships/hyperlink" Target="https://search.corpuskiparla.it/corpus/player/player.cgi?code=KPS023&amp;begin=1292365&amp;end=1294765" TargetMode="External"/><Relationship Id="rId143" Type="http://schemas.openxmlformats.org/officeDocument/2006/relationships/hyperlink" Target="https://search.corpuskiparla.it/corpus/player/player.cgi?code=PBC003&amp;begin=2008806&amp;end=2016500" TargetMode="External"/><Relationship Id="rId350" Type="http://schemas.openxmlformats.org/officeDocument/2006/relationships/hyperlink" Target="https://search.corpuskiparla.it/corpus/player/player.cgi?code=KPN006&amp;begin=1480649&amp;end=1481989" TargetMode="External"/><Relationship Id="rId588" Type="http://schemas.openxmlformats.org/officeDocument/2006/relationships/hyperlink" Target="https://search.corpuskiparla.it/corpus/player/player.cgi?code=KPS021&amp;begin=488630&amp;end=489187" TargetMode="External"/><Relationship Id="rId795" Type="http://schemas.openxmlformats.org/officeDocument/2006/relationships/hyperlink" Target="https://search.corpuskiparla.it/corpus/player/player.cgi?code=KPN007&amp;begin=1629283&amp;end=1632100" TargetMode="External"/><Relationship Id="rId9" Type="http://schemas.openxmlformats.org/officeDocument/2006/relationships/hyperlink" Target="https://search.corpuskiparla.it/corpus/player/player.cgi?code=PBB023&amp;begin=1576300&amp;end=1579710" TargetMode="External"/><Relationship Id="rId210" Type="http://schemas.openxmlformats.org/officeDocument/2006/relationships/hyperlink" Target="https://search.corpuskiparla.it/corpus/player/player.cgi?code=PTB015&amp;begin=2063500&amp;end=2065230" TargetMode="External"/><Relationship Id="rId448" Type="http://schemas.openxmlformats.org/officeDocument/2006/relationships/hyperlink" Target="https://search.corpuskiparla.it/corpus/player/player.cgi?code=KPN021&amp;begin=987655&amp;end=993469" TargetMode="External"/><Relationship Id="rId655" Type="http://schemas.openxmlformats.org/officeDocument/2006/relationships/hyperlink" Target="https://search.corpuskiparla.it/corpus/player/player.cgi?code=KPN005&amp;begin=454175&amp;end=455755" TargetMode="External"/><Relationship Id="rId294" Type="http://schemas.openxmlformats.org/officeDocument/2006/relationships/hyperlink" Target="https://search.corpuskiparla.it/corpus/player/player.cgi?code=PBA013&amp;begin=1527616&amp;end=1530977" TargetMode="External"/><Relationship Id="rId308" Type="http://schemas.openxmlformats.org/officeDocument/2006/relationships/hyperlink" Target="https://search.corpuskiparla.it/corpus/player/player.cgi?code=BOA3004&amp;begin=2859129&amp;end=2861987" TargetMode="External"/><Relationship Id="rId515" Type="http://schemas.openxmlformats.org/officeDocument/2006/relationships/hyperlink" Target="https://search.corpuskiparla.it/corpus/player/player.cgi?code=KPN010&amp;begin=156942&amp;end=159500" TargetMode="External"/><Relationship Id="rId722" Type="http://schemas.openxmlformats.org/officeDocument/2006/relationships/hyperlink" Target="https://search.corpuskiparla.it/corpus/player/player.cgi?code=PTD004&amp;begin=2715600&amp;end=2717220" TargetMode="External"/><Relationship Id="rId89" Type="http://schemas.openxmlformats.org/officeDocument/2006/relationships/hyperlink" Target="https://search.corpuskiparla.it/corpus/player/player.cgi?code=PBA028&amp;begin=744367&amp;end=749850" TargetMode="External"/><Relationship Id="rId154" Type="http://schemas.openxmlformats.org/officeDocument/2006/relationships/hyperlink" Target="https://search.corpuskiparla.it/corpus/player/player.cgi?code=TOA3004&amp;begin=1613645&amp;end=1614740" TargetMode="External"/><Relationship Id="rId361" Type="http://schemas.openxmlformats.org/officeDocument/2006/relationships/hyperlink" Target="https://search.corpuskiparla.it/corpus/player/player.cgi?code=PTD001&amp;begin=2159884&amp;end=2163797" TargetMode="External"/><Relationship Id="rId599" Type="http://schemas.openxmlformats.org/officeDocument/2006/relationships/hyperlink" Target="https://search.corpuskiparla.it/corpus/player/player.cgi?code=PTD021&amp;begin=4417553&amp;end=4421239" TargetMode="External"/><Relationship Id="rId459" Type="http://schemas.openxmlformats.org/officeDocument/2006/relationships/hyperlink" Target="https://search.corpuskiparla.it/corpus/player/player.cgi?code=PTB023&amp;begin=1180070&amp;end=1182952" TargetMode="External"/><Relationship Id="rId666" Type="http://schemas.openxmlformats.org/officeDocument/2006/relationships/hyperlink" Target="https://search.corpuskiparla.it/corpus/player/player.cgi?code=TOD2013&amp;begin=2397800&amp;end=2404190" TargetMode="External"/><Relationship Id="rId16" Type="http://schemas.openxmlformats.org/officeDocument/2006/relationships/hyperlink" Target="https://search.corpuskiparla.it/corpus/player/player.cgi?code=PBA004&amp;begin=2358220&amp;end=2359230" TargetMode="External"/><Relationship Id="rId221" Type="http://schemas.openxmlformats.org/officeDocument/2006/relationships/hyperlink" Target="https://search.corpuskiparla.it/corpus/player/player.cgi?code=KPC003&amp;begin=744281&amp;end=747998" TargetMode="External"/><Relationship Id="rId319" Type="http://schemas.openxmlformats.org/officeDocument/2006/relationships/hyperlink" Target="https://search.corpuskiparla.it/corpus/player/player.cgi?code=KPN015&amp;begin=1846800&amp;end=1850400" TargetMode="External"/><Relationship Id="rId526" Type="http://schemas.openxmlformats.org/officeDocument/2006/relationships/hyperlink" Target="https://search.corpuskiparla.it/corpus/player/player.cgi?code=KPN026&amp;begin=2008582&amp;end=2011206" TargetMode="External"/><Relationship Id="rId733" Type="http://schemas.openxmlformats.org/officeDocument/2006/relationships/hyperlink" Target="https://search.corpuskiparla.it/corpus/player/player.cgi?code=PBB014&amp;begin=1619638&amp;end=1624600" TargetMode="External"/><Relationship Id="rId165" Type="http://schemas.openxmlformats.org/officeDocument/2006/relationships/hyperlink" Target="https://search.corpuskiparla.it/corpus/player/player.cgi?code=KPC005&amp;begin=388650&amp;end=390141" TargetMode="External"/><Relationship Id="rId372" Type="http://schemas.openxmlformats.org/officeDocument/2006/relationships/hyperlink" Target="https://search.corpuskiparla.it/corpus/player/player.cgi?code=KPC002&amp;begin=1427123&amp;end=1428205" TargetMode="External"/><Relationship Id="rId677" Type="http://schemas.openxmlformats.org/officeDocument/2006/relationships/hyperlink" Target="https://search.corpuskiparla.it/corpus/player/player.cgi?code=BOA3001&amp;begin=1374041&amp;end=1377433" TargetMode="External"/><Relationship Id="rId800" Type="http://schemas.openxmlformats.org/officeDocument/2006/relationships/hyperlink" Target="https://search.corpuskiparla.it/corpus/player/player.cgi?code=KPN024&amp;begin=863170&amp;end=864900" TargetMode="External"/><Relationship Id="rId232" Type="http://schemas.openxmlformats.org/officeDocument/2006/relationships/hyperlink" Target="https://search.corpuskiparla.it/corpus/player/player.cgi?code=PTA005&amp;begin=2962506&amp;end=2964610" TargetMode="External"/><Relationship Id="rId27" Type="http://schemas.openxmlformats.org/officeDocument/2006/relationships/hyperlink" Target="https://search.corpuskiparla.it/corpus/player/player.cgi?code=PTA002&amp;begin=248320&amp;end=254960" TargetMode="External"/><Relationship Id="rId537" Type="http://schemas.openxmlformats.org/officeDocument/2006/relationships/hyperlink" Target="https://search.corpuskiparla.it/corpus/player/player.cgi?code=KPN002&amp;begin=1771720&amp;end=1781780" TargetMode="External"/><Relationship Id="rId744" Type="http://schemas.openxmlformats.org/officeDocument/2006/relationships/hyperlink" Target="https://search.corpuskiparla.it/corpus/player/player.cgi?code=TOA3011&amp;begin=319606&amp;end=322365" TargetMode="External"/><Relationship Id="rId80" Type="http://schemas.openxmlformats.org/officeDocument/2006/relationships/hyperlink" Target="https://search.corpuskiparla.it/corpus/player/player.cgi?code=KPS023&amp;begin=1636551&amp;end=1640126" TargetMode="External"/><Relationship Id="rId176" Type="http://schemas.openxmlformats.org/officeDocument/2006/relationships/hyperlink" Target="https://search.corpuskiparla.it/corpus/player/player.cgi?code=PBA011&amp;begin=2161979&amp;end=2163239" TargetMode="External"/><Relationship Id="rId383" Type="http://schemas.openxmlformats.org/officeDocument/2006/relationships/hyperlink" Target="https://search.corpuskiparla.it/corpus/player/player.cgi?code=PTA001&amp;begin=5379110&amp;end=5380301" TargetMode="External"/><Relationship Id="rId590" Type="http://schemas.openxmlformats.org/officeDocument/2006/relationships/hyperlink" Target="https://search.corpuskiparla.it/corpus/player/player.cgi?code=KPS021&amp;begin=1528372&amp;end=1531738" TargetMode="External"/><Relationship Id="rId604" Type="http://schemas.openxmlformats.org/officeDocument/2006/relationships/hyperlink" Target="https://search.corpuskiparla.it/corpus/player/player.cgi?code=PBB009&amp;begin=3883193&amp;end=3892391" TargetMode="External"/><Relationship Id="rId243" Type="http://schemas.openxmlformats.org/officeDocument/2006/relationships/hyperlink" Target="https://search.corpuskiparla.it/corpus/player/player.cgi?code=PTA005&amp;begin=5480534&amp;end=5483399" TargetMode="External"/><Relationship Id="rId450" Type="http://schemas.openxmlformats.org/officeDocument/2006/relationships/hyperlink" Target="https://search.corpuskiparla.it/corpus/player/player.cgi?code=KPN021&amp;begin=1649199&amp;end=1654999" TargetMode="External"/><Relationship Id="rId688" Type="http://schemas.openxmlformats.org/officeDocument/2006/relationships/hyperlink" Target="https://search.corpuskiparla.it/corpus/player/player.cgi?code=BOD2019&amp;begin=1131774&amp;end=1135766" TargetMode="External"/><Relationship Id="rId38" Type="http://schemas.openxmlformats.org/officeDocument/2006/relationships/hyperlink" Target="https://search.corpuskiparla.it/corpus/player/player.cgi?code=PBB033&amp;begin=1996099&amp;end=2002914" TargetMode="External"/><Relationship Id="rId103" Type="http://schemas.openxmlformats.org/officeDocument/2006/relationships/hyperlink" Target="https://search.corpuskiparla.it/corpus/player/player.cgi?code=PBA025&amp;begin=1285650&amp;end=1287398" TargetMode="External"/><Relationship Id="rId310" Type="http://schemas.openxmlformats.org/officeDocument/2006/relationships/hyperlink" Target="https://search.corpuskiparla.it/corpus/player/player.cgi?code=BOA3004&amp;begin=3814579&amp;end=3821609" TargetMode="External"/><Relationship Id="rId548" Type="http://schemas.openxmlformats.org/officeDocument/2006/relationships/hyperlink" Target="https://search.corpuskiparla.it/corpus/player/player.cgi?code=PBB016&amp;begin=193006&amp;end=194461" TargetMode="External"/><Relationship Id="rId755" Type="http://schemas.openxmlformats.org/officeDocument/2006/relationships/hyperlink" Target="https://search.corpuskiparla.it/corpus/player/player.cgi?code=BOD2014&amp;begin=1101290&amp;end=1102910" TargetMode="External"/><Relationship Id="rId91" Type="http://schemas.openxmlformats.org/officeDocument/2006/relationships/hyperlink" Target="https://search.corpuskiparla.it/corpus/player/player.cgi?code=PBA028&amp;begin=1659900&amp;end=1665820" TargetMode="External"/><Relationship Id="rId187" Type="http://schemas.openxmlformats.org/officeDocument/2006/relationships/hyperlink" Target="https://search.corpuskiparla.it/corpus/player/player.cgi?code=PTD012&amp;begin=2102323&amp;end=2106528" TargetMode="External"/><Relationship Id="rId394" Type="http://schemas.openxmlformats.org/officeDocument/2006/relationships/hyperlink" Target="https://search.corpuskiparla.it/corpus/player/player.cgi?code=BOA3015&amp;begin=610366&amp;end=612645" TargetMode="External"/><Relationship Id="rId408" Type="http://schemas.openxmlformats.org/officeDocument/2006/relationships/hyperlink" Target="https://search.corpuskiparla.it/corpus/player/player.cgi?code=PBC024&amp;begin=3676180&amp;end=3678929" TargetMode="External"/><Relationship Id="rId615" Type="http://schemas.openxmlformats.org/officeDocument/2006/relationships/hyperlink" Target="https://search.corpuskiparla.it/corpus/player/player.cgi?code=KPS022&amp;begin=2119053&amp;end=2120340" TargetMode="External"/><Relationship Id="rId254" Type="http://schemas.openxmlformats.org/officeDocument/2006/relationships/hyperlink" Target="https://search.corpuskiparla.it/corpus/player/player.cgi?code=KPS004&amp;begin=2304850&amp;end=2308111" TargetMode="External"/><Relationship Id="rId699" Type="http://schemas.openxmlformats.org/officeDocument/2006/relationships/hyperlink" Target="https://search.corpuskiparla.it/corpus/player/player.cgi?code=PBB005&amp;begin=1489578&amp;end=1495367" TargetMode="External"/><Relationship Id="rId49" Type="http://schemas.openxmlformats.org/officeDocument/2006/relationships/hyperlink" Target="https://search.corpuskiparla.it/corpus/player/player.cgi?code=PTD019&amp;begin=2768330&amp;end=2773083" TargetMode="External"/><Relationship Id="rId114" Type="http://schemas.openxmlformats.org/officeDocument/2006/relationships/hyperlink" Target="https://search.corpuskiparla.it/corpus/player/player.cgi?code=PBC015&amp;begin=1729529&amp;end=1731240" TargetMode="External"/><Relationship Id="rId461" Type="http://schemas.openxmlformats.org/officeDocument/2006/relationships/hyperlink" Target="https://search.corpuskiparla.it/corpus/player/player.cgi?code=PTB023&amp;begin=1500368&amp;end=1501500" TargetMode="External"/><Relationship Id="rId559" Type="http://schemas.openxmlformats.org/officeDocument/2006/relationships/hyperlink" Target="https://search.corpuskiparla.it/corpus/player/player.cgi?code=KPS017&amp;begin=1176230&amp;end=1177510" TargetMode="External"/><Relationship Id="rId766" Type="http://schemas.openxmlformats.org/officeDocument/2006/relationships/hyperlink" Target="https://search.corpuskiparla.it/corpus/player/player.cgi?code=KPN013&amp;begin=1651322&amp;end=1653107" TargetMode="External"/><Relationship Id="rId198" Type="http://schemas.openxmlformats.org/officeDocument/2006/relationships/hyperlink" Target="https://search.corpuskiparla.it/corpus/player/player.cgi?code=PBC018&amp;begin=2056747&amp;end=2059973" TargetMode="External"/><Relationship Id="rId321" Type="http://schemas.openxmlformats.org/officeDocument/2006/relationships/hyperlink" Target="https://search.corpuskiparla.it/corpus/player/player.cgi?code=PBB015&amp;begin=499645&amp;end=507060" TargetMode="External"/><Relationship Id="rId419" Type="http://schemas.openxmlformats.org/officeDocument/2006/relationships/hyperlink" Target="https://search.corpuskiparla.it/corpus/player/player.cgi?code=PTD017&amp;begin=507455&amp;end=512101" TargetMode="External"/><Relationship Id="rId626" Type="http://schemas.openxmlformats.org/officeDocument/2006/relationships/hyperlink" Target="https://search.corpuskiparla.it/corpus/player/player.cgi?code=PBC012&amp;begin=1250033&amp;end=1254999" TargetMode="External"/><Relationship Id="rId265" Type="http://schemas.openxmlformats.org/officeDocument/2006/relationships/hyperlink" Target="https://search.corpuskiparla.it/corpus/player/player.cgi?code=KPS004&amp;begin=6409224&amp;end=6411381" TargetMode="External"/><Relationship Id="rId472" Type="http://schemas.openxmlformats.org/officeDocument/2006/relationships/hyperlink" Target="https://search.corpuskiparla.it/corpus/player/player.cgi?code=PBA029&amp;begin=1371870&amp;end=1378720" TargetMode="External"/><Relationship Id="rId125" Type="http://schemas.openxmlformats.org/officeDocument/2006/relationships/hyperlink" Target="https://search.corpuskiparla.it/corpus/player/player.cgi?code=PTA003&amp;begin=1398689&amp;end=1405073" TargetMode="External"/><Relationship Id="rId332" Type="http://schemas.openxmlformats.org/officeDocument/2006/relationships/hyperlink" Target="https://search.corpuskiparla.it/corpus/player/player.cgi?code=KPN028&amp;begin=1945266&amp;end=1946099" TargetMode="External"/><Relationship Id="rId777" Type="http://schemas.openxmlformats.org/officeDocument/2006/relationships/hyperlink" Target="https://search.corpuskiparla.it/corpus/player/player.cgi?code=TOD2004&amp;begin=584405&amp;end=589614" TargetMode="External"/><Relationship Id="rId637" Type="http://schemas.openxmlformats.org/officeDocument/2006/relationships/hyperlink" Target="https://search.corpuskiparla.it/corpus/player/player.cgi?code=PBC012&amp;begin=2878058&amp;end=2880047" TargetMode="External"/><Relationship Id="rId276" Type="http://schemas.openxmlformats.org/officeDocument/2006/relationships/hyperlink" Target="https://search.corpuskiparla.it/corpus/player/player.cgi?code=PTD016&amp;begin=1098216&amp;end=1099956" TargetMode="External"/><Relationship Id="rId483" Type="http://schemas.openxmlformats.org/officeDocument/2006/relationships/hyperlink" Target="https://search.corpuskiparla.it/corpus/player/player.cgi?code=BOD1001&amp;begin=3390365&amp;end=3394979" TargetMode="External"/><Relationship Id="rId690" Type="http://schemas.openxmlformats.org/officeDocument/2006/relationships/hyperlink" Target="https://search.corpuskiparla.it/corpus/player/player.cgi?code=BOD2019&amp;begin=1919552&amp;end=1926330" TargetMode="External"/><Relationship Id="rId704" Type="http://schemas.openxmlformats.org/officeDocument/2006/relationships/hyperlink" Target="https://search.corpuskiparla.it/corpus/player/player.cgi?code=PBB005&amp;begin=2105606&amp;end=2111184" TargetMode="External"/><Relationship Id="rId40" Type="http://schemas.openxmlformats.org/officeDocument/2006/relationships/hyperlink" Target="https://search.corpuskiparla.it/corpus/player/player.cgi?code=PBB033&amp;begin=2056806&amp;end=2061821" TargetMode="External"/><Relationship Id="rId136" Type="http://schemas.openxmlformats.org/officeDocument/2006/relationships/hyperlink" Target="https://search.corpuskiparla.it/corpus/player/player.cgi?code=KPN023&amp;begin=614650&amp;end=615980" TargetMode="External"/><Relationship Id="rId343" Type="http://schemas.openxmlformats.org/officeDocument/2006/relationships/hyperlink" Target="https://search.corpuskiparla.it/corpus/player/player.cgi?code=BOD2005&amp;begin=1375730&amp;end=1377464" TargetMode="External"/><Relationship Id="rId550" Type="http://schemas.openxmlformats.org/officeDocument/2006/relationships/hyperlink" Target="https://search.corpuskiparla.it/corpus/player/player.cgi?code=PBC007&amp;begin=2142320&amp;end=2146870" TargetMode="External"/><Relationship Id="rId788" Type="http://schemas.openxmlformats.org/officeDocument/2006/relationships/hyperlink" Target="https://search.corpuskiparla.it/corpus/player/player.cgi?code=PBC016&amp;begin=1708340&amp;end=1713120" TargetMode="External"/><Relationship Id="rId203" Type="http://schemas.openxmlformats.org/officeDocument/2006/relationships/hyperlink" Target="https://search.corpuskiparla.it/corpus/player/player.cgi?code=BOA3016&amp;begin=609651&amp;end=611380" TargetMode="External"/><Relationship Id="rId648" Type="http://schemas.openxmlformats.org/officeDocument/2006/relationships/hyperlink" Target="https://search.corpuskiparla.it/corpus/player/player.cgi?code=PBC025&amp;begin=3027897&amp;end=3030997" TargetMode="External"/><Relationship Id="rId287" Type="http://schemas.openxmlformats.org/officeDocument/2006/relationships/hyperlink" Target="https://search.corpuskiparla.it/corpus/player/player.cgi?code=KPC009&amp;begin=1705121&amp;end=1706838" TargetMode="External"/><Relationship Id="rId410" Type="http://schemas.openxmlformats.org/officeDocument/2006/relationships/hyperlink" Target="https://search.corpuskiparla.it/corpus/player/player.cgi?code=KPN012&amp;begin=1408513&amp;end=1411100" TargetMode="External"/><Relationship Id="rId494" Type="http://schemas.openxmlformats.org/officeDocument/2006/relationships/hyperlink" Target="https://search.corpuskiparla.it/corpus/player/player.cgi?code=KPS001&amp;begin=3695932&amp;end=3696480" TargetMode="External"/><Relationship Id="rId508" Type="http://schemas.openxmlformats.org/officeDocument/2006/relationships/hyperlink" Target="https://search.corpuskiparla.it/corpus/player/player.cgi?code=KPS018&amp;begin=482644&amp;end=483127" TargetMode="External"/><Relationship Id="rId715" Type="http://schemas.openxmlformats.org/officeDocument/2006/relationships/hyperlink" Target="https://search.corpuskiparla.it/corpus/player/player.cgi?code=PBC021&amp;begin=573575&amp;end=577005" TargetMode="External"/><Relationship Id="rId147" Type="http://schemas.openxmlformats.org/officeDocument/2006/relationships/hyperlink" Target="https://search.corpuskiparla.it/corpus/player/player.cgi?code=PBC003&amp;begin=4226366&amp;end=4233500" TargetMode="External"/><Relationship Id="rId354" Type="http://schemas.openxmlformats.org/officeDocument/2006/relationships/hyperlink" Target="https://search.corpuskiparla.it/corpus/player/player.cgi?code=PBC010&amp;begin=2508330&amp;end=2514240" TargetMode="External"/><Relationship Id="rId799" Type="http://schemas.openxmlformats.org/officeDocument/2006/relationships/hyperlink" Target="https://search.corpuskiparla.it/corpus/player/player.cgi?code=KPN007&amp;begin=2674895&amp;end=2678197" TargetMode="External"/><Relationship Id="rId51" Type="http://schemas.openxmlformats.org/officeDocument/2006/relationships/hyperlink" Target="https://search.corpuskiparla.it/corpus/player/player.cgi?code=TOD2008&amp;begin=701348&amp;end=708197" TargetMode="External"/><Relationship Id="rId561" Type="http://schemas.openxmlformats.org/officeDocument/2006/relationships/hyperlink" Target="https://search.corpuskiparla.it/corpus/player/player.cgi?code=KPS017&amp;begin=1533060&amp;end=1534562" TargetMode="External"/><Relationship Id="rId659" Type="http://schemas.openxmlformats.org/officeDocument/2006/relationships/hyperlink" Target="https://search.corpuskiparla.it/corpus/player/player.cgi?code=KPN027&amp;begin=410932&amp;end=412279" TargetMode="External"/><Relationship Id="rId214" Type="http://schemas.openxmlformats.org/officeDocument/2006/relationships/hyperlink" Target="https://search.corpuskiparla.it/corpus/player/player.cgi?code=KPS016&amp;begin=1988778&amp;end=1991753" TargetMode="External"/><Relationship Id="rId298" Type="http://schemas.openxmlformats.org/officeDocument/2006/relationships/hyperlink" Target="https://search.corpuskiparla.it/corpus/player/player.cgi?code=PBA013&amp;begin=3104102&amp;end=3104692" TargetMode="External"/><Relationship Id="rId421" Type="http://schemas.openxmlformats.org/officeDocument/2006/relationships/hyperlink" Target="https://search.corpuskiparla.it/corpus/player/player.cgi?code=KPS005&amp;begin=1048777&amp;end=1050800" TargetMode="External"/><Relationship Id="rId519" Type="http://schemas.openxmlformats.org/officeDocument/2006/relationships/hyperlink" Target="https://search.corpuskiparla.it/corpus/player/player.cgi?code=KPN026&amp;begin=62140&amp;end=64710" TargetMode="External"/><Relationship Id="rId158" Type="http://schemas.openxmlformats.org/officeDocument/2006/relationships/hyperlink" Target="https://search.corpuskiparla.it/corpus/player/player.cgi?code=PBA001&amp;begin=1682410&amp;end=1685130" TargetMode="External"/><Relationship Id="rId726" Type="http://schemas.openxmlformats.org/officeDocument/2006/relationships/hyperlink" Target="https://search.corpuskiparla.it/corpus/player/player.cgi?code=PTD004&amp;begin=4137200&amp;end=4141310" TargetMode="External"/><Relationship Id="rId62" Type="http://schemas.openxmlformats.org/officeDocument/2006/relationships/hyperlink" Target="https://search.corpuskiparla.it/corpus/player/player.cgi?code=BOA3018&amp;begin=628507&amp;end=629847" TargetMode="External"/><Relationship Id="rId365" Type="http://schemas.openxmlformats.org/officeDocument/2006/relationships/hyperlink" Target="https://search.corpuskiparla.it/corpus/player/player.cgi?code=PBB022&amp;begin=2116890&amp;end=2123759" TargetMode="External"/><Relationship Id="rId572" Type="http://schemas.openxmlformats.org/officeDocument/2006/relationships/hyperlink" Target="https://search.corpuskiparla.it/corpus/player/player.cgi?code=PTA015&amp;begin=1331166&amp;end=1333020" TargetMode="External"/><Relationship Id="rId225" Type="http://schemas.openxmlformats.org/officeDocument/2006/relationships/hyperlink" Target="https://search.corpuskiparla.it/corpus/player/player.cgi?code=PTB004&amp;begin=1047291&amp;end=1052881" TargetMode="External"/><Relationship Id="rId432" Type="http://schemas.openxmlformats.org/officeDocument/2006/relationships/hyperlink" Target="https://search.corpuskiparla.it/corpus/player/player.cgi?code=KPN001&amp;begin=2169784&amp;end=2172772" TargetMode="External"/><Relationship Id="rId737" Type="http://schemas.openxmlformats.org/officeDocument/2006/relationships/hyperlink" Target="https://search.corpuskiparla.it/corpus/player/player.cgi?code=PTA006&amp;begin=1690747&amp;end=1692801" TargetMode="External"/><Relationship Id="rId73" Type="http://schemas.openxmlformats.org/officeDocument/2006/relationships/hyperlink" Target="https://search.corpuskiparla.it/corpus/player/player.cgi?code=KPN030&amp;begin=1046712&amp;end=1051474" TargetMode="External"/><Relationship Id="rId169" Type="http://schemas.openxmlformats.org/officeDocument/2006/relationships/hyperlink" Target="https://search.corpuskiparla.it/corpus/player/player.cgi?code=PBA011&amp;begin=1212023&amp;end=1215348" TargetMode="External"/><Relationship Id="rId376" Type="http://schemas.openxmlformats.org/officeDocument/2006/relationships/hyperlink" Target="https://search.corpuskiparla.it/corpus/player/player.cgi?code=KPC002&amp;begin=2017768&amp;end=2018851" TargetMode="External"/><Relationship Id="rId583" Type="http://schemas.openxmlformats.org/officeDocument/2006/relationships/hyperlink" Target="https://search.corpuskiparla.it/corpus/player/player.cgi?code=KPS003&amp;begin=2132908&amp;end=2135672" TargetMode="External"/><Relationship Id="rId790" Type="http://schemas.openxmlformats.org/officeDocument/2006/relationships/hyperlink" Target="https://search.corpuskiparla.it/corpus/player/player.cgi?code=TOD2005&amp;begin=1156603&amp;end=1164904" TargetMode="External"/><Relationship Id="rId804" Type="http://schemas.openxmlformats.org/officeDocument/2006/relationships/printerSettings" Target="../printerSettings/printerSettings1.bin"/><Relationship Id="rId4" Type="http://schemas.openxmlformats.org/officeDocument/2006/relationships/hyperlink" Target="https://search.corpuskiparla.it/corpus/player/player.cgi?code=PTB009&amp;begin=2799369&amp;end=2803502" TargetMode="External"/><Relationship Id="rId236" Type="http://schemas.openxmlformats.org/officeDocument/2006/relationships/hyperlink" Target="https://search.corpuskiparla.it/corpus/player/player.cgi?code=PTA005&amp;begin=4059299&amp;end=4061255" TargetMode="External"/><Relationship Id="rId443" Type="http://schemas.openxmlformats.org/officeDocument/2006/relationships/hyperlink" Target="https://search.corpuskiparla.it/corpus/player/player.cgi?code=PTD011&amp;begin=1014213&amp;end=1016497" TargetMode="External"/><Relationship Id="rId650" Type="http://schemas.openxmlformats.org/officeDocument/2006/relationships/hyperlink" Target="https://search.corpuskiparla.it/corpus/player/player.cgi?code=KPN011&amp;begin=2411521&amp;end=2412062" TargetMode="External"/><Relationship Id="rId303" Type="http://schemas.openxmlformats.org/officeDocument/2006/relationships/hyperlink" Target="https://search.corpuskiparla.it/corpus/player/player.cgi?code=BOA3004&amp;begin=75054&amp;end=76052" TargetMode="External"/><Relationship Id="rId748" Type="http://schemas.openxmlformats.org/officeDocument/2006/relationships/hyperlink" Target="https://search.corpuskiparla.it/corpus/player/player.cgi?code=TOA3011&amp;begin=750162&amp;end=752119" TargetMode="External"/><Relationship Id="rId84" Type="http://schemas.openxmlformats.org/officeDocument/2006/relationships/hyperlink" Target="https://search.corpuskiparla.it/corpus/player/player.cgi?code=BOA3002&amp;begin=397220&amp;end=399159" TargetMode="External"/><Relationship Id="rId387" Type="http://schemas.openxmlformats.org/officeDocument/2006/relationships/hyperlink" Target="https://search.corpuskiparla.it/corpus/player/player.cgi?code=KPN019&amp;begin=514605&amp;end=517905" TargetMode="External"/><Relationship Id="rId510" Type="http://schemas.openxmlformats.org/officeDocument/2006/relationships/hyperlink" Target="https://search.corpuskiparla.it/corpus/player/player.cgi?code=KPS018&amp;begin=1681860&amp;end=1684804" TargetMode="External"/><Relationship Id="rId594" Type="http://schemas.openxmlformats.org/officeDocument/2006/relationships/hyperlink" Target="https://search.corpuskiparla.it/corpus/player/player.cgi?code=KPS021&amp;begin=2700526&amp;end=2704213" TargetMode="External"/><Relationship Id="rId608" Type="http://schemas.openxmlformats.org/officeDocument/2006/relationships/hyperlink" Target="https://search.corpuskiparla.it/corpus/player/player.cgi?code=PBB004&amp;begin=314815&amp;end=315685" TargetMode="External"/><Relationship Id="rId247" Type="http://schemas.openxmlformats.org/officeDocument/2006/relationships/hyperlink" Target="https://search.corpuskiparla.it/corpus/player/player.cgi?code=KPN031&amp;begin=891713&amp;end=893633" TargetMode="External"/><Relationship Id="rId107" Type="http://schemas.openxmlformats.org/officeDocument/2006/relationships/hyperlink" Target="https://search.corpuskiparla.it/corpus/player/player.cgi?code=PBC015&amp;begin=162570&amp;end=166290" TargetMode="External"/><Relationship Id="rId454" Type="http://schemas.openxmlformats.org/officeDocument/2006/relationships/hyperlink" Target="https://search.corpuskiparla.it/corpus/player/player.cgi?code=KPN021&amp;begin=3547863&amp;end=3553444" TargetMode="External"/><Relationship Id="rId661" Type="http://schemas.openxmlformats.org/officeDocument/2006/relationships/hyperlink" Target="https://search.corpuskiparla.it/corpus/player/player.cgi?code=KPN027&amp;begin=694172&amp;end=696842" TargetMode="External"/><Relationship Id="rId759" Type="http://schemas.openxmlformats.org/officeDocument/2006/relationships/hyperlink" Target="https://search.corpuskiparla.it/corpus/player/player.cgi?code=KPC007&amp;begin=1650994&amp;end=1652950" TargetMode="External"/><Relationship Id="rId11" Type="http://schemas.openxmlformats.org/officeDocument/2006/relationships/hyperlink" Target="https://search.corpuskiparla.it/corpus/player/player.cgi?code=PTA012&amp;begin=215300&amp;end=217270" TargetMode="External"/><Relationship Id="rId314" Type="http://schemas.openxmlformats.org/officeDocument/2006/relationships/hyperlink" Target="https://search.corpuskiparla.it/corpus/player/player.cgi?code=PTB001&amp;begin=2601940&amp;end=2602580" TargetMode="External"/><Relationship Id="rId398" Type="http://schemas.openxmlformats.org/officeDocument/2006/relationships/hyperlink" Target="https://search.corpuskiparla.it/corpus/player/player.cgi?code=BOA3021&amp;begin=1377712&amp;end=1383532" TargetMode="External"/><Relationship Id="rId521" Type="http://schemas.openxmlformats.org/officeDocument/2006/relationships/hyperlink" Target="https://search.corpuskiparla.it/corpus/player/player.cgi?code=KPN026&amp;begin=540680&amp;end=541480" TargetMode="External"/><Relationship Id="rId619" Type="http://schemas.openxmlformats.org/officeDocument/2006/relationships/hyperlink" Target="https://search.corpuskiparla.it/corpus/player/player.cgi?code=PBC008&amp;begin=1854917&amp;end=1856340" TargetMode="External"/><Relationship Id="rId95" Type="http://schemas.openxmlformats.org/officeDocument/2006/relationships/hyperlink" Target="https://search.corpuskiparla.it/corpus/player/player.cgi?code=PBA028&amp;begin=2698260&amp;end=2702170" TargetMode="External"/><Relationship Id="rId160" Type="http://schemas.openxmlformats.org/officeDocument/2006/relationships/hyperlink" Target="https://search.corpuskiparla.it/corpus/player/player.cgi?code=TOD2012&amp;begin=2545064&amp;end=2549768" TargetMode="External"/><Relationship Id="rId258" Type="http://schemas.openxmlformats.org/officeDocument/2006/relationships/hyperlink" Target="https://search.corpuskiparla.it/corpus/player/player.cgi?code=KPS004&amp;begin=4068398&amp;end=4069655" TargetMode="External"/><Relationship Id="rId465" Type="http://schemas.openxmlformats.org/officeDocument/2006/relationships/hyperlink" Target="https://search.corpuskiparla.it/corpus/player/player.cgi?code=PBA008&amp;begin=1071227&amp;end=1074584" TargetMode="External"/><Relationship Id="rId672" Type="http://schemas.openxmlformats.org/officeDocument/2006/relationships/hyperlink" Target="https://search.corpuskiparla.it/corpus/player/player.cgi?code=BOA3017&amp;begin=1063321&amp;end=1064911" TargetMode="External"/><Relationship Id="rId22" Type="http://schemas.openxmlformats.org/officeDocument/2006/relationships/hyperlink" Target="https://search.corpuskiparla.it/corpus/player/player.cgi?code=TOA3005&amp;begin=723494&amp;end=724844" TargetMode="External"/><Relationship Id="rId118" Type="http://schemas.openxmlformats.org/officeDocument/2006/relationships/hyperlink" Target="https://search.corpuskiparla.it/corpus/player/player.cgi?code=PBA007&amp;begin=2069139&amp;end=2072920" TargetMode="External"/><Relationship Id="rId325" Type="http://schemas.openxmlformats.org/officeDocument/2006/relationships/hyperlink" Target="https://search.corpuskiparla.it/corpus/player/player.cgi?code=PTB021&amp;begin=1946055&amp;end=1951199" TargetMode="External"/><Relationship Id="rId532" Type="http://schemas.openxmlformats.org/officeDocument/2006/relationships/hyperlink" Target="https://search.corpuskiparla.it/corpus/player/player.cgi?code=PBC011&amp;begin=3041699&amp;end=3045666" TargetMode="External"/><Relationship Id="rId171" Type="http://schemas.openxmlformats.org/officeDocument/2006/relationships/hyperlink" Target="https://search.corpuskiparla.it/corpus/player/player.cgi?code=PBA011&amp;begin=1215918&amp;end=122199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DD5FA-2FF9-2842-92E8-3C24DAC88B1F}">
  <sheetPr codeName="Foglio1"/>
  <dimension ref="A1:BH814"/>
  <sheetViews>
    <sheetView tabSelected="1" zoomScale="56" zoomScaleNormal="70" workbookViewId="0">
      <selection activeCell="A3" sqref="A3"/>
    </sheetView>
  </sheetViews>
  <sheetFormatPr defaultColWidth="10.796875" defaultRowHeight="15.6" x14ac:dyDescent="0.3"/>
  <cols>
    <col min="1" max="1" width="10.796875" style="2"/>
    <col min="2" max="19" width="10.796875" style="3"/>
    <col min="20" max="20" width="10.796875" style="3" customWidth="1"/>
    <col min="21" max="26" width="10.796875" style="3"/>
    <col min="27" max="27" width="10.796875" style="4"/>
    <col min="28" max="28" width="10.796875" style="5"/>
    <col min="29" max="29" width="10.796875" style="6"/>
    <col min="30" max="30" width="10.796875" style="4"/>
    <col min="31" max="31" width="10.796875" style="11" customWidth="1"/>
    <col min="32" max="32" width="10.796875" style="12"/>
    <col min="33" max="33" width="10.796875" style="7" customWidth="1"/>
    <col min="34" max="34" width="10.796875" style="8"/>
    <col min="35" max="35" width="10.796875" style="7"/>
    <col min="36" max="36" width="10.796875" style="8"/>
    <col min="37" max="37" width="10.796875" style="7"/>
    <col min="38" max="38" width="10.796875" style="8"/>
    <col min="39" max="39" width="10.796875" style="7"/>
    <col min="40" max="40" width="10.796875" style="8"/>
    <col min="41" max="41" width="10.796875" style="7"/>
    <col min="42" max="42" width="10.796875" style="9"/>
    <col min="43" max="43" width="10.796875" style="21"/>
    <col min="44" max="44" width="10.796875" style="9"/>
    <col min="45" max="45" width="10.796875" style="21"/>
    <col min="46" max="46" width="10.796875" style="9"/>
    <col min="47" max="47" width="10.796875" style="21"/>
    <col min="48" max="48" width="10.796875" style="9"/>
    <col min="49" max="49" width="10.796875" style="21"/>
    <col min="50" max="50" width="10.796875" style="23"/>
    <col min="51" max="51" width="10.796875" style="10"/>
    <col min="52" max="52" width="10.796875" style="23"/>
    <col min="53" max="53" width="10.796875" style="10"/>
    <col min="54" max="54" width="10.796875" style="23"/>
    <col min="55" max="55" width="10.796875" style="10"/>
    <col min="56" max="58" width="10.796875" style="3"/>
    <col min="59" max="59" width="20.3984375" style="3" customWidth="1"/>
    <col min="60" max="60" width="18.59765625" style="3" customWidth="1"/>
    <col min="61" max="16384" width="10.796875" style="3"/>
  </cols>
  <sheetData>
    <row r="1" spans="1:60" s="1" customFormat="1" ht="19.2" customHeight="1" x14ac:dyDescent="0.3">
      <c r="A1" s="57" t="s">
        <v>4568</v>
      </c>
      <c r="B1" s="57" t="s">
        <v>27</v>
      </c>
      <c r="C1" s="57" t="s">
        <v>28</v>
      </c>
      <c r="D1" s="57" t="s">
        <v>29</v>
      </c>
      <c r="E1" s="57" t="s">
        <v>30</v>
      </c>
      <c r="F1" s="57" t="s">
        <v>31</v>
      </c>
      <c r="G1" s="57" t="s">
        <v>32</v>
      </c>
      <c r="H1" s="57" t="s">
        <v>33</v>
      </c>
      <c r="I1" s="57" t="s">
        <v>34</v>
      </c>
      <c r="J1" s="57" t="s">
        <v>35</v>
      </c>
      <c r="K1" s="57" t="s">
        <v>36</v>
      </c>
      <c r="L1" s="57" t="s">
        <v>37</v>
      </c>
      <c r="M1" s="57" t="s">
        <v>38</v>
      </c>
      <c r="N1" s="57" t="s">
        <v>39</v>
      </c>
      <c r="O1" s="57" t="s">
        <v>40</v>
      </c>
      <c r="P1" s="57" t="s">
        <v>41</v>
      </c>
      <c r="Q1" s="57" t="s">
        <v>42</v>
      </c>
      <c r="R1" s="57" t="s">
        <v>43</v>
      </c>
      <c r="S1" s="57" t="s">
        <v>44</v>
      </c>
      <c r="T1" s="57" t="s">
        <v>45</v>
      </c>
      <c r="U1" s="57" t="s">
        <v>46</v>
      </c>
      <c r="V1" s="57" t="s">
        <v>47</v>
      </c>
      <c r="W1" s="61" t="s">
        <v>20</v>
      </c>
      <c r="X1" s="66" t="s">
        <v>21</v>
      </c>
      <c r="Y1" s="66" t="s">
        <v>22</v>
      </c>
      <c r="Z1" s="66" t="s">
        <v>23</v>
      </c>
      <c r="AA1" s="72" t="s">
        <v>24</v>
      </c>
      <c r="AB1" s="58"/>
      <c r="AC1" s="58"/>
      <c r="AD1" s="62"/>
      <c r="AE1" s="70" t="s">
        <v>25</v>
      </c>
      <c r="AF1" s="68" t="s">
        <v>15</v>
      </c>
      <c r="AG1" s="63" t="s">
        <v>16</v>
      </c>
      <c r="AH1" s="63"/>
      <c r="AI1" s="63"/>
      <c r="AJ1" s="63"/>
      <c r="AK1" s="63"/>
      <c r="AL1" s="63"/>
      <c r="AM1" s="63"/>
      <c r="AN1" s="63"/>
      <c r="AO1" s="63"/>
      <c r="AP1" s="64" t="s">
        <v>17</v>
      </c>
      <c r="AQ1" s="64"/>
      <c r="AR1" s="64"/>
      <c r="AS1" s="64"/>
      <c r="AT1" s="64"/>
      <c r="AU1" s="64"/>
      <c r="AV1" s="39"/>
      <c r="AW1" s="39"/>
      <c r="AX1" s="65" t="s">
        <v>18</v>
      </c>
      <c r="AY1" s="65"/>
      <c r="AZ1" s="65"/>
      <c r="BA1" s="65"/>
      <c r="BB1" s="65"/>
      <c r="BC1" s="65"/>
      <c r="BD1" s="66" t="s">
        <v>19</v>
      </c>
      <c r="BE1" s="66" t="s">
        <v>26</v>
      </c>
      <c r="BF1" s="66" t="s">
        <v>0</v>
      </c>
      <c r="BG1" s="59" t="s">
        <v>4522</v>
      </c>
      <c r="BH1" s="59" t="s">
        <v>4523</v>
      </c>
    </row>
    <row r="2" spans="1:60" s="13" customFormat="1" ht="157.80000000000001" customHeight="1" x14ac:dyDescent="0.3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62"/>
      <c r="X2" s="67"/>
      <c r="Y2" s="67"/>
      <c r="Z2" s="67"/>
      <c r="AA2" s="13" t="s">
        <v>24</v>
      </c>
      <c r="AB2" s="14" t="s">
        <v>4520</v>
      </c>
      <c r="AC2" s="15" t="s">
        <v>4518</v>
      </c>
      <c r="AD2" s="14" t="s">
        <v>4519</v>
      </c>
      <c r="AE2" s="71"/>
      <c r="AF2" s="69"/>
      <c r="AG2" s="16" t="s">
        <v>58</v>
      </c>
      <c r="AH2" s="17" t="s">
        <v>1</v>
      </c>
      <c r="AI2" s="16" t="s">
        <v>49</v>
      </c>
      <c r="AJ2" s="17" t="s">
        <v>2</v>
      </c>
      <c r="AK2" s="16" t="s">
        <v>3</v>
      </c>
      <c r="AL2" s="17" t="s">
        <v>4</v>
      </c>
      <c r="AM2" s="16" t="s">
        <v>5</v>
      </c>
      <c r="AN2" s="17" t="s">
        <v>6</v>
      </c>
      <c r="AO2" s="16" t="s">
        <v>7</v>
      </c>
      <c r="AP2" s="18" t="s">
        <v>51</v>
      </c>
      <c r="AQ2" s="20" t="s">
        <v>8</v>
      </c>
      <c r="AR2" s="18" t="s">
        <v>50</v>
      </c>
      <c r="AS2" s="20" t="s">
        <v>9</v>
      </c>
      <c r="AT2" s="18" t="s">
        <v>10</v>
      </c>
      <c r="AU2" s="20" t="s">
        <v>11</v>
      </c>
      <c r="AV2" s="18" t="s">
        <v>52</v>
      </c>
      <c r="AW2" s="20" t="s">
        <v>130</v>
      </c>
      <c r="AX2" s="22" t="s">
        <v>12</v>
      </c>
      <c r="AY2" s="19" t="s">
        <v>13</v>
      </c>
      <c r="AZ2" s="22" t="s">
        <v>53</v>
      </c>
      <c r="BA2" s="19" t="s">
        <v>54</v>
      </c>
      <c r="BB2" s="22" t="s">
        <v>48</v>
      </c>
      <c r="BC2" s="19" t="s">
        <v>14</v>
      </c>
      <c r="BD2" s="67"/>
      <c r="BE2" s="67"/>
      <c r="BF2" s="67"/>
      <c r="BG2" s="60"/>
      <c r="BH2" s="60"/>
    </row>
    <row r="3" spans="1:60" ht="16.8" customHeight="1" x14ac:dyDescent="0.3">
      <c r="A3" t="s">
        <v>976</v>
      </c>
      <c r="B3" t="s">
        <v>981</v>
      </c>
      <c r="C3" t="s">
        <v>977</v>
      </c>
      <c r="D3">
        <v>2019</v>
      </c>
      <c r="E3" s="52" t="s">
        <v>982</v>
      </c>
      <c r="F3">
        <v>2027669</v>
      </c>
      <c r="G3">
        <v>2031054</v>
      </c>
      <c r="H3" t="s">
        <v>978</v>
      </c>
      <c r="I3" t="s">
        <v>976</v>
      </c>
      <c r="J3" s="51">
        <v>3.2696759259259259E-2</v>
      </c>
      <c r="K3" t="s">
        <v>160</v>
      </c>
      <c r="L3" t="s">
        <v>979</v>
      </c>
      <c r="M3" s="52" t="s">
        <v>980</v>
      </c>
      <c r="N3" t="s">
        <v>197</v>
      </c>
      <c r="O3" t="s">
        <v>144</v>
      </c>
      <c r="P3" t="s">
        <v>145</v>
      </c>
      <c r="Q3" t="s">
        <v>179</v>
      </c>
      <c r="R3" t="s">
        <v>167</v>
      </c>
      <c r="S3" t="s">
        <v>168</v>
      </c>
      <c r="T3" t="s">
        <v>149</v>
      </c>
      <c r="U3" t="s">
        <v>183</v>
      </c>
      <c r="V3">
        <v>4</v>
      </c>
      <c r="W3" t="s">
        <v>170</v>
      </c>
      <c r="X3" t="s">
        <v>983</v>
      </c>
      <c r="Y3" t="s">
        <v>153</v>
      </c>
      <c r="Z3" s="53" t="s">
        <v>984</v>
      </c>
      <c r="AA3" s="41"/>
      <c r="AB3" s="42"/>
      <c r="AC3" s="41"/>
      <c r="AD3" s="41"/>
      <c r="AE3" s="41">
        <v>1</v>
      </c>
      <c r="AF3" s="41"/>
      <c r="AG3" s="41"/>
      <c r="AH3" s="41"/>
      <c r="AI3" s="41"/>
      <c r="AJ3" s="41"/>
      <c r="AK3" s="41"/>
      <c r="AL3" s="43"/>
      <c r="AM3" s="44">
        <v>1</v>
      </c>
      <c r="AN3" s="43"/>
      <c r="AO3" s="44"/>
      <c r="AP3" s="45"/>
      <c r="AQ3" s="46"/>
      <c r="AR3" s="45"/>
      <c r="AS3" s="46">
        <v>1</v>
      </c>
      <c r="AT3" s="45"/>
      <c r="AU3" s="46"/>
      <c r="AX3" s="47"/>
      <c r="AY3" s="47"/>
      <c r="AZ3" s="48"/>
      <c r="BA3" s="47"/>
      <c r="BB3" s="48"/>
      <c r="BC3" s="47"/>
      <c r="BD3" s="49">
        <v>1</v>
      </c>
      <c r="BE3" s="49"/>
      <c r="BF3" s="49"/>
      <c r="BG3" t="str">
        <f>IF(AE3=1,_xlfn.TEXTJOIN(" &amp; ", TRUE,
    IF(COUNTIF(AG3:AO3,1)&gt;0,"Interazionale",""),
    IF(COUNTIF(AP3:AW3,1)&gt;0,"Metatestuale",""),
    IF(COUNTIF(AX3:BC3,1)&gt;0,"Cognitiva","")
),"")</f>
        <v>Interazionale &amp; Metatestuale</v>
      </c>
      <c r="BH3" s="3" t="str" cm="1">
        <f t="array" ref="BH3">IF(AE3=1, _xlfn.TEXTJOIN(" &amp; ", TRUE, _xlfn._xlws.FILTER($AG$2:$BC$2, AG3:BC3=1)), "")</f>
        <v>Marcatura della conoscenza condivisa &amp; Riformulazione</v>
      </c>
    </row>
    <row r="4" spans="1:60" ht="16.8" customHeight="1" x14ac:dyDescent="0.3">
      <c r="A4" t="s">
        <v>976</v>
      </c>
      <c r="B4" t="s">
        <v>985</v>
      </c>
      <c r="C4" t="s">
        <v>977</v>
      </c>
      <c r="D4">
        <v>2019</v>
      </c>
      <c r="E4" s="52" t="s">
        <v>986</v>
      </c>
      <c r="F4">
        <v>2073858</v>
      </c>
      <c r="G4">
        <v>2077753</v>
      </c>
      <c r="H4" t="s">
        <v>978</v>
      </c>
      <c r="I4" t="s">
        <v>976</v>
      </c>
      <c r="J4" s="51">
        <v>3.2696759259259259E-2</v>
      </c>
      <c r="K4" t="s">
        <v>160</v>
      </c>
      <c r="L4" t="s">
        <v>979</v>
      </c>
      <c r="M4" t="s">
        <v>980</v>
      </c>
      <c r="N4" t="s">
        <v>197</v>
      </c>
      <c r="O4" t="s">
        <v>144</v>
      </c>
      <c r="P4" t="s">
        <v>145</v>
      </c>
      <c r="Q4" t="s">
        <v>179</v>
      </c>
      <c r="R4" t="s">
        <v>167</v>
      </c>
      <c r="S4" t="s">
        <v>168</v>
      </c>
      <c r="T4" t="s">
        <v>149</v>
      </c>
      <c r="U4" t="s">
        <v>183</v>
      </c>
      <c r="V4">
        <v>4</v>
      </c>
      <c r="W4" t="s">
        <v>170</v>
      </c>
      <c r="X4" t="s">
        <v>987</v>
      </c>
      <c r="Y4" t="s">
        <v>153</v>
      </c>
      <c r="Z4" s="53" t="s">
        <v>988</v>
      </c>
      <c r="AA4" s="41">
        <v>1</v>
      </c>
      <c r="AB4" s="41">
        <v>1</v>
      </c>
      <c r="AC4" s="41"/>
      <c r="AD4" s="41"/>
      <c r="AE4" s="41"/>
      <c r="AF4" s="41"/>
      <c r="AG4" s="41"/>
      <c r="AH4" s="41"/>
      <c r="AI4" s="41"/>
      <c r="AJ4" s="41"/>
      <c r="AK4" s="41"/>
      <c r="AL4" s="43"/>
      <c r="AM4" s="44"/>
      <c r="AN4" s="43"/>
      <c r="AO4" s="44"/>
      <c r="AP4" s="45"/>
      <c r="AQ4" s="46"/>
      <c r="AR4" s="45"/>
      <c r="AS4" s="46"/>
      <c r="AT4" s="45"/>
      <c r="AU4" s="46"/>
      <c r="AX4" s="47"/>
      <c r="AY4" s="47"/>
      <c r="AZ4" s="48"/>
      <c r="BA4" s="47"/>
      <c r="BB4" s="48"/>
      <c r="BC4" s="47"/>
      <c r="BD4" s="49"/>
      <c r="BE4" s="49"/>
      <c r="BF4" s="49"/>
      <c r="BG4" t="str">
        <f t="shared" ref="BG4:BG67" si="0">IF(AE4=1,_xlfn.TEXTJOIN(" &amp; ", TRUE,
    IF(COUNTIF(AG4:AO4,1)&gt;0,"Interazionale",""),
    IF(COUNTIF(AP4:AW4,1)&gt;0,"Metatestuale",""),
    IF(COUNTIF(AX4:BC4,1)&gt;0,"Cognitiva","")
),"")</f>
        <v/>
      </c>
      <c r="BH4" s="3" t="str" cm="1">
        <f t="array" ref="BH4">IF(AE4=1, _xlfn.TEXTJOIN(" &amp; ", TRUE, _xlfn._xlws.FILTER($AG$2:$BC$2, AG4:BC4=1)), "")</f>
        <v/>
      </c>
    </row>
    <row r="5" spans="1:60" ht="16.8" customHeight="1" x14ac:dyDescent="0.3">
      <c r="A5" t="s">
        <v>976</v>
      </c>
      <c r="B5" t="s">
        <v>989</v>
      </c>
      <c r="C5" t="s">
        <v>977</v>
      </c>
      <c r="D5">
        <v>2019</v>
      </c>
      <c r="E5" s="52" t="s">
        <v>990</v>
      </c>
      <c r="F5">
        <v>2799369</v>
      </c>
      <c r="G5">
        <v>2803502</v>
      </c>
      <c r="H5" t="s">
        <v>978</v>
      </c>
      <c r="I5" t="s">
        <v>976</v>
      </c>
      <c r="J5" s="51">
        <v>3.2696759259259259E-2</v>
      </c>
      <c r="K5" t="s">
        <v>160</v>
      </c>
      <c r="L5" t="s">
        <v>979</v>
      </c>
      <c r="M5" t="s">
        <v>980</v>
      </c>
      <c r="N5" t="s">
        <v>197</v>
      </c>
      <c r="O5" t="s">
        <v>144</v>
      </c>
      <c r="P5" t="s">
        <v>145</v>
      </c>
      <c r="Q5" t="s">
        <v>179</v>
      </c>
      <c r="R5" t="s">
        <v>167</v>
      </c>
      <c r="S5" t="s">
        <v>168</v>
      </c>
      <c r="T5" t="s">
        <v>149</v>
      </c>
      <c r="U5" t="s">
        <v>183</v>
      </c>
      <c r="V5">
        <v>4</v>
      </c>
      <c r="W5" t="s">
        <v>170</v>
      </c>
      <c r="X5" t="s">
        <v>991</v>
      </c>
      <c r="Y5" t="s">
        <v>153</v>
      </c>
      <c r="Z5" s="53" t="s">
        <v>992</v>
      </c>
      <c r="AA5" s="41"/>
      <c r="AB5" s="41"/>
      <c r="AC5" s="41"/>
      <c r="AD5" s="41"/>
      <c r="AE5" s="41">
        <v>1</v>
      </c>
      <c r="AF5" s="41"/>
      <c r="AG5" s="41"/>
      <c r="AH5" s="41"/>
      <c r="AI5" s="41"/>
      <c r="AJ5" s="41"/>
      <c r="AK5" s="41"/>
      <c r="AL5" s="43"/>
      <c r="AM5" s="44">
        <v>1</v>
      </c>
      <c r="AN5" s="43"/>
      <c r="AO5" s="44"/>
      <c r="AP5" s="45"/>
      <c r="AQ5" s="46"/>
      <c r="AR5" s="45"/>
      <c r="AS5" s="46"/>
      <c r="AT5" s="45"/>
      <c r="AU5" s="46"/>
      <c r="AX5" s="47"/>
      <c r="AY5" s="47"/>
      <c r="AZ5" s="48"/>
      <c r="BA5" s="47"/>
      <c r="BB5" s="48"/>
      <c r="BC5" s="47"/>
      <c r="BD5" s="49"/>
      <c r="BE5" s="49"/>
      <c r="BF5" s="49"/>
      <c r="BG5" t="str">
        <f t="shared" si="0"/>
        <v>Interazionale</v>
      </c>
      <c r="BH5" s="3" t="str" cm="1">
        <f t="array" ref="BH5">IF(AE5=1, _xlfn.TEXTJOIN(" &amp; ", TRUE, _xlfn._xlws.FILTER($AG$2:$BC$2, AG5:BC5=1)), "")</f>
        <v>Marcatura della conoscenza condivisa</v>
      </c>
    </row>
    <row r="6" spans="1:60" ht="16.8" customHeight="1" x14ac:dyDescent="0.3">
      <c r="A6" t="s">
        <v>135</v>
      </c>
      <c r="B6" t="s">
        <v>136</v>
      </c>
      <c r="C6" t="s">
        <v>137</v>
      </c>
      <c r="D6">
        <v>2019</v>
      </c>
      <c r="E6" s="52" t="s">
        <v>138</v>
      </c>
      <c r="F6">
        <v>200488</v>
      </c>
      <c r="G6">
        <v>202036</v>
      </c>
      <c r="H6" t="s">
        <v>139</v>
      </c>
      <c r="I6" t="s">
        <v>135</v>
      </c>
      <c r="J6" s="51">
        <v>0.75138888888888888</v>
      </c>
      <c r="K6" t="s">
        <v>140</v>
      </c>
      <c r="L6" t="s">
        <v>141</v>
      </c>
      <c r="M6" t="s">
        <v>142</v>
      </c>
      <c r="N6" t="s">
        <v>143</v>
      </c>
      <c r="O6" t="s">
        <v>144</v>
      </c>
      <c r="P6" t="s">
        <v>145</v>
      </c>
      <c r="Q6" t="s">
        <v>146</v>
      </c>
      <c r="R6" t="s">
        <v>147</v>
      </c>
      <c r="S6" t="s">
        <v>148</v>
      </c>
      <c r="T6" t="s">
        <v>149</v>
      </c>
      <c r="U6" t="s">
        <v>151</v>
      </c>
      <c r="V6">
        <v>4</v>
      </c>
      <c r="W6" t="s">
        <v>150</v>
      </c>
      <c r="X6" t="s">
        <v>152</v>
      </c>
      <c r="Y6" t="s">
        <v>153</v>
      </c>
      <c r="Z6" s="53" t="s">
        <v>154</v>
      </c>
      <c r="AA6" s="41">
        <v>1</v>
      </c>
      <c r="AB6">
        <v>1</v>
      </c>
      <c r="AC6" s="41"/>
      <c r="AD6" s="41"/>
      <c r="AE6" s="41"/>
      <c r="AF6" s="41"/>
      <c r="AG6" s="41"/>
      <c r="AH6" s="41"/>
      <c r="AI6" s="41"/>
      <c r="AJ6" s="41"/>
      <c r="AK6" s="41"/>
      <c r="AL6" s="43"/>
      <c r="AM6" s="44"/>
      <c r="AN6" s="43"/>
      <c r="AO6" s="44"/>
      <c r="AP6" s="45"/>
      <c r="AQ6" s="46"/>
      <c r="AR6" s="45"/>
      <c r="AS6" s="46"/>
      <c r="AT6" s="45"/>
      <c r="AU6" s="46"/>
      <c r="AX6" s="47"/>
      <c r="AY6" s="47"/>
      <c r="AZ6" s="48"/>
      <c r="BA6" s="47"/>
      <c r="BB6" s="48"/>
      <c r="BC6" s="47"/>
      <c r="BD6" s="49"/>
      <c r="BE6" s="49"/>
      <c r="BF6" s="49"/>
      <c r="BG6" t="str">
        <f t="shared" si="0"/>
        <v/>
      </c>
      <c r="BH6" s="3" t="str" cm="1">
        <f t="array" ref="BH6">IF(AE6=1, _xlfn.TEXTJOIN(" &amp; ", TRUE, _xlfn._xlws.FILTER($AG$2:$BC$2, AG6:BC6=1)), "")</f>
        <v/>
      </c>
    </row>
    <row r="7" spans="1:60" ht="16.8" customHeight="1" x14ac:dyDescent="0.3">
      <c r="A7" t="s">
        <v>155</v>
      </c>
      <c r="B7" t="s">
        <v>156</v>
      </c>
      <c r="C7" t="s">
        <v>157</v>
      </c>
      <c r="D7">
        <v>2023</v>
      </c>
      <c r="E7" s="52" t="s">
        <v>158</v>
      </c>
      <c r="F7">
        <v>1510907</v>
      </c>
      <c r="G7">
        <v>1516620</v>
      </c>
      <c r="H7" t="s">
        <v>159</v>
      </c>
      <c r="I7" t="s">
        <v>155</v>
      </c>
      <c r="J7" s="51">
        <v>2.3449074074074074E-2</v>
      </c>
      <c r="K7" t="s">
        <v>160</v>
      </c>
      <c r="L7" t="s">
        <v>161</v>
      </c>
      <c r="M7" t="s">
        <v>162</v>
      </c>
      <c r="N7" t="s">
        <v>163</v>
      </c>
      <c r="O7" t="s">
        <v>164</v>
      </c>
      <c r="P7" t="s">
        <v>165</v>
      </c>
      <c r="Q7" t="s">
        <v>166</v>
      </c>
      <c r="R7" t="s">
        <v>167</v>
      </c>
      <c r="S7" t="s">
        <v>168</v>
      </c>
      <c r="T7" t="s">
        <v>169</v>
      </c>
      <c r="U7" t="s">
        <v>171</v>
      </c>
      <c r="V7">
        <v>4</v>
      </c>
      <c r="W7" t="s">
        <v>170</v>
      </c>
      <c r="X7" t="s">
        <v>172</v>
      </c>
      <c r="Y7" t="s">
        <v>153</v>
      </c>
      <c r="Z7" s="53" t="s">
        <v>173</v>
      </c>
      <c r="AA7" s="42">
        <v>1</v>
      </c>
      <c r="AB7">
        <v>1</v>
      </c>
      <c r="AC7" s="41"/>
      <c r="AD7" s="41"/>
      <c r="AE7" s="41"/>
      <c r="AF7" s="41"/>
      <c r="AG7" s="41"/>
      <c r="AH7" s="41"/>
      <c r="AI7" s="41"/>
      <c r="AJ7" s="41"/>
      <c r="AK7" s="41"/>
      <c r="AL7" s="43"/>
      <c r="AM7" s="44"/>
      <c r="AN7" s="43"/>
      <c r="AO7" s="44"/>
      <c r="AP7" s="45"/>
      <c r="AQ7" s="46"/>
      <c r="AR7" s="45"/>
      <c r="AS7" s="46"/>
      <c r="AT7" s="45"/>
      <c r="AU7" s="46"/>
      <c r="AX7" s="47"/>
      <c r="AY7" s="47"/>
      <c r="AZ7" s="48"/>
      <c r="BA7" s="47"/>
      <c r="BB7" s="48"/>
      <c r="BC7" s="47"/>
      <c r="BD7" s="49"/>
      <c r="BE7" s="49"/>
      <c r="BF7" s="49"/>
      <c r="BG7" t="str">
        <f t="shared" si="0"/>
        <v/>
      </c>
      <c r="BH7" s="3" t="str" cm="1">
        <f t="array" ref="BH7">IF(AE7=1, _xlfn.TEXTJOIN(" &amp; ", TRUE, _xlfn._xlws.FILTER($AG$2:$BC$2, AG7:BC7=1)), "")</f>
        <v/>
      </c>
    </row>
    <row r="8" spans="1:60" ht="16.8" customHeight="1" x14ac:dyDescent="0.3">
      <c r="A8" t="s">
        <v>155</v>
      </c>
      <c r="B8" t="s">
        <v>993</v>
      </c>
      <c r="C8" t="s">
        <v>157</v>
      </c>
      <c r="D8">
        <v>2023</v>
      </c>
      <c r="E8" s="52" t="s">
        <v>994</v>
      </c>
      <c r="F8">
        <v>1536540</v>
      </c>
      <c r="G8">
        <v>1541140</v>
      </c>
      <c r="H8" t="s">
        <v>995</v>
      </c>
      <c r="I8" t="s">
        <v>155</v>
      </c>
      <c r="J8" s="51">
        <v>2.3449074074074074E-2</v>
      </c>
      <c r="K8" t="s">
        <v>160</v>
      </c>
      <c r="L8" t="s">
        <v>161</v>
      </c>
      <c r="M8" s="52" t="s">
        <v>162</v>
      </c>
      <c r="N8" t="s">
        <v>143</v>
      </c>
      <c r="O8" t="s">
        <v>164</v>
      </c>
      <c r="P8" t="s">
        <v>165</v>
      </c>
      <c r="Q8" t="s">
        <v>146</v>
      </c>
      <c r="R8" t="s">
        <v>167</v>
      </c>
      <c r="S8" t="s">
        <v>168</v>
      </c>
      <c r="T8" t="s">
        <v>247</v>
      </c>
      <c r="U8" t="s">
        <v>151</v>
      </c>
      <c r="V8">
        <v>4</v>
      </c>
      <c r="W8" t="s">
        <v>170</v>
      </c>
      <c r="X8" t="s">
        <v>996</v>
      </c>
      <c r="Y8" t="s">
        <v>153</v>
      </c>
      <c r="Z8" s="53" t="s">
        <v>997</v>
      </c>
      <c r="AA8" s="41"/>
      <c r="AB8" s="41"/>
      <c r="AC8" s="41"/>
      <c r="AD8" s="41"/>
      <c r="AE8" s="41">
        <v>1</v>
      </c>
      <c r="AF8" s="41"/>
      <c r="AG8" s="41"/>
      <c r="AH8" s="41"/>
      <c r="AI8" s="41"/>
      <c r="AJ8" s="41"/>
      <c r="AK8" s="41"/>
      <c r="AL8" s="43"/>
      <c r="AM8" s="44">
        <v>1</v>
      </c>
      <c r="AN8" s="43"/>
      <c r="AO8" s="44"/>
      <c r="AP8" s="45"/>
      <c r="AQ8" s="46"/>
      <c r="AR8" s="45"/>
      <c r="AS8" s="46"/>
      <c r="AT8" s="45"/>
      <c r="AU8" s="46"/>
      <c r="AW8" s="21">
        <v>1</v>
      </c>
      <c r="AX8" s="47"/>
      <c r="AY8" s="47"/>
      <c r="AZ8" s="48"/>
      <c r="BA8" s="47"/>
      <c r="BB8" s="48"/>
      <c r="BC8" s="47"/>
      <c r="BD8" s="49">
        <v>1</v>
      </c>
      <c r="BE8" s="49"/>
      <c r="BF8" s="49"/>
      <c r="BG8" t="str">
        <f t="shared" si="0"/>
        <v>Interazionale &amp; Metatestuale</v>
      </c>
      <c r="BH8" s="3" t="str" cm="1">
        <f t="array" ref="BH8">IF(AE8=1, _xlfn.TEXTJOIN(" &amp; ", TRUE, _xlfn._xlws.FILTER($AG$2:$BC$2, AG8:BC8=1)), "")</f>
        <v>Marcatura della conoscenza condivisa &amp; General extenders e marche di generalizzazione</v>
      </c>
    </row>
    <row r="9" spans="1:60" ht="16.8" customHeight="1" x14ac:dyDescent="0.3">
      <c r="A9" t="s">
        <v>155</v>
      </c>
      <c r="B9" t="s">
        <v>999</v>
      </c>
      <c r="C9" t="s">
        <v>157</v>
      </c>
      <c r="D9">
        <v>2023</v>
      </c>
      <c r="E9" s="52" t="s">
        <v>1000</v>
      </c>
      <c r="F9">
        <v>1576300</v>
      </c>
      <c r="G9">
        <v>1579710</v>
      </c>
      <c r="H9" t="s">
        <v>159</v>
      </c>
      <c r="I9" t="s">
        <v>155</v>
      </c>
      <c r="J9" s="51">
        <v>2.3449074074074074E-2</v>
      </c>
      <c r="K9" t="s">
        <v>160</v>
      </c>
      <c r="L9" t="s">
        <v>161</v>
      </c>
      <c r="M9" t="s">
        <v>162</v>
      </c>
      <c r="N9" t="s">
        <v>163</v>
      </c>
      <c r="O9" t="s">
        <v>164</v>
      </c>
      <c r="P9" t="s">
        <v>165</v>
      </c>
      <c r="Q9" t="s">
        <v>166</v>
      </c>
      <c r="R9" t="s">
        <v>167</v>
      </c>
      <c r="S9" t="s">
        <v>168</v>
      </c>
      <c r="T9" t="s">
        <v>169</v>
      </c>
      <c r="U9" t="s">
        <v>171</v>
      </c>
      <c r="V9">
        <v>4</v>
      </c>
      <c r="W9" t="s">
        <v>170</v>
      </c>
      <c r="X9" t="s">
        <v>1001</v>
      </c>
      <c r="Y9" t="s">
        <v>153</v>
      </c>
      <c r="Z9" s="53" t="s">
        <v>1002</v>
      </c>
      <c r="AA9">
        <v>1</v>
      </c>
      <c r="AB9"/>
      <c r="AC9" s="41">
        <v>1</v>
      </c>
      <c r="AD9" s="41"/>
      <c r="AE9"/>
      <c r="AF9" s="41"/>
      <c r="AG9" s="41"/>
      <c r="AH9" s="41"/>
      <c r="AI9" s="41"/>
      <c r="AJ9" s="41"/>
      <c r="AK9" s="41"/>
      <c r="AL9" s="43"/>
      <c r="AM9" s="44"/>
      <c r="AN9" s="43"/>
      <c r="AO9" s="44"/>
      <c r="AP9" s="45"/>
      <c r="AQ9" s="46"/>
      <c r="AR9" s="45"/>
      <c r="AS9" s="46"/>
      <c r="AT9" s="45"/>
      <c r="AU9" s="46"/>
      <c r="AX9" s="47"/>
      <c r="AY9" s="47"/>
      <c r="AZ9" s="48"/>
      <c r="BA9" s="47"/>
      <c r="BB9" s="48"/>
      <c r="BC9" s="47"/>
      <c r="BD9" s="49"/>
      <c r="BE9" s="49"/>
      <c r="BF9" s="49"/>
      <c r="BG9" t="str">
        <f t="shared" si="0"/>
        <v/>
      </c>
      <c r="BH9" s="3" t="str" cm="1">
        <f t="array" ref="BH9">IF(AE9=1, _xlfn.TEXTJOIN(" &amp; ", TRUE, _xlfn._xlws.FILTER($AG$2:$BC$2, AG9:BC9=1)), "")</f>
        <v/>
      </c>
    </row>
    <row r="10" spans="1:60" ht="16.8" customHeight="1" x14ac:dyDescent="0.3">
      <c r="A10" t="s">
        <v>155</v>
      </c>
      <c r="B10" t="s">
        <v>1003</v>
      </c>
      <c r="C10" t="s">
        <v>157</v>
      </c>
      <c r="D10">
        <v>2023</v>
      </c>
      <c r="E10" s="52" t="s">
        <v>1004</v>
      </c>
      <c r="F10">
        <v>1580540</v>
      </c>
      <c r="G10">
        <v>1582094</v>
      </c>
      <c r="H10" t="s">
        <v>998</v>
      </c>
      <c r="I10" t="s">
        <v>155</v>
      </c>
      <c r="J10" s="51">
        <v>2.3449074074074074E-2</v>
      </c>
      <c r="K10" t="s">
        <v>160</v>
      </c>
      <c r="L10" t="s">
        <v>161</v>
      </c>
      <c r="M10" t="s">
        <v>162</v>
      </c>
      <c r="N10" t="s">
        <v>163</v>
      </c>
      <c r="O10" t="s">
        <v>144</v>
      </c>
      <c r="P10" t="s">
        <v>165</v>
      </c>
      <c r="Q10" t="s">
        <v>166</v>
      </c>
      <c r="R10" t="s">
        <v>167</v>
      </c>
      <c r="S10" t="s">
        <v>168</v>
      </c>
      <c r="T10" t="s">
        <v>169</v>
      </c>
      <c r="U10" t="s">
        <v>318</v>
      </c>
      <c r="V10">
        <v>4</v>
      </c>
      <c r="W10" t="s">
        <v>170</v>
      </c>
      <c r="X10" t="s">
        <v>1005</v>
      </c>
      <c r="Y10" t="s">
        <v>153</v>
      </c>
      <c r="Z10" s="53" t="s">
        <v>1006</v>
      </c>
      <c r="AA10">
        <v>1</v>
      </c>
      <c r="AB10"/>
      <c r="AC10" s="41">
        <v>1</v>
      </c>
      <c r="AD10" s="41"/>
      <c r="AE10"/>
      <c r="AF10" s="41"/>
      <c r="AG10" s="41"/>
      <c r="AH10" s="41"/>
      <c r="AI10" s="41"/>
      <c r="AJ10" s="41"/>
      <c r="AK10" s="41"/>
      <c r="AL10" s="43"/>
      <c r="AM10" s="44"/>
      <c r="AN10" s="43"/>
      <c r="AO10" s="44"/>
      <c r="AP10" s="45"/>
      <c r="AQ10" s="46"/>
      <c r="AR10" s="45"/>
      <c r="AS10" s="46"/>
      <c r="AT10" s="45"/>
      <c r="AU10" s="46"/>
      <c r="AX10" s="47"/>
      <c r="AY10" s="47"/>
      <c r="AZ10" s="48"/>
      <c r="BA10" s="47"/>
      <c r="BB10" s="48"/>
      <c r="BC10" s="47"/>
      <c r="BD10" s="49"/>
      <c r="BE10" s="49"/>
      <c r="BF10" s="49"/>
      <c r="BG10" t="str">
        <f t="shared" si="0"/>
        <v/>
      </c>
      <c r="BH10" s="3" t="str" cm="1">
        <f t="array" ref="BH10">IF(AE10=1, _xlfn.TEXTJOIN(" &amp; ", TRUE, _xlfn._xlws.FILTER($AG$2:$BC$2, AG10:BC10=1)), "")</f>
        <v/>
      </c>
    </row>
    <row r="11" spans="1:60" ht="16.8" customHeight="1" x14ac:dyDescent="0.3">
      <c r="A11" t="s">
        <v>1007</v>
      </c>
      <c r="B11" t="s">
        <v>1008</v>
      </c>
      <c r="C11" t="s">
        <v>1009</v>
      </c>
      <c r="D11">
        <v>2019</v>
      </c>
      <c r="E11" s="52" t="s">
        <v>1010</v>
      </c>
      <c r="F11">
        <v>215300</v>
      </c>
      <c r="G11">
        <v>217270</v>
      </c>
      <c r="H11" t="s">
        <v>1011</v>
      </c>
      <c r="I11" t="s">
        <v>1007</v>
      </c>
      <c r="J11" s="51">
        <v>2.1157407407407406E-2</v>
      </c>
      <c r="K11" t="s">
        <v>160</v>
      </c>
      <c r="L11" t="s">
        <v>1012</v>
      </c>
      <c r="M11" t="s">
        <v>1013</v>
      </c>
      <c r="N11" t="s">
        <v>317</v>
      </c>
      <c r="O11" t="s">
        <v>164</v>
      </c>
      <c r="P11" t="s">
        <v>145</v>
      </c>
      <c r="Q11" t="s">
        <v>467</v>
      </c>
      <c r="R11" t="s">
        <v>167</v>
      </c>
      <c r="S11" t="s">
        <v>168</v>
      </c>
      <c r="T11" t="s">
        <v>149</v>
      </c>
      <c r="U11" t="s">
        <v>171</v>
      </c>
      <c r="V11">
        <v>3</v>
      </c>
      <c r="W11" t="s">
        <v>170</v>
      </c>
      <c r="X11" t="s">
        <v>1014</v>
      </c>
      <c r="Y11" t="s">
        <v>153</v>
      </c>
      <c r="Z11" s="53" t="s">
        <v>1015</v>
      </c>
      <c r="AA11">
        <v>1</v>
      </c>
      <c r="AB11">
        <v>1</v>
      </c>
      <c r="AC11" s="41"/>
      <c r="AD11" s="41"/>
      <c r="AE11"/>
      <c r="AF11" s="41"/>
      <c r="AG11" s="41"/>
      <c r="AH11" s="41"/>
      <c r="AI11" s="41"/>
      <c r="AJ11" s="41"/>
      <c r="AK11" s="41"/>
      <c r="AL11" s="43"/>
      <c r="AM11" s="44"/>
      <c r="AN11" s="43"/>
      <c r="AO11" s="44"/>
      <c r="AP11" s="45"/>
      <c r="AQ11" s="46"/>
      <c r="AR11" s="45"/>
      <c r="AS11" s="46"/>
      <c r="AT11" s="45"/>
      <c r="AU11" s="46"/>
      <c r="AX11" s="47"/>
      <c r="AY11" s="47"/>
      <c r="AZ11" s="48"/>
      <c r="BA11" s="47"/>
      <c r="BB11" s="48"/>
      <c r="BC11" s="47"/>
      <c r="BD11" s="49"/>
      <c r="BE11" s="49"/>
      <c r="BF11" s="49"/>
      <c r="BG11" t="str">
        <f t="shared" si="0"/>
        <v/>
      </c>
      <c r="BH11" s="3" t="str" cm="1">
        <f t="array" ref="BH11">IF(AE11=1, _xlfn.TEXTJOIN(" &amp; ", TRUE, _xlfn._xlws.FILTER($AG$2:$BC$2, AG11:BC11=1)), "")</f>
        <v/>
      </c>
    </row>
    <row r="12" spans="1:60" ht="16.8" customHeight="1" x14ac:dyDescent="0.3">
      <c r="A12" t="s">
        <v>1016</v>
      </c>
      <c r="B12" t="s">
        <v>1017</v>
      </c>
      <c r="C12" t="s">
        <v>1018</v>
      </c>
      <c r="D12">
        <v>2022</v>
      </c>
      <c r="E12" s="52" t="s">
        <v>1019</v>
      </c>
      <c r="F12">
        <v>1794965</v>
      </c>
      <c r="G12">
        <v>1797665</v>
      </c>
      <c r="H12" t="s">
        <v>1020</v>
      </c>
      <c r="I12" t="s">
        <v>1016</v>
      </c>
      <c r="J12" s="51">
        <v>3.4606481481481481E-2</v>
      </c>
      <c r="K12" t="s">
        <v>160</v>
      </c>
      <c r="L12" t="s">
        <v>1021</v>
      </c>
      <c r="M12" t="s">
        <v>1022</v>
      </c>
      <c r="N12" t="s">
        <v>163</v>
      </c>
      <c r="O12" t="s">
        <v>164</v>
      </c>
      <c r="P12" t="s">
        <v>165</v>
      </c>
      <c r="Q12" t="s">
        <v>527</v>
      </c>
      <c r="R12" t="s">
        <v>167</v>
      </c>
      <c r="S12" t="s">
        <v>168</v>
      </c>
      <c r="T12" t="s">
        <v>169</v>
      </c>
      <c r="U12" t="s">
        <v>229</v>
      </c>
      <c r="V12">
        <v>3</v>
      </c>
      <c r="W12" t="s">
        <v>170</v>
      </c>
      <c r="X12" t="s">
        <v>1023</v>
      </c>
      <c r="Y12" t="s">
        <v>153</v>
      </c>
      <c r="Z12" s="53" t="s">
        <v>1024</v>
      </c>
      <c r="AA12" s="41"/>
      <c r="AB12" s="41"/>
      <c r="AC12" s="41"/>
      <c r="AD12" s="41"/>
      <c r="AE12">
        <v>1</v>
      </c>
      <c r="AF12" s="41"/>
      <c r="AG12" s="41"/>
      <c r="AH12" s="41"/>
      <c r="AI12" s="41"/>
      <c r="AJ12" s="41"/>
      <c r="AK12" s="41"/>
      <c r="AL12" s="43"/>
      <c r="AM12" s="44">
        <v>1</v>
      </c>
      <c r="AN12" s="43"/>
      <c r="AO12" s="44"/>
      <c r="AP12" s="45"/>
      <c r="AQ12" s="46"/>
      <c r="AR12" s="45"/>
      <c r="AS12" s="46"/>
      <c r="AT12" s="45"/>
      <c r="AU12" s="46"/>
      <c r="AX12" s="47"/>
      <c r="AY12" s="47"/>
      <c r="AZ12" s="48"/>
      <c r="BA12" s="47"/>
      <c r="BB12" s="48"/>
      <c r="BC12" s="47"/>
      <c r="BD12" s="49"/>
      <c r="BE12" s="49"/>
      <c r="BF12" s="49"/>
      <c r="BG12" t="str">
        <f t="shared" si="0"/>
        <v>Interazionale</v>
      </c>
      <c r="BH12" s="3" t="str" cm="1">
        <f t="array" ref="BH12">IF(AE12=1, _xlfn.TEXTJOIN(" &amp; ", TRUE, _xlfn._xlws.FILTER($AG$2:$BC$2, AG12:BC12=1)), "")</f>
        <v>Marcatura della conoscenza condivisa</v>
      </c>
    </row>
    <row r="13" spans="1:60" ht="16.8" customHeight="1" x14ac:dyDescent="0.3">
      <c r="A13" t="s">
        <v>1025</v>
      </c>
      <c r="B13" t="s">
        <v>1026</v>
      </c>
      <c r="C13" t="s">
        <v>1027</v>
      </c>
      <c r="D13">
        <v>2019</v>
      </c>
      <c r="E13" s="52" t="s">
        <v>1028</v>
      </c>
      <c r="F13">
        <v>385783</v>
      </c>
      <c r="G13">
        <v>389689</v>
      </c>
      <c r="H13" t="s">
        <v>1029</v>
      </c>
      <c r="I13" t="s">
        <v>1025</v>
      </c>
      <c r="J13" s="51">
        <v>2.1284722222222222E-2</v>
      </c>
      <c r="K13" t="s">
        <v>160</v>
      </c>
      <c r="L13" t="s">
        <v>1030</v>
      </c>
      <c r="M13" t="s">
        <v>1031</v>
      </c>
      <c r="N13" t="s">
        <v>143</v>
      </c>
      <c r="O13" t="s">
        <v>144</v>
      </c>
      <c r="P13" t="s">
        <v>145</v>
      </c>
      <c r="Q13" t="s">
        <v>146</v>
      </c>
      <c r="R13" t="s">
        <v>167</v>
      </c>
      <c r="S13" t="s">
        <v>148</v>
      </c>
      <c r="T13" t="s">
        <v>666</v>
      </c>
      <c r="U13" t="s">
        <v>151</v>
      </c>
      <c r="V13">
        <v>2</v>
      </c>
      <c r="W13" t="s">
        <v>170</v>
      </c>
      <c r="X13" t="s">
        <v>1032</v>
      </c>
      <c r="Y13" t="s">
        <v>153</v>
      </c>
      <c r="Z13" s="53" t="s">
        <v>1033</v>
      </c>
      <c r="AA13">
        <v>1</v>
      </c>
      <c r="AB13"/>
      <c r="AC13" s="41"/>
      <c r="AD13" s="41">
        <v>1</v>
      </c>
      <c r="AE13"/>
      <c r="AF13" s="41"/>
      <c r="AG13" s="41"/>
      <c r="AH13" s="41"/>
      <c r="AI13" s="41"/>
      <c r="AJ13" s="41"/>
      <c r="AK13" s="41"/>
      <c r="AL13" s="43"/>
      <c r="AM13" s="44"/>
      <c r="AN13" s="43"/>
      <c r="AO13" s="44"/>
      <c r="AP13" s="45"/>
      <c r="AQ13" s="46"/>
      <c r="AR13" s="45"/>
      <c r="AS13" s="46"/>
      <c r="AT13" s="45"/>
      <c r="AU13" s="46"/>
      <c r="AX13" s="47"/>
      <c r="AY13" s="47"/>
      <c r="AZ13" s="48"/>
      <c r="BA13" s="47"/>
      <c r="BB13" s="48"/>
      <c r="BC13" s="47"/>
      <c r="BD13" s="49"/>
      <c r="BE13" s="49"/>
      <c r="BF13" s="49"/>
      <c r="BG13" t="str">
        <f t="shared" si="0"/>
        <v/>
      </c>
      <c r="BH13" s="3" t="str" cm="1">
        <f t="array" ref="BH13">IF(AE13=1, _xlfn.TEXTJOIN(" &amp; ", TRUE, _xlfn._xlws.FILTER($AG$2:$BC$2, AG13:BC13=1)), "")</f>
        <v/>
      </c>
    </row>
    <row r="14" spans="1:60" ht="16.8" customHeight="1" x14ac:dyDescent="0.3">
      <c r="A14" t="s">
        <v>174</v>
      </c>
      <c r="B14" t="s">
        <v>1034</v>
      </c>
      <c r="C14" t="s">
        <v>175</v>
      </c>
      <c r="D14">
        <v>2019</v>
      </c>
      <c r="E14" s="52" t="s">
        <v>1035</v>
      </c>
      <c r="F14">
        <v>2417887</v>
      </c>
      <c r="G14">
        <v>2421585</v>
      </c>
      <c r="H14" t="s">
        <v>181</v>
      </c>
      <c r="I14" t="s">
        <v>174</v>
      </c>
      <c r="J14" s="51">
        <v>3.0312499999999999E-2</v>
      </c>
      <c r="K14" t="s">
        <v>160</v>
      </c>
      <c r="L14" t="s">
        <v>176</v>
      </c>
      <c r="M14" t="s">
        <v>177</v>
      </c>
      <c r="N14" t="s">
        <v>182</v>
      </c>
      <c r="O14" t="s">
        <v>144</v>
      </c>
      <c r="P14" t="s">
        <v>145</v>
      </c>
      <c r="Q14" t="s">
        <v>179</v>
      </c>
      <c r="R14" t="s">
        <v>167</v>
      </c>
      <c r="S14" t="s">
        <v>168</v>
      </c>
      <c r="T14" t="s">
        <v>180</v>
      </c>
      <c r="U14" t="s">
        <v>183</v>
      </c>
      <c r="V14">
        <v>3</v>
      </c>
      <c r="W14" t="s">
        <v>170</v>
      </c>
      <c r="X14" t="s">
        <v>1036</v>
      </c>
      <c r="Y14" t="s">
        <v>153</v>
      </c>
      <c r="Z14" s="53" t="s">
        <v>1037</v>
      </c>
      <c r="AA14" s="41"/>
      <c r="AB14" s="41"/>
      <c r="AC14" s="41"/>
      <c r="AD14" s="41"/>
      <c r="AE14">
        <v>1</v>
      </c>
      <c r="AF14" s="41"/>
      <c r="AG14" s="41"/>
      <c r="AH14" s="41"/>
      <c r="AI14" s="41"/>
      <c r="AJ14" s="41"/>
      <c r="AK14" s="41"/>
      <c r="AL14" s="43"/>
      <c r="AM14" s="44">
        <v>1</v>
      </c>
      <c r="AN14" s="43"/>
      <c r="AO14" s="44"/>
      <c r="AP14" s="45"/>
      <c r="AQ14" s="46"/>
      <c r="AR14" s="45"/>
      <c r="AS14" s="46"/>
      <c r="AT14" s="45"/>
      <c r="AU14" s="46"/>
      <c r="AV14" s="9">
        <v>1</v>
      </c>
      <c r="AX14" s="47"/>
      <c r="AY14" s="47"/>
      <c r="AZ14" s="48"/>
      <c r="BA14" s="47"/>
      <c r="BB14" s="48"/>
      <c r="BC14" s="47"/>
      <c r="BD14" s="49">
        <v>1</v>
      </c>
      <c r="BE14" s="49"/>
      <c r="BF14" s="49"/>
      <c r="BG14" t="str">
        <f t="shared" si="0"/>
        <v>Interazionale &amp; Metatestuale</v>
      </c>
      <c r="BH14" s="3" t="str" cm="1">
        <f t="array" ref="BH14">IF(AE14=1, _xlfn.TEXTJOIN(" &amp; ", TRUE, _xlfn._xlws.FILTER($AG$2:$BC$2, AG14:BC14=1)), "")</f>
        <v>Marcatura della conoscenza condivisa &amp; Filler, riempimento dei tempi di formulazione</v>
      </c>
    </row>
    <row r="15" spans="1:60" ht="16.8" customHeight="1" x14ac:dyDescent="0.3">
      <c r="A15" t="s">
        <v>184</v>
      </c>
      <c r="B15" t="s">
        <v>1038</v>
      </c>
      <c r="C15" t="s">
        <v>185</v>
      </c>
      <c r="D15">
        <v>2022</v>
      </c>
      <c r="E15" s="52" t="s">
        <v>1039</v>
      </c>
      <c r="F15">
        <v>852760</v>
      </c>
      <c r="G15">
        <v>855400</v>
      </c>
      <c r="H15" t="s">
        <v>186</v>
      </c>
      <c r="I15" t="s">
        <v>184</v>
      </c>
      <c r="J15" s="51">
        <v>3.9756944444444442E-2</v>
      </c>
      <c r="K15" t="s">
        <v>160</v>
      </c>
      <c r="L15" t="s">
        <v>187</v>
      </c>
      <c r="M15" t="s">
        <v>188</v>
      </c>
      <c r="N15" t="s">
        <v>143</v>
      </c>
      <c r="O15" t="s">
        <v>144</v>
      </c>
      <c r="P15" t="s">
        <v>165</v>
      </c>
      <c r="Q15" t="s">
        <v>146</v>
      </c>
      <c r="R15" t="s">
        <v>167</v>
      </c>
      <c r="S15" t="s">
        <v>168</v>
      </c>
      <c r="T15" t="s">
        <v>189</v>
      </c>
      <c r="U15" t="s">
        <v>151</v>
      </c>
      <c r="V15">
        <v>4</v>
      </c>
      <c r="W15" t="s">
        <v>170</v>
      </c>
      <c r="X15" t="s">
        <v>1040</v>
      </c>
      <c r="Y15" t="s">
        <v>153</v>
      </c>
      <c r="Z15" s="53" t="s">
        <v>1041</v>
      </c>
      <c r="AA15">
        <v>1</v>
      </c>
      <c r="AB15"/>
      <c r="AC15" s="41"/>
      <c r="AD15" s="41">
        <v>1</v>
      </c>
      <c r="AE15" s="41"/>
      <c r="AF15" s="41"/>
      <c r="AG15" s="41"/>
      <c r="AH15" s="41"/>
      <c r="AI15" s="41"/>
      <c r="AJ15" s="41"/>
      <c r="AK15" s="41"/>
      <c r="AL15" s="43"/>
      <c r="AM15" s="44"/>
      <c r="AN15" s="43"/>
      <c r="AO15" s="44"/>
      <c r="AP15" s="45"/>
      <c r="AQ15" s="46"/>
      <c r="AR15" s="45"/>
      <c r="AS15" s="46"/>
      <c r="AT15" s="45"/>
      <c r="AU15" s="46"/>
      <c r="AX15" s="47"/>
      <c r="AY15" s="47"/>
      <c r="AZ15" s="48"/>
      <c r="BA15" s="47"/>
      <c r="BB15" s="48"/>
      <c r="BC15" s="47"/>
      <c r="BD15" s="49"/>
      <c r="BE15" s="49"/>
      <c r="BF15" s="49"/>
      <c r="BG15" t="str">
        <f t="shared" si="0"/>
        <v/>
      </c>
      <c r="BH15" s="3" t="str" cm="1">
        <f t="array" ref="BH15">IF(AE15=1, _xlfn.TEXTJOIN(" &amp; ", TRUE, _xlfn._xlws.FILTER($AG$2:$BC$2, AG15:BC15=1)), "")</f>
        <v/>
      </c>
    </row>
    <row r="16" spans="1:60" ht="16.8" customHeight="1" x14ac:dyDescent="0.3">
      <c r="A16" t="s">
        <v>184</v>
      </c>
      <c r="B16" t="s">
        <v>1043</v>
      </c>
      <c r="C16" t="s">
        <v>185</v>
      </c>
      <c r="D16">
        <v>2022</v>
      </c>
      <c r="E16" s="52" t="s">
        <v>1044</v>
      </c>
      <c r="F16">
        <v>2358220</v>
      </c>
      <c r="G16">
        <v>2359230</v>
      </c>
      <c r="H16" t="s">
        <v>1042</v>
      </c>
      <c r="I16" t="s">
        <v>184</v>
      </c>
      <c r="J16" s="51">
        <v>3.9756944444444442E-2</v>
      </c>
      <c r="K16" t="s">
        <v>160</v>
      </c>
      <c r="L16" t="s">
        <v>187</v>
      </c>
      <c r="M16" t="s">
        <v>188</v>
      </c>
      <c r="N16" t="s">
        <v>143</v>
      </c>
      <c r="O16" t="s">
        <v>164</v>
      </c>
      <c r="P16" t="s">
        <v>165</v>
      </c>
      <c r="Q16" t="s">
        <v>337</v>
      </c>
      <c r="R16" t="s">
        <v>167</v>
      </c>
      <c r="S16" t="s">
        <v>168</v>
      </c>
      <c r="T16" t="s">
        <v>169</v>
      </c>
      <c r="U16" t="s">
        <v>171</v>
      </c>
      <c r="V16">
        <v>4</v>
      </c>
      <c r="W16" t="s">
        <v>170</v>
      </c>
      <c r="X16" t="s">
        <v>1045</v>
      </c>
      <c r="Y16" t="s">
        <v>153</v>
      </c>
      <c r="Z16" s="53" t="s">
        <v>1046</v>
      </c>
      <c r="AA16" s="41"/>
      <c r="AB16" s="41"/>
      <c r="AC16" s="41"/>
      <c r="AD16" s="41"/>
      <c r="AE16">
        <v>1</v>
      </c>
      <c r="AF16" s="41"/>
      <c r="AG16" s="41"/>
      <c r="AH16" s="41"/>
      <c r="AI16" s="41"/>
      <c r="AJ16" s="41"/>
      <c r="AK16" s="41"/>
      <c r="AL16" s="43"/>
      <c r="AM16" s="44">
        <v>1</v>
      </c>
      <c r="AN16" s="43"/>
      <c r="AO16" s="44"/>
      <c r="AP16" s="45"/>
      <c r="AQ16" s="46"/>
      <c r="AR16" s="45"/>
      <c r="AS16" s="46"/>
      <c r="AT16" s="45"/>
      <c r="AU16" s="46"/>
      <c r="AX16" s="47"/>
      <c r="AY16" s="47"/>
      <c r="AZ16" s="48"/>
      <c r="BA16" s="47"/>
      <c r="BB16" s="48"/>
      <c r="BC16" s="47"/>
      <c r="BD16" s="49"/>
      <c r="BE16" s="49"/>
      <c r="BF16" s="49"/>
      <c r="BG16" t="str">
        <f t="shared" si="0"/>
        <v>Interazionale</v>
      </c>
      <c r="BH16" s="3" t="str" cm="1">
        <f t="array" ref="BH16">IF(AE16=1, _xlfn.TEXTJOIN(" &amp; ", TRUE, _xlfn._xlws.FILTER($AG$2:$BC$2, AG16:BC16=1)), "")</f>
        <v>Marcatura della conoscenza condivisa</v>
      </c>
    </row>
    <row r="17" spans="1:60" ht="16.8" customHeight="1" x14ac:dyDescent="0.3">
      <c r="A17" t="s">
        <v>1047</v>
      </c>
      <c r="B17" t="s">
        <v>1048</v>
      </c>
      <c r="C17" t="s">
        <v>1049</v>
      </c>
      <c r="D17">
        <v>2020</v>
      </c>
      <c r="E17" s="52" t="s">
        <v>1050</v>
      </c>
      <c r="F17">
        <v>265665</v>
      </c>
      <c r="G17">
        <v>268395</v>
      </c>
      <c r="H17" t="s">
        <v>1051</v>
      </c>
      <c r="I17" t="s">
        <v>1047</v>
      </c>
      <c r="J17" s="51">
        <v>2.0752314814814814E-2</v>
      </c>
      <c r="K17" t="s">
        <v>140</v>
      </c>
      <c r="L17" t="s">
        <v>1052</v>
      </c>
      <c r="M17" t="s">
        <v>1053</v>
      </c>
      <c r="N17" t="s">
        <v>163</v>
      </c>
      <c r="O17" t="s">
        <v>144</v>
      </c>
      <c r="P17" t="s">
        <v>1054</v>
      </c>
      <c r="Q17" t="s">
        <v>166</v>
      </c>
      <c r="R17" t="s">
        <v>147</v>
      </c>
      <c r="S17" t="s">
        <v>148</v>
      </c>
      <c r="T17" t="s">
        <v>603</v>
      </c>
      <c r="U17" t="s">
        <v>229</v>
      </c>
      <c r="V17">
        <v>3</v>
      </c>
      <c r="W17" t="s">
        <v>269</v>
      </c>
      <c r="X17" t="s">
        <v>1055</v>
      </c>
      <c r="Y17" t="s">
        <v>153</v>
      </c>
      <c r="Z17" s="53" t="s">
        <v>1056</v>
      </c>
      <c r="AA17" s="41">
        <v>1</v>
      </c>
      <c r="AB17" s="42">
        <v>1</v>
      </c>
      <c r="AC17" s="41"/>
      <c r="AD17" s="41"/>
      <c r="AE17" s="41"/>
      <c r="AF17" s="41"/>
      <c r="AG17" s="41"/>
      <c r="AH17" s="41"/>
      <c r="AI17" s="41"/>
      <c r="AJ17" s="41"/>
      <c r="AK17" s="41"/>
      <c r="AL17" s="43"/>
      <c r="AM17" s="44"/>
      <c r="AN17" s="43"/>
      <c r="AO17" s="44"/>
      <c r="AP17" s="45"/>
      <c r="AQ17" s="46"/>
      <c r="AR17" s="45"/>
      <c r="AS17" s="46"/>
      <c r="AT17" s="45"/>
      <c r="AU17" s="46"/>
      <c r="AX17" s="47"/>
      <c r="AY17" s="47"/>
      <c r="AZ17" s="48"/>
      <c r="BA17" s="47"/>
      <c r="BB17" s="48"/>
      <c r="BC17" s="47"/>
      <c r="BD17" s="49"/>
      <c r="BE17" s="49"/>
      <c r="BF17" s="49"/>
      <c r="BG17" t="str">
        <f t="shared" si="0"/>
        <v/>
      </c>
      <c r="BH17" s="3" t="str" cm="1">
        <f t="array" ref="BH17">IF(AE17=1, _xlfn.TEXTJOIN(" &amp; ", TRUE, _xlfn._xlws.FILTER($AG$2:$BC$2, AG17:BC17=1)), "")</f>
        <v/>
      </c>
    </row>
    <row r="18" spans="1:60" ht="16.8" customHeight="1" x14ac:dyDescent="0.3">
      <c r="A18" t="s">
        <v>1047</v>
      </c>
      <c r="B18" t="s">
        <v>1057</v>
      </c>
      <c r="C18" t="s">
        <v>1049</v>
      </c>
      <c r="D18">
        <v>2020</v>
      </c>
      <c r="E18" s="52" t="s">
        <v>1058</v>
      </c>
      <c r="F18">
        <v>1447719</v>
      </c>
      <c r="G18">
        <v>1449369</v>
      </c>
      <c r="H18" t="s">
        <v>1051</v>
      </c>
      <c r="I18" t="s">
        <v>1047</v>
      </c>
      <c r="J18" s="51">
        <v>2.0752314814814814E-2</v>
      </c>
      <c r="K18" t="s">
        <v>140</v>
      </c>
      <c r="L18" t="s">
        <v>1052</v>
      </c>
      <c r="M18" t="s">
        <v>1053</v>
      </c>
      <c r="N18" t="s">
        <v>163</v>
      </c>
      <c r="O18" t="s">
        <v>144</v>
      </c>
      <c r="P18" t="s">
        <v>1054</v>
      </c>
      <c r="Q18" t="s">
        <v>166</v>
      </c>
      <c r="R18" t="s">
        <v>147</v>
      </c>
      <c r="S18" t="s">
        <v>148</v>
      </c>
      <c r="T18" t="s">
        <v>603</v>
      </c>
      <c r="U18" t="s">
        <v>229</v>
      </c>
      <c r="V18">
        <v>3</v>
      </c>
      <c r="W18" t="s">
        <v>269</v>
      </c>
      <c r="X18" t="s">
        <v>1059</v>
      </c>
      <c r="Y18" t="s">
        <v>153</v>
      </c>
      <c r="Z18" s="53" t="s">
        <v>1060</v>
      </c>
      <c r="AA18">
        <v>1</v>
      </c>
      <c r="AB18"/>
      <c r="AC18" s="41"/>
      <c r="AD18" s="41">
        <v>1</v>
      </c>
      <c r="AE18" s="41"/>
      <c r="AF18" s="41"/>
      <c r="AG18" s="41"/>
      <c r="AH18" s="41"/>
      <c r="AI18" s="41"/>
      <c r="AJ18" s="41"/>
      <c r="AK18" s="41"/>
      <c r="AL18" s="43"/>
      <c r="AM18" s="44"/>
      <c r="AN18" s="43"/>
      <c r="AO18" s="44"/>
      <c r="AP18" s="45"/>
      <c r="AQ18" s="46"/>
      <c r="AR18" s="45"/>
      <c r="AS18" s="46"/>
      <c r="AT18" s="45"/>
      <c r="AU18" s="46"/>
      <c r="AX18" s="47"/>
      <c r="AY18" s="47"/>
      <c r="AZ18" s="48"/>
      <c r="BA18" s="47"/>
      <c r="BB18" s="48"/>
      <c r="BC18" s="47"/>
      <c r="BD18" s="49"/>
      <c r="BE18" s="49"/>
      <c r="BF18" s="49"/>
      <c r="BG18" t="str">
        <f t="shared" si="0"/>
        <v/>
      </c>
      <c r="BH18" s="3" t="str" cm="1">
        <f t="array" ref="BH18">IF(AE18=1, _xlfn.TEXTJOIN(" &amp; ", TRUE, _xlfn._xlws.FILTER($AG$2:$BC$2, AG18:BC18=1)), "")</f>
        <v/>
      </c>
    </row>
    <row r="19" spans="1:60" ht="16.8" customHeight="1" x14ac:dyDescent="0.3">
      <c r="A19" t="s">
        <v>190</v>
      </c>
      <c r="B19" t="s">
        <v>191</v>
      </c>
      <c r="C19" t="s">
        <v>192</v>
      </c>
      <c r="D19">
        <v>2019</v>
      </c>
      <c r="E19" s="52" t="s">
        <v>193</v>
      </c>
      <c r="F19">
        <v>971219</v>
      </c>
      <c r="G19">
        <v>976063</v>
      </c>
      <c r="H19" t="s">
        <v>194</v>
      </c>
      <c r="I19" t="s">
        <v>190</v>
      </c>
      <c r="J19" s="51">
        <v>6.0879629629629631E-2</v>
      </c>
      <c r="K19" t="s">
        <v>160</v>
      </c>
      <c r="L19" t="s">
        <v>195</v>
      </c>
      <c r="M19" t="s">
        <v>196</v>
      </c>
      <c r="N19" t="s">
        <v>197</v>
      </c>
      <c r="O19" t="s">
        <v>164</v>
      </c>
      <c r="P19" t="s">
        <v>145</v>
      </c>
      <c r="Q19" t="s">
        <v>179</v>
      </c>
      <c r="R19" t="s">
        <v>167</v>
      </c>
      <c r="S19" t="s">
        <v>168</v>
      </c>
      <c r="T19" t="s">
        <v>180</v>
      </c>
      <c r="U19" t="s">
        <v>198</v>
      </c>
      <c r="V19">
        <v>3</v>
      </c>
      <c r="W19" t="s">
        <v>170</v>
      </c>
      <c r="X19" t="s">
        <v>199</v>
      </c>
      <c r="Y19" t="s">
        <v>153</v>
      </c>
      <c r="Z19" s="53" t="s">
        <v>200</v>
      </c>
      <c r="AA19"/>
      <c r="AB19" s="42"/>
      <c r="AC19" s="41"/>
      <c r="AD19" s="41"/>
      <c r="AE19" s="41">
        <v>1</v>
      </c>
      <c r="AF19" s="41"/>
      <c r="AG19" s="41"/>
      <c r="AH19" s="41"/>
      <c r="AI19" s="41"/>
      <c r="AJ19" s="41"/>
      <c r="AK19" s="41"/>
      <c r="AL19" s="43"/>
      <c r="AM19" s="44">
        <v>1</v>
      </c>
      <c r="AN19" s="43"/>
      <c r="AO19" s="44"/>
      <c r="AP19" s="45"/>
      <c r="AQ19" s="46"/>
      <c r="AR19" s="45"/>
      <c r="AS19" s="46"/>
      <c r="AT19" s="45"/>
      <c r="AU19" s="46"/>
      <c r="AX19" s="47"/>
      <c r="AY19" s="47"/>
      <c r="AZ19" s="48"/>
      <c r="BA19" s="47"/>
      <c r="BB19" s="48"/>
      <c r="BC19" s="47"/>
      <c r="BD19" s="49"/>
      <c r="BE19" s="49"/>
      <c r="BF19" s="49"/>
      <c r="BG19" t="str">
        <f t="shared" si="0"/>
        <v>Interazionale</v>
      </c>
      <c r="BH19" s="3" t="str" cm="1">
        <f t="array" ref="BH19">IF(AE19=1, _xlfn.TEXTJOIN(" &amp; ", TRUE, _xlfn._xlws.FILTER($AG$2:$BC$2, AG19:BC19=1)), "")</f>
        <v>Marcatura della conoscenza condivisa</v>
      </c>
    </row>
    <row r="20" spans="1:60" ht="16.8" customHeight="1" x14ac:dyDescent="0.3">
      <c r="A20" t="s">
        <v>201</v>
      </c>
      <c r="B20" t="s">
        <v>1061</v>
      </c>
      <c r="C20" t="s">
        <v>203</v>
      </c>
      <c r="D20" t="s">
        <v>204</v>
      </c>
      <c r="E20" s="52" t="s">
        <v>1062</v>
      </c>
      <c r="F20">
        <v>185748</v>
      </c>
      <c r="G20">
        <v>190573</v>
      </c>
      <c r="H20" t="s">
        <v>206</v>
      </c>
      <c r="I20" t="s">
        <v>201</v>
      </c>
      <c r="J20" s="51">
        <v>2.1828703703703704E-2</v>
      </c>
      <c r="K20" t="s">
        <v>140</v>
      </c>
      <c r="L20" t="s">
        <v>207</v>
      </c>
      <c r="M20" t="s">
        <v>208</v>
      </c>
      <c r="N20" t="s">
        <v>143</v>
      </c>
      <c r="O20" t="s">
        <v>164</v>
      </c>
      <c r="P20" t="s">
        <v>145</v>
      </c>
      <c r="Q20" t="s">
        <v>146</v>
      </c>
      <c r="R20" t="s">
        <v>147</v>
      </c>
      <c r="S20" t="s">
        <v>148</v>
      </c>
      <c r="T20" t="s">
        <v>149</v>
      </c>
      <c r="U20" t="s">
        <v>151</v>
      </c>
      <c r="V20">
        <v>2</v>
      </c>
      <c r="W20" t="s">
        <v>150</v>
      </c>
      <c r="X20" t="s">
        <v>1063</v>
      </c>
      <c r="Y20" t="s">
        <v>153</v>
      </c>
      <c r="Z20" s="53" t="s">
        <v>1064</v>
      </c>
      <c r="AA20" s="41">
        <v>1</v>
      </c>
      <c r="AB20">
        <v>1</v>
      </c>
      <c r="AC20" s="41"/>
      <c r="AD20" s="41"/>
      <c r="AE20" s="41"/>
      <c r="AF20" s="41"/>
      <c r="AG20" s="41"/>
      <c r="AH20" s="41"/>
      <c r="AI20" s="41"/>
      <c r="AJ20" s="41"/>
      <c r="AK20" s="41"/>
      <c r="AL20" s="43"/>
      <c r="AM20" s="44"/>
      <c r="AN20" s="43"/>
      <c r="AO20" s="44"/>
      <c r="AP20" s="45"/>
      <c r="AQ20" s="46"/>
      <c r="AR20" s="45"/>
      <c r="AS20" s="46"/>
      <c r="AT20" s="45"/>
      <c r="AU20" s="46"/>
      <c r="AX20" s="47"/>
      <c r="AY20" s="47"/>
      <c r="AZ20" s="48"/>
      <c r="BA20" s="47"/>
      <c r="BB20" s="48"/>
      <c r="BC20" s="47"/>
      <c r="BD20" s="49"/>
      <c r="BE20" s="49"/>
      <c r="BF20" s="49"/>
      <c r="BG20" t="str">
        <f t="shared" si="0"/>
        <v/>
      </c>
      <c r="BH20" s="3" t="str" cm="1">
        <f t="array" ref="BH20">IF(AE20=1, _xlfn.TEXTJOIN(" &amp; ", TRUE, _xlfn._xlws.FILTER($AG$2:$BC$2, AG20:BC20=1)), "")</f>
        <v/>
      </c>
    </row>
    <row r="21" spans="1:60" ht="16.8" customHeight="1" x14ac:dyDescent="0.3">
      <c r="A21" t="s">
        <v>201</v>
      </c>
      <c r="B21" t="s">
        <v>202</v>
      </c>
      <c r="C21" t="s">
        <v>203</v>
      </c>
      <c r="D21" t="s">
        <v>204</v>
      </c>
      <c r="E21" s="52" t="s">
        <v>205</v>
      </c>
      <c r="F21">
        <v>471513</v>
      </c>
      <c r="G21">
        <v>474393</v>
      </c>
      <c r="H21" t="s">
        <v>206</v>
      </c>
      <c r="I21" t="s">
        <v>201</v>
      </c>
      <c r="J21" s="51">
        <v>2.1828703703703704E-2</v>
      </c>
      <c r="K21" t="s">
        <v>140</v>
      </c>
      <c r="L21" t="s">
        <v>207</v>
      </c>
      <c r="M21" t="s">
        <v>208</v>
      </c>
      <c r="N21" t="s">
        <v>143</v>
      </c>
      <c r="O21" t="s">
        <v>164</v>
      </c>
      <c r="P21" t="s">
        <v>145</v>
      </c>
      <c r="Q21" t="s">
        <v>146</v>
      </c>
      <c r="R21" t="s">
        <v>147</v>
      </c>
      <c r="S21" t="s">
        <v>148</v>
      </c>
      <c r="T21" t="s">
        <v>149</v>
      </c>
      <c r="U21" t="s">
        <v>151</v>
      </c>
      <c r="V21">
        <v>2</v>
      </c>
      <c r="W21" t="s">
        <v>150</v>
      </c>
      <c r="X21" t="s">
        <v>209</v>
      </c>
      <c r="Y21" t="s">
        <v>153</v>
      </c>
      <c r="Z21" s="53" t="s">
        <v>210</v>
      </c>
      <c r="AA21">
        <v>1</v>
      </c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3"/>
      <c r="AM21" s="44"/>
      <c r="AN21" s="43"/>
      <c r="AO21" s="44"/>
      <c r="AP21" s="45"/>
      <c r="AQ21" s="46"/>
      <c r="AR21" s="45"/>
      <c r="AS21" s="46"/>
      <c r="AT21" s="45"/>
      <c r="AU21" s="46"/>
      <c r="AX21" s="47"/>
      <c r="AY21" s="47"/>
      <c r="AZ21" s="48"/>
      <c r="BA21" s="47"/>
      <c r="BB21" s="48"/>
      <c r="BC21" s="47"/>
      <c r="BD21" s="49"/>
      <c r="BE21" s="50"/>
      <c r="BF21" s="49"/>
      <c r="BG21" t="str">
        <f t="shared" si="0"/>
        <v/>
      </c>
      <c r="BH21" s="3" t="str" cm="1">
        <f t="array" ref="BH21">IF(AE21=1, _xlfn.TEXTJOIN(" &amp; ", TRUE, _xlfn._xlws.FILTER($AG$2:$BC$2, AG21:BC21=1)), "")</f>
        <v/>
      </c>
    </row>
    <row r="22" spans="1:60" ht="16.8" customHeight="1" x14ac:dyDescent="0.3">
      <c r="A22" t="s">
        <v>201</v>
      </c>
      <c r="B22" t="s">
        <v>1065</v>
      </c>
      <c r="C22" t="s">
        <v>203</v>
      </c>
      <c r="D22" t="s">
        <v>204</v>
      </c>
      <c r="E22" s="52" t="s">
        <v>1066</v>
      </c>
      <c r="F22">
        <v>723494</v>
      </c>
      <c r="G22">
        <v>724844</v>
      </c>
      <c r="H22" t="s">
        <v>206</v>
      </c>
      <c r="I22" t="s">
        <v>201</v>
      </c>
      <c r="J22" s="51">
        <v>2.1828703703703704E-2</v>
      </c>
      <c r="K22" t="s">
        <v>140</v>
      </c>
      <c r="L22" t="s">
        <v>207</v>
      </c>
      <c r="M22" t="s">
        <v>208</v>
      </c>
      <c r="N22" t="s">
        <v>143</v>
      </c>
      <c r="O22" t="s">
        <v>164</v>
      </c>
      <c r="P22" t="s">
        <v>145</v>
      </c>
      <c r="Q22" t="s">
        <v>146</v>
      </c>
      <c r="R22" t="s">
        <v>147</v>
      </c>
      <c r="S22" t="s">
        <v>148</v>
      </c>
      <c r="T22" t="s">
        <v>149</v>
      </c>
      <c r="U22" t="s">
        <v>151</v>
      </c>
      <c r="V22">
        <v>2</v>
      </c>
      <c r="W22" t="s">
        <v>150</v>
      </c>
      <c r="X22" t="s">
        <v>1067</v>
      </c>
      <c r="Y22" t="s">
        <v>153</v>
      </c>
      <c r="Z22" s="53" t="s">
        <v>1068</v>
      </c>
      <c r="AA22">
        <v>1</v>
      </c>
      <c r="AB22" s="42">
        <v>1</v>
      </c>
      <c r="AC22" s="41"/>
      <c r="AD22" s="41"/>
      <c r="AE22" s="41"/>
      <c r="AF22" s="41"/>
      <c r="AG22" s="41"/>
      <c r="AH22" s="41"/>
      <c r="AI22" s="41"/>
      <c r="AJ22" s="41"/>
      <c r="AK22" s="41"/>
      <c r="AL22" s="43"/>
      <c r="AM22" s="44"/>
      <c r="AN22" s="43"/>
      <c r="AO22" s="44"/>
      <c r="AP22" s="45"/>
      <c r="AQ22" s="46"/>
      <c r="AR22" s="45"/>
      <c r="AS22" s="46"/>
      <c r="AT22" s="45"/>
      <c r="AU22" s="46"/>
      <c r="AX22" s="47"/>
      <c r="AY22" s="47"/>
      <c r="AZ22" s="48"/>
      <c r="BA22" s="47"/>
      <c r="BB22" s="48"/>
      <c r="BC22" s="47"/>
      <c r="BD22" s="49"/>
      <c r="BE22" s="49"/>
      <c r="BF22" s="49"/>
      <c r="BG22" t="str">
        <f t="shared" si="0"/>
        <v/>
      </c>
      <c r="BH22" s="3" t="str" cm="1">
        <f t="array" ref="BH22">IF(AE22=1, _xlfn.TEXTJOIN(" &amp; ", TRUE, _xlfn._xlws.FILTER($AG$2:$BC$2, AG22:BC22=1)), "")</f>
        <v/>
      </c>
    </row>
    <row r="23" spans="1:60" ht="16.8" customHeight="1" x14ac:dyDescent="0.3">
      <c r="A23" t="s">
        <v>201</v>
      </c>
      <c r="B23" t="s">
        <v>1072</v>
      </c>
      <c r="C23" t="s">
        <v>203</v>
      </c>
      <c r="D23" t="s">
        <v>204</v>
      </c>
      <c r="E23" s="52" t="s">
        <v>1069</v>
      </c>
      <c r="F23">
        <v>1387581</v>
      </c>
      <c r="G23">
        <v>1392308</v>
      </c>
      <c r="H23" t="s">
        <v>1070</v>
      </c>
      <c r="I23" t="s">
        <v>201</v>
      </c>
      <c r="J23" s="51">
        <v>2.1828703703703704E-2</v>
      </c>
      <c r="K23" t="s">
        <v>140</v>
      </c>
      <c r="L23" t="s">
        <v>207</v>
      </c>
      <c r="M23" t="s">
        <v>208</v>
      </c>
      <c r="N23" t="s">
        <v>143</v>
      </c>
      <c r="O23" t="s">
        <v>144</v>
      </c>
      <c r="P23" t="s">
        <v>145</v>
      </c>
      <c r="Q23" t="s">
        <v>146</v>
      </c>
      <c r="R23" t="s">
        <v>147</v>
      </c>
      <c r="S23" t="s">
        <v>148</v>
      </c>
      <c r="T23" t="s">
        <v>1071</v>
      </c>
      <c r="U23" t="s">
        <v>151</v>
      </c>
      <c r="V23">
        <v>2</v>
      </c>
      <c r="W23" t="s">
        <v>150</v>
      </c>
      <c r="X23" t="s">
        <v>1073</v>
      </c>
      <c r="Y23" t="s">
        <v>153</v>
      </c>
      <c r="Z23" s="53" t="s">
        <v>1074</v>
      </c>
      <c r="AA23">
        <v>1</v>
      </c>
      <c r="AB23" s="41">
        <v>1</v>
      </c>
      <c r="AC23" s="41"/>
      <c r="AD23" s="41"/>
      <c r="AE23" s="41"/>
      <c r="AF23" s="41"/>
      <c r="AG23" s="41"/>
      <c r="AH23" s="41"/>
      <c r="AI23" s="41"/>
      <c r="AJ23" s="41"/>
      <c r="AK23" s="41"/>
      <c r="AL23" s="43"/>
      <c r="AM23" s="44"/>
      <c r="AN23" s="43"/>
      <c r="AO23" s="44"/>
      <c r="AP23" s="45"/>
      <c r="AQ23" s="46"/>
      <c r="AR23" s="45"/>
      <c r="AS23" s="46"/>
      <c r="AT23" s="45"/>
      <c r="AU23" s="46"/>
      <c r="AX23" s="47"/>
      <c r="AY23" s="47"/>
      <c r="AZ23" s="48"/>
      <c r="BA23" s="47"/>
      <c r="BB23" s="48"/>
      <c r="BC23" s="47"/>
      <c r="BD23" s="49"/>
      <c r="BE23" s="49"/>
      <c r="BF23" s="50"/>
      <c r="BG23" t="str">
        <f t="shared" si="0"/>
        <v/>
      </c>
      <c r="BH23" s="3" t="str" cm="1">
        <f t="array" ref="BH23">IF(AE23=1, _xlfn.TEXTJOIN(" &amp; ", TRUE, _xlfn._xlws.FILTER($AG$2:$BC$2, AG23:BC23=1)), "")</f>
        <v/>
      </c>
    </row>
    <row r="24" spans="1:60" ht="16.8" customHeight="1" x14ac:dyDescent="0.3">
      <c r="A24" t="s">
        <v>211</v>
      </c>
      <c r="B24" t="s">
        <v>1075</v>
      </c>
      <c r="C24" t="s">
        <v>213</v>
      </c>
      <c r="D24">
        <v>2021</v>
      </c>
      <c r="E24" s="52" t="s">
        <v>1076</v>
      </c>
      <c r="F24">
        <v>1085140</v>
      </c>
      <c r="G24">
        <v>1092560</v>
      </c>
      <c r="H24" t="s">
        <v>215</v>
      </c>
      <c r="I24" t="s">
        <v>211</v>
      </c>
      <c r="J24" s="51">
        <v>4.2673611111111114E-2</v>
      </c>
      <c r="K24" t="s">
        <v>160</v>
      </c>
      <c r="L24" t="s">
        <v>216</v>
      </c>
      <c r="M24" t="s">
        <v>217</v>
      </c>
      <c r="N24" t="s">
        <v>178</v>
      </c>
      <c r="O24" t="s">
        <v>144</v>
      </c>
      <c r="P24" t="s">
        <v>165</v>
      </c>
      <c r="Q24" t="s">
        <v>179</v>
      </c>
      <c r="R24" t="s">
        <v>167</v>
      </c>
      <c r="S24" t="s">
        <v>168</v>
      </c>
      <c r="T24" t="s">
        <v>169</v>
      </c>
      <c r="U24" t="s">
        <v>183</v>
      </c>
      <c r="V24">
        <v>2</v>
      </c>
      <c r="W24" t="s">
        <v>170</v>
      </c>
      <c r="X24" t="s">
        <v>1077</v>
      </c>
      <c r="Y24" t="s">
        <v>153</v>
      </c>
      <c r="Z24" s="53" t="s">
        <v>1078</v>
      </c>
      <c r="AA24" s="41"/>
      <c r="AB24" s="42"/>
      <c r="AC24" s="41"/>
      <c r="AD24" s="41"/>
      <c r="AE24" s="41">
        <v>1</v>
      </c>
      <c r="AF24" s="41"/>
      <c r="AG24" s="41"/>
      <c r="AH24" s="41"/>
      <c r="AI24" s="41"/>
      <c r="AJ24" s="41"/>
      <c r="AK24" s="41"/>
      <c r="AL24" s="43"/>
      <c r="AM24" s="44">
        <v>1</v>
      </c>
      <c r="AN24" s="43"/>
      <c r="AO24" s="44"/>
      <c r="AP24" s="45"/>
      <c r="AQ24" s="46"/>
      <c r="AR24" s="45"/>
      <c r="AS24" s="46"/>
      <c r="AT24" s="45"/>
      <c r="AU24" s="46"/>
      <c r="AX24" s="47"/>
      <c r="AY24" s="47"/>
      <c r="AZ24" s="48"/>
      <c r="BA24" s="47"/>
      <c r="BB24" s="48"/>
      <c r="BC24" s="47"/>
      <c r="BD24" s="49"/>
      <c r="BE24" s="49"/>
      <c r="BF24" s="49"/>
      <c r="BG24" t="str">
        <f t="shared" si="0"/>
        <v>Interazionale</v>
      </c>
      <c r="BH24" s="3" t="str" cm="1">
        <f t="array" ref="BH24">IF(AE24=1, _xlfn.TEXTJOIN(" &amp; ", TRUE, _xlfn._xlws.FILTER($AG$2:$BC$2, AG24:BC24=1)), "")</f>
        <v>Marcatura della conoscenza condivisa</v>
      </c>
    </row>
    <row r="25" spans="1:60" ht="16.8" customHeight="1" x14ac:dyDescent="0.3">
      <c r="A25" t="s">
        <v>211</v>
      </c>
      <c r="B25" t="s">
        <v>212</v>
      </c>
      <c r="C25" t="s">
        <v>213</v>
      </c>
      <c r="D25">
        <v>2021</v>
      </c>
      <c r="E25" s="52" t="s">
        <v>214</v>
      </c>
      <c r="F25">
        <v>2925835</v>
      </c>
      <c r="G25">
        <v>2929205</v>
      </c>
      <c r="H25" t="s">
        <v>215</v>
      </c>
      <c r="I25" t="s">
        <v>211</v>
      </c>
      <c r="J25" s="51">
        <v>4.2673611111111114E-2</v>
      </c>
      <c r="K25" t="s">
        <v>160</v>
      </c>
      <c r="L25" t="s">
        <v>216</v>
      </c>
      <c r="M25" t="s">
        <v>217</v>
      </c>
      <c r="N25" t="s">
        <v>178</v>
      </c>
      <c r="O25" t="s">
        <v>144</v>
      </c>
      <c r="P25" t="s">
        <v>165</v>
      </c>
      <c r="Q25" t="s">
        <v>179</v>
      </c>
      <c r="R25" t="s">
        <v>167</v>
      </c>
      <c r="S25" t="s">
        <v>168</v>
      </c>
      <c r="T25" t="s">
        <v>169</v>
      </c>
      <c r="U25" t="s">
        <v>183</v>
      </c>
      <c r="V25">
        <v>2</v>
      </c>
      <c r="W25" t="s">
        <v>170</v>
      </c>
      <c r="X25" t="s">
        <v>218</v>
      </c>
      <c r="Y25" t="s">
        <v>153</v>
      </c>
      <c r="Z25" s="53" t="s">
        <v>219</v>
      </c>
      <c r="AA25" s="41">
        <v>1</v>
      </c>
      <c r="AB25" s="41"/>
      <c r="AC25" s="41">
        <v>1</v>
      </c>
      <c r="AD25" s="41"/>
      <c r="AE25"/>
      <c r="AF25" s="41"/>
      <c r="AG25" s="41"/>
      <c r="AH25" s="41"/>
      <c r="AI25" s="41"/>
      <c r="AJ25" s="41"/>
      <c r="AK25" s="41"/>
      <c r="AL25" s="43"/>
      <c r="AM25" s="44"/>
      <c r="AN25" s="43"/>
      <c r="AO25" s="44"/>
      <c r="AP25" s="45"/>
      <c r="AQ25" s="46"/>
      <c r="AR25" s="45"/>
      <c r="AS25" s="46"/>
      <c r="AT25" s="45"/>
      <c r="AU25" s="46"/>
      <c r="AX25" s="47"/>
      <c r="AY25" s="47"/>
      <c r="AZ25" s="48"/>
      <c r="BA25" s="47"/>
      <c r="BB25" s="48"/>
      <c r="BC25" s="47"/>
      <c r="BD25" s="49"/>
      <c r="BE25" s="49"/>
      <c r="BF25" s="49"/>
      <c r="BG25" t="str">
        <f t="shared" si="0"/>
        <v/>
      </c>
      <c r="BH25" s="3" t="str" cm="1">
        <f t="array" ref="BH25">IF(AE25=1, _xlfn.TEXTJOIN(" &amp; ", TRUE, _xlfn._xlws.FILTER($AG$2:$BC$2, AG25:BC25=1)), "")</f>
        <v/>
      </c>
    </row>
    <row r="26" spans="1:60" ht="16.8" customHeight="1" x14ac:dyDescent="0.3">
      <c r="A26" t="s">
        <v>1079</v>
      </c>
      <c r="B26" t="s">
        <v>1080</v>
      </c>
      <c r="C26" t="s">
        <v>1081</v>
      </c>
      <c r="D26">
        <v>2019</v>
      </c>
      <c r="E26" s="52" t="s">
        <v>1082</v>
      </c>
      <c r="F26">
        <v>248320</v>
      </c>
      <c r="G26">
        <v>254960</v>
      </c>
      <c r="H26" t="s">
        <v>333</v>
      </c>
      <c r="I26" t="s">
        <v>1079</v>
      </c>
      <c r="J26" s="51">
        <v>3.9236111111111112E-3</v>
      </c>
      <c r="K26" t="s">
        <v>160</v>
      </c>
      <c r="L26" t="s">
        <v>1083</v>
      </c>
      <c r="M26" t="s">
        <v>1084</v>
      </c>
      <c r="N26" t="s">
        <v>336</v>
      </c>
      <c r="O26" t="s">
        <v>164</v>
      </c>
      <c r="P26" t="s">
        <v>145</v>
      </c>
      <c r="Q26" t="s">
        <v>337</v>
      </c>
      <c r="R26" t="s">
        <v>167</v>
      </c>
      <c r="S26" t="s">
        <v>168</v>
      </c>
      <c r="T26" t="s">
        <v>149</v>
      </c>
      <c r="U26" t="s">
        <v>171</v>
      </c>
      <c r="V26">
        <v>5</v>
      </c>
      <c r="W26" t="s">
        <v>170</v>
      </c>
      <c r="X26" t="s">
        <v>1085</v>
      </c>
      <c r="Y26" t="s">
        <v>153</v>
      </c>
      <c r="Z26" s="53" t="s">
        <v>1086</v>
      </c>
      <c r="AA26" s="41">
        <v>1</v>
      </c>
      <c r="AB26" s="41">
        <v>1</v>
      </c>
      <c r="AC26" s="41"/>
      <c r="AD26" s="41"/>
      <c r="AE26"/>
      <c r="AF26" s="41"/>
      <c r="AG26" s="41"/>
      <c r="AH26" s="41"/>
      <c r="AI26" s="41"/>
      <c r="AJ26" s="41"/>
      <c r="AK26" s="41"/>
      <c r="AL26" s="43"/>
      <c r="AM26" s="44"/>
      <c r="AN26" s="43"/>
      <c r="AO26" s="44"/>
      <c r="AP26" s="45"/>
      <c r="AQ26" s="46"/>
      <c r="AR26" s="45"/>
      <c r="AS26" s="46"/>
      <c r="AT26" s="45"/>
      <c r="AU26" s="46"/>
      <c r="AX26" s="47"/>
      <c r="AY26" s="47"/>
      <c r="AZ26" s="48"/>
      <c r="BA26" s="47"/>
      <c r="BB26" s="48"/>
      <c r="BC26" s="47"/>
      <c r="BD26" s="49"/>
      <c r="BE26" s="49"/>
      <c r="BF26" s="49"/>
      <c r="BG26" t="str">
        <f t="shared" si="0"/>
        <v/>
      </c>
      <c r="BH26" s="3" t="str" cm="1">
        <f t="array" ref="BH26">IF(AE26=1, _xlfn.TEXTJOIN(" &amp; ", TRUE, _xlfn._xlws.FILTER($AG$2:$BC$2, AG26:BC26=1)), "")</f>
        <v/>
      </c>
    </row>
    <row r="27" spans="1:60" ht="16.8" customHeight="1" x14ac:dyDescent="0.3">
      <c r="A27" t="s">
        <v>1079</v>
      </c>
      <c r="B27" t="s">
        <v>1087</v>
      </c>
      <c r="C27" t="s">
        <v>1081</v>
      </c>
      <c r="D27">
        <v>2019</v>
      </c>
      <c r="E27" s="52" t="s">
        <v>1082</v>
      </c>
      <c r="F27">
        <v>248320</v>
      </c>
      <c r="G27">
        <v>254960</v>
      </c>
      <c r="H27" t="s">
        <v>333</v>
      </c>
      <c r="I27" t="s">
        <v>1079</v>
      </c>
      <c r="J27" s="51">
        <v>3.9236111111111112E-3</v>
      </c>
      <c r="K27" t="s">
        <v>160</v>
      </c>
      <c r="L27" t="s">
        <v>1083</v>
      </c>
      <c r="M27" t="s">
        <v>1084</v>
      </c>
      <c r="N27" t="s">
        <v>336</v>
      </c>
      <c r="O27" t="s">
        <v>164</v>
      </c>
      <c r="P27" t="s">
        <v>145</v>
      </c>
      <c r="Q27" t="s">
        <v>337</v>
      </c>
      <c r="R27" t="s">
        <v>167</v>
      </c>
      <c r="S27" t="s">
        <v>168</v>
      </c>
      <c r="T27" t="s">
        <v>149</v>
      </c>
      <c r="U27" t="s">
        <v>171</v>
      </c>
      <c r="V27">
        <v>5</v>
      </c>
      <c r="W27" t="s">
        <v>170</v>
      </c>
      <c r="X27" t="s">
        <v>1088</v>
      </c>
      <c r="Y27" t="s">
        <v>153</v>
      </c>
      <c r="Z27" s="53" t="s">
        <v>1089</v>
      </c>
      <c r="AA27" s="41">
        <v>1</v>
      </c>
      <c r="AB27" s="41">
        <v>1</v>
      </c>
      <c r="AC27" s="41"/>
      <c r="AD27" s="41"/>
      <c r="AE27" s="41"/>
      <c r="AF27" s="41"/>
      <c r="AG27" s="41"/>
      <c r="AH27" s="41"/>
      <c r="AI27" s="41"/>
      <c r="AJ27" s="41"/>
      <c r="AK27" s="41"/>
      <c r="AL27" s="43"/>
      <c r="AM27" s="44"/>
      <c r="AN27" s="43"/>
      <c r="AO27" s="44"/>
      <c r="AP27" s="45"/>
      <c r="AQ27" s="46"/>
      <c r="AR27" s="45"/>
      <c r="AS27" s="46"/>
      <c r="AT27" s="45"/>
      <c r="AU27" s="46"/>
      <c r="AX27" s="47"/>
      <c r="AY27" s="47"/>
      <c r="AZ27" s="48"/>
      <c r="BA27" s="47"/>
      <c r="BB27" s="48"/>
      <c r="BC27" s="47"/>
      <c r="BD27" s="49"/>
      <c r="BE27" s="49"/>
      <c r="BF27" s="49"/>
      <c r="BG27" t="str">
        <f t="shared" si="0"/>
        <v/>
      </c>
      <c r="BH27" s="3" t="str" cm="1">
        <f t="array" ref="BH27">IF(AE27=1, _xlfn.TEXTJOIN(" &amp; ", TRUE, _xlfn._xlws.FILTER($AG$2:$BC$2, AG27:BC27=1)), "")</f>
        <v/>
      </c>
    </row>
    <row r="28" spans="1:60" ht="16.8" customHeight="1" x14ac:dyDescent="0.3">
      <c r="A28" t="s">
        <v>220</v>
      </c>
      <c r="B28" t="s">
        <v>221</v>
      </c>
      <c r="C28" t="s">
        <v>222</v>
      </c>
      <c r="D28">
        <v>2024</v>
      </c>
      <c r="E28" s="52" t="s">
        <v>223</v>
      </c>
      <c r="F28">
        <v>51330</v>
      </c>
      <c r="G28">
        <v>59006</v>
      </c>
      <c r="H28" t="s">
        <v>224</v>
      </c>
      <c r="I28" t="s">
        <v>220</v>
      </c>
      <c r="J28" s="51">
        <v>3.3738425925925929E-2</v>
      </c>
      <c r="K28" t="s">
        <v>160</v>
      </c>
      <c r="L28" t="s">
        <v>225</v>
      </c>
      <c r="M28" t="s">
        <v>226</v>
      </c>
      <c r="N28" t="s">
        <v>227</v>
      </c>
      <c r="O28" t="s">
        <v>164</v>
      </c>
      <c r="P28" t="s">
        <v>165</v>
      </c>
      <c r="Q28" t="s">
        <v>228</v>
      </c>
      <c r="R28" t="s">
        <v>167</v>
      </c>
      <c r="S28" t="s">
        <v>168</v>
      </c>
      <c r="T28" t="s">
        <v>169</v>
      </c>
      <c r="U28" t="s">
        <v>229</v>
      </c>
      <c r="V28">
        <v>2</v>
      </c>
      <c r="W28" t="s">
        <v>170</v>
      </c>
      <c r="X28" t="s">
        <v>230</v>
      </c>
      <c r="Y28" t="s">
        <v>153</v>
      </c>
      <c r="Z28" s="53" t="s">
        <v>231</v>
      </c>
      <c r="AA28" s="41"/>
      <c r="AB28" s="41"/>
      <c r="AC28" s="41"/>
      <c r="AD28" s="41"/>
      <c r="AE28">
        <v>1</v>
      </c>
      <c r="AF28" s="41">
        <v>1</v>
      </c>
      <c r="AG28" s="41"/>
      <c r="AH28">
        <v>1</v>
      </c>
      <c r="AI28" s="41"/>
      <c r="AJ28" s="41"/>
      <c r="AK28" s="41"/>
      <c r="AL28" s="43"/>
      <c r="AM28" s="44">
        <v>1</v>
      </c>
      <c r="AN28" s="43"/>
      <c r="AO28" s="44"/>
      <c r="AP28" s="45"/>
      <c r="AQ28" s="46"/>
      <c r="AR28" s="45"/>
      <c r="AS28" s="46"/>
      <c r="AT28" s="45"/>
      <c r="AU28" s="46"/>
      <c r="AX28" s="47"/>
      <c r="AY28" s="47"/>
      <c r="AZ28" s="48"/>
      <c r="BA28" s="47"/>
      <c r="BB28" s="48"/>
      <c r="BC28" s="47"/>
      <c r="BD28" s="49">
        <v>1</v>
      </c>
      <c r="BE28" s="49"/>
      <c r="BF28" s="49"/>
      <c r="BG28" t="str">
        <f t="shared" si="0"/>
        <v>Interazionale</v>
      </c>
      <c r="BH28" s="3" t="str" cm="1">
        <f t="array" ref="BH28">IF(AE28=1, _xlfn.TEXTJOIN(" &amp; ", TRUE, _xlfn._xlws.FILTER($AG$2:$BC$2, AG28:BC28=1)), "")</f>
        <v>Richiesta di accordo/conferma &amp; Marcatura della conoscenza condivisa</v>
      </c>
    </row>
    <row r="29" spans="1:60" ht="16.8" customHeight="1" x14ac:dyDescent="0.3">
      <c r="A29" t="s">
        <v>220</v>
      </c>
      <c r="B29" t="s">
        <v>1090</v>
      </c>
      <c r="C29" t="s">
        <v>222</v>
      </c>
      <c r="D29">
        <v>2024</v>
      </c>
      <c r="E29" s="52" t="s">
        <v>1091</v>
      </c>
      <c r="F29">
        <v>536459</v>
      </c>
      <c r="G29">
        <v>538308</v>
      </c>
      <c r="H29" t="s">
        <v>1092</v>
      </c>
      <c r="I29" t="s">
        <v>220</v>
      </c>
      <c r="J29" s="51">
        <v>3.3738425925925929E-2</v>
      </c>
      <c r="K29" t="s">
        <v>160</v>
      </c>
      <c r="L29" t="s">
        <v>225</v>
      </c>
      <c r="M29" t="s">
        <v>226</v>
      </c>
      <c r="N29" t="s">
        <v>143</v>
      </c>
      <c r="O29" t="s">
        <v>144</v>
      </c>
      <c r="P29" t="s">
        <v>165</v>
      </c>
      <c r="Q29" t="s">
        <v>146</v>
      </c>
      <c r="R29" t="s">
        <v>167</v>
      </c>
      <c r="S29" t="s">
        <v>168</v>
      </c>
      <c r="T29" t="s">
        <v>169</v>
      </c>
      <c r="U29" t="s">
        <v>151</v>
      </c>
      <c r="V29">
        <v>2</v>
      </c>
      <c r="W29" t="s">
        <v>170</v>
      </c>
      <c r="X29" t="s">
        <v>1093</v>
      </c>
      <c r="Y29" t="s">
        <v>153</v>
      </c>
      <c r="Z29" s="53" t="s">
        <v>1094</v>
      </c>
      <c r="AA29" s="41">
        <v>1</v>
      </c>
      <c r="AB29" s="41">
        <v>1</v>
      </c>
      <c r="AC29" s="41"/>
      <c r="AD29" s="41"/>
      <c r="AE29" s="41"/>
      <c r="AF29" s="41"/>
      <c r="AG29" s="41"/>
      <c r="AH29" s="41"/>
      <c r="AI29" s="41"/>
      <c r="AJ29" s="41"/>
      <c r="AK29" s="41"/>
      <c r="AL29" s="43"/>
      <c r="AM29" s="44"/>
      <c r="AN29" s="43"/>
      <c r="AO29" s="44"/>
      <c r="AP29" s="45"/>
      <c r="AQ29" s="46"/>
      <c r="AR29" s="45"/>
      <c r="AS29" s="46"/>
      <c r="AT29" s="45"/>
      <c r="AU29" s="46"/>
      <c r="AX29" s="47"/>
      <c r="AY29" s="47"/>
      <c r="AZ29" s="48"/>
      <c r="BA29" s="47"/>
      <c r="BB29" s="48"/>
      <c r="BC29" s="47"/>
      <c r="BD29" s="49"/>
      <c r="BE29" s="49"/>
      <c r="BF29" s="49"/>
      <c r="BG29" t="str">
        <f t="shared" si="0"/>
        <v/>
      </c>
      <c r="BH29" s="3" t="str" cm="1">
        <f t="array" ref="BH29">IF(AE29=1, _xlfn.TEXTJOIN(" &amp; ", TRUE, _xlfn._xlws.FILTER($AG$2:$BC$2, AG29:BC29=1)), "")</f>
        <v/>
      </c>
    </row>
    <row r="30" spans="1:60" ht="16.8" customHeight="1" x14ac:dyDescent="0.3">
      <c r="A30" t="s">
        <v>220</v>
      </c>
      <c r="B30" t="s">
        <v>232</v>
      </c>
      <c r="C30" t="s">
        <v>222</v>
      </c>
      <c r="D30">
        <v>2024</v>
      </c>
      <c r="E30" s="52" t="s">
        <v>233</v>
      </c>
      <c r="F30">
        <v>974939</v>
      </c>
      <c r="G30">
        <v>979573</v>
      </c>
      <c r="H30" t="s">
        <v>224</v>
      </c>
      <c r="I30" t="s">
        <v>220</v>
      </c>
      <c r="J30" s="51">
        <v>3.3738425925925929E-2</v>
      </c>
      <c r="K30" t="s">
        <v>160</v>
      </c>
      <c r="L30" t="s">
        <v>225</v>
      </c>
      <c r="M30" t="s">
        <v>226</v>
      </c>
      <c r="N30" t="s">
        <v>227</v>
      </c>
      <c r="O30" t="s">
        <v>164</v>
      </c>
      <c r="P30" t="s">
        <v>165</v>
      </c>
      <c r="Q30" t="s">
        <v>228</v>
      </c>
      <c r="R30" t="s">
        <v>167</v>
      </c>
      <c r="S30" t="s">
        <v>168</v>
      </c>
      <c r="T30" t="s">
        <v>169</v>
      </c>
      <c r="U30" t="s">
        <v>229</v>
      </c>
      <c r="V30">
        <v>2</v>
      </c>
      <c r="W30" t="s">
        <v>170</v>
      </c>
      <c r="X30" t="s">
        <v>234</v>
      </c>
      <c r="Y30" t="s">
        <v>153</v>
      </c>
      <c r="Z30" s="53" t="s">
        <v>235</v>
      </c>
      <c r="AA30" s="41">
        <v>1</v>
      </c>
      <c r="AB30" s="41">
        <v>1</v>
      </c>
      <c r="AC30" s="41"/>
      <c r="AD30" s="41"/>
      <c r="AE30"/>
      <c r="AF30" s="41"/>
      <c r="AG30" s="41"/>
      <c r="AH30" s="41"/>
      <c r="AI30" s="41"/>
      <c r="AJ30" s="41"/>
      <c r="AK30" s="41"/>
      <c r="AL30" s="43"/>
      <c r="AM30" s="44"/>
      <c r="AN30" s="43"/>
      <c r="AO30" s="44"/>
      <c r="AP30" s="45"/>
      <c r="AQ30" s="46"/>
      <c r="AR30" s="45"/>
      <c r="AS30" s="46"/>
      <c r="AT30" s="45"/>
      <c r="AU30" s="46"/>
      <c r="AX30" s="47"/>
      <c r="AY30" s="47"/>
      <c r="AZ30" s="48"/>
      <c r="BA30" s="47"/>
      <c r="BB30" s="48"/>
      <c r="BC30" s="47"/>
      <c r="BD30" s="49"/>
      <c r="BE30" s="49"/>
      <c r="BF30" s="49"/>
      <c r="BG30" t="str">
        <f t="shared" si="0"/>
        <v/>
      </c>
      <c r="BH30" s="3" t="str" cm="1">
        <f t="array" ref="BH30">IF(AE30=1, _xlfn.TEXTJOIN(" &amp; ", TRUE, _xlfn._xlws.FILTER($AG$2:$BC$2, AG30:BC30=1)), "")</f>
        <v/>
      </c>
    </row>
    <row r="31" spans="1:60" ht="16.8" customHeight="1" x14ac:dyDescent="0.3">
      <c r="A31" t="s">
        <v>220</v>
      </c>
      <c r="B31" t="s">
        <v>1095</v>
      </c>
      <c r="C31" t="s">
        <v>222</v>
      </c>
      <c r="D31">
        <v>2024</v>
      </c>
      <c r="E31" s="52" t="s">
        <v>1096</v>
      </c>
      <c r="F31">
        <v>1029134</v>
      </c>
      <c r="G31">
        <v>1032246</v>
      </c>
      <c r="H31" t="s">
        <v>224</v>
      </c>
      <c r="I31" t="s">
        <v>220</v>
      </c>
      <c r="J31" s="51">
        <v>3.3738425925925929E-2</v>
      </c>
      <c r="K31" t="s">
        <v>160</v>
      </c>
      <c r="L31" t="s">
        <v>225</v>
      </c>
      <c r="M31" t="s">
        <v>226</v>
      </c>
      <c r="N31" t="s">
        <v>227</v>
      </c>
      <c r="O31" t="s">
        <v>164</v>
      </c>
      <c r="P31" t="s">
        <v>165</v>
      </c>
      <c r="Q31" t="s">
        <v>228</v>
      </c>
      <c r="R31" t="s">
        <v>167</v>
      </c>
      <c r="S31" t="s">
        <v>168</v>
      </c>
      <c r="T31" t="s">
        <v>169</v>
      </c>
      <c r="U31" t="s">
        <v>229</v>
      </c>
      <c r="V31">
        <v>2</v>
      </c>
      <c r="W31" t="s">
        <v>170</v>
      </c>
      <c r="X31" t="s">
        <v>1097</v>
      </c>
      <c r="Y31" t="s">
        <v>153</v>
      </c>
      <c r="Z31" s="53" t="s">
        <v>1098</v>
      </c>
      <c r="AA31" s="41">
        <v>1</v>
      </c>
      <c r="AB31" s="41"/>
      <c r="AC31" s="41">
        <v>1</v>
      </c>
      <c r="AD31" s="41"/>
      <c r="AE31"/>
      <c r="AF31" s="41"/>
      <c r="AG31" s="41"/>
      <c r="AH31" s="41"/>
      <c r="AI31" s="41"/>
      <c r="AJ31" s="41"/>
      <c r="AK31" s="41"/>
      <c r="AL31" s="43"/>
      <c r="AM31" s="44"/>
      <c r="AN31" s="43"/>
      <c r="AO31" s="44"/>
      <c r="AP31" s="45"/>
      <c r="AQ31" s="46"/>
      <c r="AR31" s="45"/>
      <c r="AS31" s="46"/>
      <c r="AT31" s="45"/>
      <c r="AU31" s="46"/>
      <c r="AX31" s="47"/>
      <c r="AY31" s="47"/>
      <c r="AZ31" s="48"/>
      <c r="BA31" s="47"/>
      <c r="BB31" s="48"/>
      <c r="BC31" s="47"/>
      <c r="BD31" s="49"/>
      <c r="BE31" s="49"/>
      <c r="BF31" s="49"/>
      <c r="BG31" t="str">
        <f t="shared" si="0"/>
        <v/>
      </c>
      <c r="BH31" s="3" t="str" cm="1">
        <f t="array" ref="BH31">IF(AE31=1, _xlfn.TEXTJOIN(" &amp; ", TRUE, _xlfn._xlws.FILTER($AG$2:$BC$2, AG31:BC31=1)), "")</f>
        <v/>
      </c>
    </row>
    <row r="32" spans="1:60" ht="16.8" customHeight="1" x14ac:dyDescent="0.3">
      <c r="A32" t="s">
        <v>220</v>
      </c>
      <c r="B32" t="s">
        <v>1099</v>
      </c>
      <c r="C32" t="s">
        <v>222</v>
      </c>
      <c r="D32">
        <v>2024</v>
      </c>
      <c r="E32" s="52" t="s">
        <v>1100</v>
      </c>
      <c r="F32">
        <v>1275371</v>
      </c>
      <c r="G32">
        <v>1283413</v>
      </c>
      <c r="H32" t="s">
        <v>224</v>
      </c>
      <c r="I32" t="s">
        <v>220</v>
      </c>
      <c r="J32" s="51">
        <v>3.3738425925925929E-2</v>
      </c>
      <c r="K32" t="s">
        <v>160</v>
      </c>
      <c r="L32" t="s">
        <v>225</v>
      </c>
      <c r="M32" t="s">
        <v>226</v>
      </c>
      <c r="N32" t="s">
        <v>227</v>
      </c>
      <c r="O32" t="s">
        <v>164</v>
      </c>
      <c r="P32" t="s">
        <v>165</v>
      </c>
      <c r="Q32" t="s">
        <v>228</v>
      </c>
      <c r="R32" t="s">
        <v>167</v>
      </c>
      <c r="S32" t="s">
        <v>168</v>
      </c>
      <c r="T32" t="s">
        <v>169</v>
      </c>
      <c r="U32" t="s">
        <v>229</v>
      </c>
      <c r="V32">
        <v>2</v>
      </c>
      <c r="W32" t="s">
        <v>170</v>
      </c>
      <c r="X32" t="s">
        <v>1101</v>
      </c>
      <c r="Y32" t="s">
        <v>153</v>
      </c>
      <c r="Z32" s="53" t="s">
        <v>1102</v>
      </c>
      <c r="AA32" s="41"/>
      <c r="AB32" s="41"/>
      <c r="AC32" s="41"/>
      <c r="AD32" s="41"/>
      <c r="AE32" s="41">
        <v>1</v>
      </c>
      <c r="AF32" s="41"/>
      <c r="AG32" s="41"/>
      <c r="AH32" s="41"/>
      <c r="AI32" s="41"/>
      <c r="AJ32" s="41"/>
      <c r="AK32" s="41"/>
      <c r="AL32" s="43"/>
      <c r="AM32" s="44">
        <v>1</v>
      </c>
      <c r="AN32" s="43"/>
      <c r="AO32" s="44"/>
      <c r="AP32" s="45"/>
      <c r="AQ32" s="46"/>
      <c r="AR32" s="45"/>
      <c r="AS32" s="46"/>
      <c r="AT32" s="45"/>
      <c r="AU32" s="46">
        <v>1</v>
      </c>
      <c r="AX32" s="47"/>
      <c r="AY32" s="47"/>
      <c r="AZ32" s="48"/>
      <c r="BA32" s="47"/>
      <c r="BB32" s="48">
        <v>1</v>
      </c>
      <c r="BC32" s="47"/>
      <c r="BD32" s="49">
        <v>1</v>
      </c>
      <c r="BE32" s="49"/>
      <c r="BF32" s="49"/>
      <c r="BG32" t="str">
        <f t="shared" si="0"/>
        <v>Interazionale &amp; Metatestuale &amp; Cognitiva</v>
      </c>
      <c r="BH32" s="3" t="str" cm="1">
        <f t="array" ref="BH32">IF(AE32=1, _xlfn.TEXTJOIN(" &amp; ", TRUE, _xlfn._xlws.FILTER($AG$2:$BC$2, AG32:BC32=1)), "")</f>
        <v>Marcatura della conoscenza condivisa &amp; Esemplificazione &amp; Attenuazione</v>
      </c>
    </row>
    <row r="33" spans="1:60" ht="16.8" customHeight="1" x14ac:dyDescent="0.3">
      <c r="A33" t="s">
        <v>220</v>
      </c>
      <c r="B33" t="s">
        <v>1103</v>
      </c>
      <c r="C33" t="s">
        <v>222</v>
      </c>
      <c r="D33">
        <v>2024</v>
      </c>
      <c r="E33" s="52" t="s">
        <v>1104</v>
      </c>
      <c r="F33">
        <v>1471313</v>
      </c>
      <c r="G33">
        <v>1471578</v>
      </c>
      <c r="H33" t="s">
        <v>224</v>
      </c>
      <c r="I33" t="s">
        <v>220</v>
      </c>
      <c r="J33" s="51">
        <v>3.3738425925925929E-2</v>
      </c>
      <c r="K33" t="s">
        <v>160</v>
      </c>
      <c r="L33" t="s">
        <v>225</v>
      </c>
      <c r="M33" t="s">
        <v>226</v>
      </c>
      <c r="N33" t="s">
        <v>227</v>
      </c>
      <c r="O33" t="s">
        <v>164</v>
      </c>
      <c r="P33" t="s">
        <v>165</v>
      </c>
      <c r="Q33" t="s">
        <v>228</v>
      </c>
      <c r="R33" t="s">
        <v>167</v>
      </c>
      <c r="S33" t="s">
        <v>168</v>
      </c>
      <c r="T33" t="s">
        <v>169</v>
      </c>
      <c r="U33" t="s">
        <v>229</v>
      </c>
      <c r="V33">
        <v>2</v>
      </c>
      <c r="W33" t="s">
        <v>170</v>
      </c>
      <c r="X33" t="s">
        <v>1105</v>
      </c>
      <c r="Y33" t="s">
        <v>153</v>
      </c>
      <c r="Z33" s="53" t="s">
        <v>1106</v>
      </c>
      <c r="AA33" s="41">
        <v>1</v>
      </c>
      <c r="AB33" s="41">
        <v>1</v>
      </c>
      <c r="AC33" s="41"/>
      <c r="AD33" s="41"/>
      <c r="AE33"/>
      <c r="AF33" s="41"/>
      <c r="AG33" s="41"/>
      <c r="AH33" s="41"/>
      <c r="AI33" s="41"/>
      <c r="AJ33" s="41"/>
      <c r="AK33" s="41"/>
      <c r="AL33" s="43"/>
      <c r="AM33" s="44">
        <v>1</v>
      </c>
      <c r="AN33" s="43"/>
      <c r="AO33" s="44"/>
      <c r="AP33" s="45"/>
      <c r="AQ33" s="46"/>
      <c r="AR33" s="45"/>
      <c r="AS33" s="46"/>
      <c r="AT33" s="45"/>
      <c r="AU33" s="46"/>
      <c r="AX33" s="47"/>
      <c r="AY33" s="47"/>
      <c r="AZ33" s="48"/>
      <c r="BA33" s="47"/>
      <c r="BB33" s="48"/>
      <c r="BC33" s="47"/>
      <c r="BD33" s="49">
        <v>1</v>
      </c>
      <c r="BE33" s="49"/>
      <c r="BF33" s="49"/>
      <c r="BG33" t="str">
        <f t="shared" si="0"/>
        <v/>
      </c>
      <c r="BH33" s="3" t="str" cm="1">
        <f t="array" ref="BH33">IF(AE33=1, _xlfn.TEXTJOIN(" &amp; ", TRUE, _xlfn._xlws.FILTER($AG$2:$BC$2, AG33:BC33=1)), "")</f>
        <v/>
      </c>
    </row>
    <row r="34" spans="1:60" ht="16.8" customHeight="1" x14ac:dyDescent="0.3">
      <c r="A34" t="s">
        <v>220</v>
      </c>
      <c r="B34" t="s">
        <v>1107</v>
      </c>
      <c r="C34" t="s">
        <v>222</v>
      </c>
      <c r="D34">
        <v>2024</v>
      </c>
      <c r="E34" s="52" t="s">
        <v>1108</v>
      </c>
      <c r="F34">
        <v>1531880</v>
      </c>
      <c r="G34">
        <v>1535540</v>
      </c>
      <c r="H34" t="s">
        <v>224</v>
      </c>
      <c r="I34" t="s">
        <v>220</v>
      </c>
      <c r="J34" s="51">
        <v>3.3738425925925929E-2</v>
      </c>
      <c r="K34" t="s">
        <v>160</v>
      </c>
      <c r="L34" t="s">
        <v>225</v>
      </c>
      <c r="M34" t="s">
        <v>226</v>
      </c>
      <c r="N34" t="s">
        <v>227</v>
      </c>
      <c r="O34" t="s">
        <v>164</v>
      </c>
      <c r="P34" t="s">
        <v>165</v>
      </c>
      <c r="Q34" t="s">
        <v>228</v>
      </c>
      <c r="R34" t="s">
        <v>167</v>
      </c>
      <c r="S34" t="s">
        <v>168</v>
      </c>
      <c r="T34" t="s">
        <v>169</v>
      </c>
      <c r="U34" t="s">
        <v>229</v>
      </c>
      <c r="V34">
        <v>2</v>
      </c>
      <c r="W34" t="s">
        <v>170</v>
      </c>
      <c r="X34" t="s">
        <v>1109</v>
      </c>
      <c r="Y34" t="s">
        <v>153</v>
      </c>
      <c r="Z34" s="53" t="s">
        <v>1110</v>
      </c>
      <c r="AA34" s="41"/>
      <c r="AB34" s="42"/>
      <c r="AC34" s="41"/>
      <c r="AD34" s="41"/>
      <c r="AE34">
        <v>1</v>
      </c>
      <c r="AF34" s="41"/>
      <c r="AG34" s="41"/>
      <c r="AH34" s="41"/>
      <c r="AI34" s="41"/>
      <c r="AJ34" s="41"/>
      <c r="AK34" s="41"/>
      <c r="AL34" s="43"/>
      <c r="AM34" s="44">
        <v>1</v>
      </c>
      <c r="AN34" s="43"/>
      <c r="AO34" s="44"/>
      <c r="AP34" s="45"/>
      <c r="AQ34" s="46"/>
      <c r="AR34" s="45"/>
      <c r="AS34" s="46"/>
      <c r="AT34" s="45">
        <v>1</v>
      </c>
      <c r="AU34" s="46"/>
      <c r="AX34" s="47"/>
      <c r="AY34" s="47"/>
      <c r="AZ34" s="48"/>
      <c r="BA34" s="47"/>
      <c r="BB34" s="48"/>
      <c r="BC34" s="47"/>
      <c r="BD34" s="49">
        <v>1</v>
      </c>
      <c r="BE34" s="49"/>
      <c r="BF34" s="49"/>
      <c r="BG34" t="str">
        <f t="shared" si="0"/>
        <v>Interazionale &amp; Metatestuale</v>
      </c>
      <c r="BH34" s="3" t="str" cm="1">
        <f t="array" ref="BH34">IF(AE34=1, _xlfn.TEXTJOIN(" &amp; ", TRUE, _xlfn._xlws.FILTER($AG$2:$BC$2, AG34:BC34=1)), "")</f>
        <v>Marcatura della conoscenza condivisa &amp; Marcatura di citazione/discorso riportato</v>
      </c>
    </row>
    <row r="35" spans="1:60" ht="16.8" customHeight="1" x14ac:dyDescent="0.3">
      <c r="A35" t="s">
        <v>220</v>
      </c>
      <c r="B35" t="s">
        <v>1111</v>
      </c>
      <c r="C35" t="s">
        <v>222</v>
      </c>
      <c r="D35">
        <v>2024</v>
      </c>
      <c r="E35" s="52" t="s">
        <v>1112</v>
      </c>
      <c r="F35">
        <v>1984767</v>
      </c>
      <c r="G35">
        <v>1986558</v>
      </c>
      <c r="H35" t="s">
        <v>224</v>
      </c>
      <c r="I35" t="s">
        <v>220</v>
      </c>
      <c r="J35" s="51">
        <v>3.3738425925925929E-2</v>
      </c>
      <c r="K35" t="s">
        <v>160</v>
      </c>
      <c r="L35" t="s">
        <v>225</v>
      </c>
      <c r="M35" t="s">
        <v>226</v>
      </c>
      <c r="N35" t="s">
        <v>227</v>
      </c>
      <c r="O35" t="s">
        <v>164</v>
      </c>
      <c r="P35" t="s">
        <v>165</v>
      </c>
      <c r="Q35" t="s">
        <v>228</v>
      </c>
      <c r="R35" t="s">
        <v>167</v>
      </c>
      <c r="S35" t="s">
        <v>168</v>
      </c>
      <c r="T35" t="s">
        <v>169</v>
      </c>
      <c r="U35" t="s">
        <v>229</v>
      </c>
      <c r="V35">
        <v>2</v>
      </c>
      <c r="W35" t="s">
        <v>170</v>
      </c>
      <c r="X35" t="s">
        <v>1113</v>
      </c>
      <c r="Y35" t="s">
        <v>153</v>
      </c>
      <c r="Z35" s="53" t="s">
        <v>1114</v>
      </c>
      <c r="AA35" s="42"/>
      <c r="AB35" s="41"/>
      <c r="AC35" s="41"/>
      <c r="AD35" s="41"/>
      <c r="AE35">
        <v>1</v>
      </c>
      <c r="AF35" s="41">
        <v>1</v>
      </c>
      <c r="AG35" s="41"/>
      <c r="AH35" s="41"/>
      <c r="AI35" s="41"/>
      <c r="AJ35" s="41"/>
      <c r="AK35" s="41"/>
      <c r="AL35" s="43"/>
      <c r="AM35" s="44"/>
      <c r="AN35" s="43"/>
      <c r="AO35" s="44"/>
      <c r="AP35" s="45"/>
      <c r="AQ35" s="46"/>
      <c r="AR35" s="45"/>
      <c r="AS35" s="46"/>
      <c r="AT35" s="45"/>
      <c r="AU35" s="46"/>
      <c r="AV35" s="9">
        <v>1</v>
      </c>
      <c r="AX35" s="47"/>
      <c r="AY35" s="47"/>
      <c r="AZ35" s="48"/>
      <c r="BA35" s="47"/>
      <c r="BB35" s="48">
        <v>1</v>
      </c>
      <c r="BC35" s="47"/>
      <c r="BD35" s="49">
        <v>1</v>
      </c>
      <c r="BE35" s="49"/>
      <c r="BF35" s="49"/>
      <c r="BG35" t="str">
        <f t="shared" si="0"/>
        <v>Metatestuale &amp; Cognitiva</v>
      </c>
      <c r="BH35" s="3" t="str" cm="1">
        <f t="array" ref="BH35">IF(AE35=1, _xlfn.TEXTJOIN(" &amp; ", TRUE, _xlfn._xlws.FILTER($AG$2:$BC$2, AG35:BC35=1)), "")</f>
        <v>Filler, riempimento dei tempi di formulazione &amp; Attenuazione</v>
      </c>
    </row>
    <row r="36" spans="1:60" ht="16.8" customHeight="1" x14ac:dyDescent="0.3">
      <c r="A36" t="s">
        <v>220</v>
      </c>
      <c r="B36" t="s">
        <v>1115</v>
      </c>
      <c r="C36" t="s">
        <v>222</v>
      </c>
      <c r="D36">
        <v>2024</v>
      </c>
      <c r="E36" s="52" t="s">
        <v>1116</v>
      </c>
      <c r="F36">
        <v>1987756</v>
      </c>
      <c r="G36">
        <v>1993594</v>
      </c>
      <c r="H36" t="s">
        <v>224</v>
      </c>
      <c r="I36" t="s">
        <v>220</v>
      </c>
      <c r="J36" s="51">
        <v>3.3738425925925929E-2</v>
      </c>
      <c r="K36" t="s">
        <v>160</v>
      </c>
      <c r="L36" t="s">
        <v>225</v>
      </c>
      <c r="M36" t="s">
        <v>226</v>
      </c>
      <c r="N36" t="s">
        <v>227</v>
      </c>
      <c r="O36" t="s">
        <v>164</v>
      </c>
      <c r="P36" t="s">
        <v>165</v>
      </c>
      <c r="Q36" t="s">
        <v>228</v>
      </c>
      <c r="R36" t="s">
        <v>167</v>
      </c>
      <c r="S36" t="s">
        <v>168</v>
      </c>
      <c r="T36" t="s">
        <v>169</v>
      </c>
      <c r="U36" t="s">
        <v>229</v>
      </c>
      <c r="V36">
        <v>2</v>
      </c>
      <c r="W36" t="s">
        <v>170</v>
      </c>
      <c r="X36" t="s">
        <v>1117</v>
      </c>
      <c r="Y36" t="s">
        <v>153</v>
      </c>
      <c r="Z36" s="53" t="s">
        <v>1118</v>
      </c>
      <c r="AA36" s="41"/>
      <c r="AB36" s="42"/>
      <c r="AC36" s="41"/>
      <c r="AD36" s="41"/>
      <c r="AE36" s="41">
        <v>1</v>
      </c>
      <c r="AF36" s="41"/>
      <c r="AG36" s="41"/>
      <c r="AH36" s="41"/>
      <c r="AI36" s="41"/>
      <c r="AJ36" s="41"/>
      <c r="AK36" s="41"/>
      <c r="AL36" s="43"/>
      <c r="AM36" s="44">
        <v>1</v>
      </c>
      <c r="AN36" s="43"/>
      <c r="AO36" s="44"/>
      <c r="AP36" s="45"/>
      <c r="AQ36" s="46"/>
      <c r="AR36" s="45"/>
      <c r="AS36" s="46"/>
      <c r="AT36" s="45"/>
      <c r="AU36" s="46"/>
      <c r="AX36" s="47"/>
      <c r="AY36" s="47"/>
      <c r="AZ36" s="48"/>
      <c r="BA36" s="47"/>
      <c r="BB36" s="48"/>
      <c r="BC36" s="47"/>
      <c r="BD36" s="49"/>
      <c r="BE36" s="49"/>
      <c r="BF36" s="49"/>
      <c r="BG36" t="str">
        <f t="shared" si="0"/>
        <v>Interazionale</v>
      </c>
      <c r="BH36" s="3" t="str" cm="1">
        <f t="array" ref="BH36">IF(AE36=1, _xlfn.TEXTJOIN(" &amp; ", TRUE, _xlfn._xlws.FILTER($AG$2:$BC$2, AG36:BC36=1)), "")</f>
        <v>Marcatura della conoscenza condivisa</v>
      </c>
    </row>
    <row r="37" spans="1:60" ht="16.8" customHeight="1" x14ac:dyDescent="0.3">
      <c r="A37" t="s">
        <v>220</v>
      </c>
      <c r="B37" t="s">
        <v>1119</v>
      </c>
      <c r="C37" t="s">
        <v>222</v>
      </c>
      <c r="D37">
        <v>2024</v>
      </c>
      <c r="E37" s="52" t="s">
        <v>1116</v>
      </c>
      <c r="F37">
        <v>1987756</v>
      </c>
      <c r="G37">
        <v>1993594</v>
      </c>
      <c r="H37" t="s">
        <v>224</v>
      </c>
      <c r="I37" t="s">
        <v>220</v>
      </c>
      <c r="J37" s="51">
        <v>3.3738425925925929E-2</v>
      </c>
      <c r="K37" t="s">
        <v>160</v>
      </c>
      <c r="L37" t="s">
        <v>225</v>
      </c>
      <c r="M37" t="s">
        <v>226</v>
      </c>
      <c r="N37" t="s">
        <v>227</v>
      </c>
      <c r="O37" t="s">
        <v>164</v>
      </c>
      <c r="P37" t="s">
        <v>165</v>
      </c>
      <c r="Q37" t="s">
        <v>228</v>
      </c>
      <c r="R37" t="s">
        <v>167</v>
      </c>
      <c r="S37" t="s">
        <v>168</v>
      </c>
      <c r="T37" t="s">
        <v>169</v>
      </c>
      <c r="U37" t="s">
        <v>229</v>
      </c>
      <c r="V37">
        <v>2</v>
      </c>
      <c r="W37" t="s">
        <v>170</v>
      </c>
      <c r="X37" t="s">
        <v>1114</v>
      </c>
      <c r="Y37" t="s">
        <v>153</v>
      </c>
      <c r="Z37" s="53" t="s">
        <v>1120</v>
      </c>
      <c r="AA37" s="41"/>
      <c r="AB37" s="41"/>
      <c r="AC37" s="41"/>
      <c r="AD37" s="41"/>
      <c r="AE37" s="41">
        <v>1</v>
      </c>
      <c r="AF37" s="41"/>
      <c r="AG37" s="41"/>
      <c r="AH37" s="41"/>
      <c r="AI37" s="41"/>
      <c r="AJ37" s="41"/>
      <c r="AK37" s="41"/>
      <c r="AL37" s="43"/>
      <c r="AM37" s="44">
        <v>1</v>
      </c>
      <c r="AN37" s="43"/>
      <c r="AO37" s="44"/>
      <c r="AP37" s="45"/>
      <c r="AQ37" s="46"/>
      <c r="AR37" s="45"/>
      <c r="AS37" s="46"/>
      <c r="AT37" s="45"/>
      <c r="AU37" s="46"/>
      <c r="AW37" s="21">
        <v>1</v>
      </c>
      <c r="AX37" s="47"/>
      <c r="AY37" s="47"/>
      <c r="AZ37" s="48"/>
      <c r="BA37" s="47"/>
      <c r="BB37" s="48"/>
      <c r="BC37" s="47"/>
      <c r="BD37" s="49">
        <v>1</v>
      </c>
      <c r="BE37" s="49"/>
      <c r="BF37" s="49"/>
      <c r="BG37" t="str">
        <f t="shared" si="0"/>
        <v>Interazionale &amp; Metatestuale</v>
      </c>
      <c r="BH37" s="3" t="str" cm="1">
        <f t="array" ref="BH37">IF(AE37=1, _xlfn.TEXTJOIN(" &amp; ", TRUE, _xlfn._xlws.FILTER($AG$2:$BC$2, AG37:BC37=1)), "")</f>
        <v>Marcatura della conoscenza condivisa &amp; General extenders e marche di generalizzazione</v>
      </c>
    </row>
    <row r="38" spans="1:60" ht="16.8" customHeight="1" x14ac:dyDescent="0.3">
      <c r="A38" t="s">
        <v>220</v>
      </c>
      <c r="B38" t="s">
        <v>1121</v>
      </c>
      <c r="C38" t="s">
        <v>222</v>
      </c>
      <c r="D38">
        <v>2024</v>
      </c>
      <c r="E38" s="52" t="s">
        <v>1122</v>
      </c>
      <c r="F38">
        <v>1996099</v>
      </c>
      <c r="G38">
        <v>2002914</v>
      </c>
      <c r="H38" t="s">
        <v>224</v>
      </c>
      <c r="I38" t="s">
        <v>220</v>
      </c>
      <c r="J38" s="51">
        <v>3.3738425925925929E-2</v>
      </c>
      <c r="K38" t="s">
        <v>160</v>
      </c>
      <c r="L38" t="s">
        <v>225</v>
      </c>
      <c r="M38" t="s">
        <v>226</v>
      </c>
      <c r="N38" t="s">
        <v>227</v>
      </c>
      <c r="O38" t="s">
        <v>164</v>
      </c>
      <c r="P38" t="s">
        <v>165</v>
      </c>
      <c r="Q38" t="s">
        <v>228</v>
      </c>
      <c r="R38" t="s">
        <v>167</v>
      </c>
      <c r="S38" t="s">
        <v>168</v>
      </c>
      <c r="T38" t="s">
        <v>169</v>
      </c>
      <c r="U38" t="s">
        <v>229</v>
      </c>
      <c r="V38">
        <v>2</v>
      </c>
      <c r="W38" t="s">
        <v>170</v>
      </c>
      <c r="X38" t="s">
        <v>1123</v>
      </c>
      <c r="Y38" t="s">
        <v>153</v>
      </c>
      <c r="Z38" s="53" t="s">
        <v>1124</v>
      </c>
      <c r="AA38" s="41">
        <v>1</v>
      </c>
      <c r="AB38" s="41"/>
      <c r="AC38" s="41">
        <v>1</v>
      </c>
      <c r="AD38" s="41"/>
      <c r="AE38" s="41"/>
      <c r="AF38" s="41"/>
      <c r="AG38" s="41"/>
      <c r="AH38" s="41"/>
      <c r="AI38" s="41"/>
      <c r="AJ38" s="41"/>
      <c r="AK38" s="41"/>
      <c r="AL38" s="43"/>
      <c r="AM38" s="44"/>
      <c r="AN38" s="43"/>
      <c r="AO38" s="44"/>
      <c r="AP38" s="45"/>
      <c r="AQ38" s="46"/>
      <c r="AR38" s="45"/>
      <c r="AS38" s="46"/>
      <c r="AT38" s="45"/>
      <c r="AU38" s="46"/>
      <c r="AX38" s="47"/>
      <c r="AY38" s="47"/>
      <c r="AZ38" s="48"/>
      <c r="BA38" s="47"/>
      <c r="BB38" s="48"/>
      <c r="BC38" s="47"/>
      <c r="BD38" s="49"/>
      <c r="BE38" s="49"/>
      <c r="BF38" s="49"/>
      <c r="BG38" t="str">
        <f t="shared" si="0"/>
        <v/>
      </c>
      <c r="BH38" s="3" t="str" cm="1">
        <f t="array" ref="BH38">IF(AE38=1, _xlfn.TEXTJOIN(" &amp; ", TRUE, _xlfn._xlws.FILTER($AG$2:$BC$2, AG38:BC38=1)), "")</f>
        <v/>
      </c>
    </row>
    <row r="39" spans="1:60" ht="16.8" customHeight="1" x14ac:dyDescent="0.3">
      <c r="A39" t="s">
        <v>220</v>
      </c>
      <c r="B39" t="s">
        <v>236</v>
      </c>
      <c r="C39" t="s">
        <v>222</v>
      </c>
      <c r="D39">
        <v>2024</v>
      </c>
      <c r="E39" s="52" t="s">
        <v>237</v>
      </c>
      <c r="F39">
        <v>2016398</v>
      </c>
      <c r="G39">
        <v>2021256</v>
      </c>
      <c r="H39" t="s">
        <v>224</v>
      </c>
      <c r="I39" t="s">
        <v>220</v>
      </c>
      <c r="J39" s="51">
        <v>3.3738425925925929E-2</v>
      </c>
      <c r="K39" t="s">
        <v>160</v>
      </c>
      <c r="L39" t="s">
        <v>225</v>
      </c>
      <c r="M39" t="s">
        <v>226</v>
      </c>
      <c r="N39" t="s">
        <v>227</v>
      </c>
      <c r="O39" t="s">
        <v>164</v>
      </c>
      <c r="P39" t="s">
        <v>165</v>
      </c>
      <c r="Q39" t="s">
        <v>228</v>
      </c>
      <c r="R39" t="s">
        <v>167</v>
      </c>
      <c r="S39" t="s">
        <v>168</v>
      </c>
      <c r="T39" t="s">
        <v>169</v>
      </c>
      <c r="U39" t="s">
        <v>229</v>
      </c>
      <c r="V39"/>
      <c r="W39" t="s">
        <v>170</v>
      </c>
      <c r="X39" t="s">
        <v>238</v>
      </c>
      <c r="Y39" t="s">
        <v>153</v>
      </c>
      <c r="Z39" s="53" t="s">
        <v>239</v>
      </c>
      <c r="AA39" s="42"/>
      <c r="AB39" s="42"/>
      <c r="AC39" s="41"/>
      <c r="AD39" s="41"/>
      <c r="AE39" s="41">
        <v>1</v>
      </c>
      <c r="AF39" s="41"/>
      <c r="AG39" s="41"/>
      <c r="AH39" s="41"/>
      <c r="AI39" s="41"/>
      <c r="AJ39" s="41"/>
      <c r="AK39" s="41"/>
      <c r="AL39" s="43"/>
      <c r="AM39" s="44">
        <v>1</v>
      </c>
      <c r="AN39" s="43"/>
      <c r="AO39" s="44"/>
      <c r="AP39" s="45"/>
      <c r="AQ39" s="46"/>
      <c r="AR39" s="45"/>
      <c r="AS39" s="46"/>
      <c r="AT39" s="45"/>
      <c r="AU39" s="46"/>
      <c r="AX39" s="47">
        <v>1</v>
      </c>
      <c r="AY39" s="47"/>
      <c r="AZ39" s="48"/>
      <c r="BA39" s="47"/>
      <c r="BB39" s="48"/>
      <c r="BC39" s="47"/>
      <c r="BD39" s="49">
        <v>1</v>
      </c>
      <c r="BE39" s="49"/>
      <c r="BF39" s="49"/>
      <c r="BG39" t="str">
        <f t="shared" si="0"/>
        <v>Interazionale &amp; Cognitiva</v>
      </c>
      <c r="BH39" s="3" t="str" cm="1">
        <f t="array" ref="BH39">IF(AE39=1, _xlfn.TEXTJOIN(" &amp; ", TRUE, _xlfn._xlws.FILTER($AG$2:$BC$2, AG39:BC39=1)), "")</f>
        <v>Marcatura della conoscenza condivisa &amp; Marcatura dell'inferenza</v>
      </c>
    </row>
    <row r="40" spans="1:60" ht="16.8" customHeight="1" x14ac:dyDescent="0.3">
      <c r="A40" t="s">
        <v>220</v>
      </c>
      <c r="B40" t="s">
        <v>1125</v>
      </c>
      <c r="C40" t="s">
        <v>222</v>
      </c>
      <c r="D40">
        <v>2024</v>
      </c>
      <c r="E40" s="52" t="s">
        <v>1126</v>
      </c>
      <c r="F40">
        <v>2056806</v>
      </c>
      <c r="G40">
        <v>2061821</v>
      </c>
      <c r="H40" t="s">
        <v>224</v>
      </c>
      <c r="I40" t="s">
        <v>220</v>
      </c>
      <c r="J40" s="51">
        <v>3.3738425925925929E-2</v>
      </c>
      <c r="K40" t="s">
        <v>160</v>
      </c>
      <c r="L40" t="s">
        <v>225</v>
      </c>
      <c r="M40" t="s">
        <v>226</v>
      </c>
      <c r="N40" t="s">
        <v>227</v>
      </c>
      <c r="O40" t="s">
        <v>164</v>
      </c>
      <c r="P40" t="s">
        <v>165</v>
      </c>
      <c r="Q40" t="s">
        <v>228</v>
      </c>
      <c r="R40" t="s">
        <v>167</v>
      </c>
      <c r="S40" t="s">
        <v>168</v>
      </c>
      <c r="T40" t="s">
        <v>169</v>
      </c>
      <c r="U40" t="s">
        <v>229</v>
      </c>
      <c r="V40">
        <v>2</v>
      </c>
      <c r="W40" t="s">
        <v>170</v>
      </c>
      <c r="X40" t="s">
        <v>1127</v>
      </c>
      <c r="Y40" t="s">
        <v>153</v>
      </c>
      <c r="Z40" s="53" t="s">
        <v>1128</v>
      </c>
      <c r="AA40" s="42"/>
      <c r="AB40" s="42"/>
      <c r="AC40" s="41"/>
      <c r="AD40" s="41"/>
      <c r="AE40" s="41">
        <v>1</v>
      </c>
      <c r="AF40" s="41"/>
      <c r="AG40" s="41"/>
      <c r="AH40" s="41"/>
      <c r="AI40" s="41"/>
      <c r="AJ40" s="41"/>
      <c r="AK40" s="41"/>
      <c r="AL40" s="43"/>
      <c r="AM40" s="44">
        <v>1</v>
      </c>
      <c r="AN40" s="43"/>
      <c r="AO40" s="44"/>
      <c r="AP40" s="45"/>
      <c r="AQ40" s="46"/>
      <c r="AR40" s="45"/>
      <c r="AS40" s="46"/>
      <c r="AT40" s="45"/>
      <c r="AU40" s="46"/>
      <c r="AX40" s="47"/>
      <c r="AY40" s="47"/>
      <c r="AZ40" s="48"/>
      <c r="BA40" s="47"/>
      <c r="BB40" s="48"/>
      <c r="BC40" s="47"/>
      <c r="BD40" s="49"/>
      <c r="BE40" s="49"/>
      <c r="BF40" s="49"/>
      <c r="BG40" t="str">
        <f t="shared" si="0"/>
        <v>Interazionale</v>
      </c>
      <c r="BH40" s="3" t="str" cm="1">
        <f t="array" ref="BH40">IF(AE40=1, _xlfn.TEXTJOIN(" &amp; ", TRUE, _xlfn._xlws.FILTER($AG$2:$BC$2, AG40:BC40=1)), "")</f>
        <v>Marcatura della conoscenza condivisa</v>
      </c>
    </row>
    <row r="41" spans="1:60" ht="16.8" customHeight="1" x14ac:dyDescent="0.3">
      <c r="A41" t="s">
        <v>220</v>
      </c>
      <c r="B41" t="s">
        <v>1129</v>
      </c>
      <c r="C41" t="s">
        <v>222</v>
      </c>
      <c r="D41">
        <v>2024</v>
      </c>
      <c r="E41" s="52" t="s">
        <v>1130</v>
      </c>
      <c r="F41">
        <v>2098338</v>
      </c>
      <c r="G41">
        <v>2103607</v>
      </c>
      <c r="H41" t="s">
        <v>224</v>
      </c>
      <c r="I41" t="s">
        <v>220</v>
      </c>
      <c r="J41" s="51">
        <v>3.3738425925925929E-2</v>
      </c>
      <c r="K41" t="s">
        <v>160</v>
      </c>
      <c r="L41" t="s">
        <v>225</v>
      </c>
      <c r="M41" t="s">
        <v>226</v>
      </c>
      <c r="N41" t="s">
        <v>227</v>
      </c>
      <c r="O41" t="s">
        <v>164</v>
      </c>
      <c r="P41" t="s">
        <v>165</v>
      </c>
      <c r="Q41" t="s">
        <v>228</v>
      </c>
      <c r="R41" t="s">
        <v>167</v>
      </c>
      <c r="S41" t="s">
        <v>168</v>
      </c>
      <c r="T41" t="s">
        <v>169</v>
      </c>
      <c r="U41" t="s">
        <v>229</v>
      </c>
      <c r="V41">
        <v>2</v>
      </c>
      <c r="W41" t="s">
        <v>170</v>
      </c>
      <c r="X41" t="s">
        <v>1131</v>
      </c>
      <c r="Y41" t="s">
        <v>153</v>
      </c>
      <c r="Z41" s="53" t="s">
        <v>1132</v>
      </c>
      <c r="AA41" s="41"/>
      <c r="AB41" s="41"/>
      <c r="AC41" s="41"/>
      <c r="AD41" s="41"/>
      <c r="AE41" s="41">
        <v>1</v>
      </c>
      <c r="AF41" s="41"/>
      <c r="AG41" s="41"/>
      <c r="AH41" s="41">
        <v>1</v>
      </c>
      <c r="AI41" s="41"/>
      <c r="AJ41" s="41"/>
      <c r="AK41" s="41"/>
      <c r="AL41" s="43"/>
      <c r="AM41" s="44">
        <v>1</v>
      </c>
      <c r="AN41" s="43"/>
      <c r="AO41" s="44"/>
      <c r="AP41" s="45"/>
      <c r="AQ41" s="46"/>
      <c r="AR41" s="45"/>
      <c r="AS41" s="46"/>
      <c r="AT41" s="45"/>
      <c r="AU41" s="46"/>
      <c r="AX41" s="47"/>
      <c r="AY41" s="47"/>
      <c r="AZ41" s="48"/>
      <c r="BA41" s="47"/>
      <c r="BB41" s="48"/>
      <c r="BC41" s="47"/>
      <c r="BD41" s="49">
        <v>1</v>
      </c>
      <c r="BE41" s="49"/>
      <c r="BF41" s="49"/>
      <c r="BG41" t="str">
        <f t="shared" si="0"/>
        <v>Interazionale</v>
      </c>
      <c r="BH41" s="3" t="str" cm="1">
        <f t="array" ref="BH41">IF(AE41=1, _xlfn.TEXTJOIN(" &amp; ", TRUE, _xlfn._xlws.FILTER($AG$2:$BC$2, AG41:BC41=1)), "")</f>
        <v>Richiesta di accordo/conferma &amp; Marcatura della conoscenza condivisa</v>
      </c>
    </row>
    <row r="42" spans="1:60" ht="16.8" customHeight="1" x14ac:dyDescent="0.3">
      <c r="A42" t="s">
        <v>220</v>
      </c>
      <c r="B42" t="s">
        <v>1133</v>
      </c>
      <c r="C42" t="s">
        <v>222</v>
      </c>
      <c r="D42">
        <v>2024</v>
      </c>
      <c r="E42" s="52" t="s">
        <v>1134</v>
      </c>
      <c r="F42">
        <v>2134304</v>
      </c>
      <c r="G42">
        <v>2140474</v>
      </c>
      <c r="H42" t="s">
        <v>224</v>
      </c>
      <c r="I42" t="s">
        <v>220</v>
      </c>
      <c r="J42" s="51">
        <v>3.3738425925925929E-2</v>
      </c>
      <c r="K42" t="s">
        <v>160</v>
      </c>
      <c r="L42" t="s">
        <v>225</v>
      </c>
      <c r="M42" t="s">
        <v>226</v>
      </c>
      <c r="N42" t="s">
        <v>227</v>
      </c>
      <c r="O42" t="s">
        <v>164</v>
      </c>
      <c r="P42" t="s">
        <v>165</v>
      </c>
      <c r="Q42" t="s">
        <v>228</v>
      </c>
      <c r="R42" t="s">
        <v>167</v>
      </c>
      <c r="S42" t="s">
        <v>168</v>
      </c>
      <c r="T42" t="s">
        <v>169</v>
      </c>
      <c r="U42" t="s">
        <v>229</v>
      </c>
      <c r="V42">
        <v>2</v>
      </c>
      <c r="W42" t="s">
        <v>170</v>
      </c>
      <c r="X42" t="s">
        <v>1135</v>
      </c>
      <c r="Y42" t="s">
        <v>153</v>
      </c>
      <c r="Z42" s="53" t="s">
        <v>1136</v>
      </c>
      <c r="AA42" s="41"/>
      <c r="AB42" s="41"/>
      <c r="AC42" s="41"/>
      <c r="AD42" s="41"/>
      <c r="AE42" s="41">
        <v>1</v>
      </c>
      <c r="AF42" s="41">
        <v>1</v>
      </c>
      <c r="AG42" s="41"/>
      <c r="AH42" s="41"/>
      <c r="AI42" s="41"/>
      <c r="AJ42" s="41"/>
      <c r="AK42" s="41"/>
      <c r="AL42" s="43"/>
      <c r="AM42" s="44">
        <v>1</v>
      </c>
      <c r="AN42" s="43"/>
      <c r="AO42" s="44"/>
      <c r="AP42" s="45"/>
      <c r="AQ42" s="46"/>
      <c r="AR42" s="45"/>
      <c r="AS42" s="46"/>
      <c r="AT42" s="45"/>
      <c r="AU42" s="46"/>
      <c r="AX42" s="47"/>
      <c r="AY42" s="47"/>
      <c r="AZ42" s="48"/>
      <c r="BA42" s="47"/>
      <c r="BB42" s="48"/>
      <c r="BC42" s="47"/>
      <c r="BD42" s="49"/>
      <c r="BE42" s="49"/>
      <c r="BF42" s="49"/>
      <c r="BG42" t="str">
        <f t="shared" si="0"/>
        <v>Interazionale</v>
      </c>
      <c r="BH42" s="3" t="str" cm="1">
        <f t="array" ref="BH42">IF(AE42=1, _xlfn.TEXTJOIN(" &amp; ", TRUE, _xlfn._xlws.FILTER($AG$2:$BC$2, AG42:BC42=1)), "")</f>
        <v>Marcatura della conoscenza condivisa</v>
      </c>
    </row>
    <row r="43" spans="1:60" ht="16.8" customHeight="1" x14ac:dyDescent="0.3">
      <c r="A43" t="s">
        <v>220</v>
      </c>
      <c r="B43" t="s">
        <v>1137</v>
      </c>
      <c r="C43" t="s">
        <v>222</v>
      </c>
      <c r="D43">
        <v>2024</v>
      </c>
      <c r="E43" s="52" t="s">
        <v>1134</v>
      </c>
      <c r="F43">
        <v>2134304</v>
      </c>
      <c r="G43">
        <v>2140474</v>
      </c>
      <c r="H43" t="s">
        <v>224</v>
      </c>
      <c r="I43" t="s">
        <v>220</v>
      </c>
      <c r="J43" s="51">
        <v>3.3738425925925929E-2</v>
      </c>
      <c r="K43" t="s">
        <v>160</v>
      </c>
      <c r="L43" t="s">
        <v>225</v>
      </c>
      <c r="M43" t="s">
        <v>226</v>
      </c>
      <c r="N43" t="s">
        <v>227</v>
      </c>
      <c r="O43" t="s">
        <v>164</v>
      </c>
      <c r="P43" t="s">
        <v>165</v>
      </c>
      <c r="Q43" t="s">
        <v>228</v>
      </c>
      <c r="R43" t="s">
        <v>167</v>
      </c>
      <c r="S43" t="s">
        <v>168</v>
      </c>
      <c r="T43" t="s">
        <v>169</v>
      </c>
      <c r="U43" t="s">
        <v>229</v>
      </c>
      <c r="V43">
        <v>2</v>
      </c>
      <c r="W43" t="s">
        <v>170</v>
      </c>
      <c r="X43" t="s">
        <v>1138</v>
      </c>
      <c r="Y43" t="s">
        <v>153</v>
      </c>
      <c r="Z43" s="53" t="s">
        <v>1139</v>
      </c>
      <c r="AA43" s="41"/>
      <c r="AB43" s="41"/>
      <c r="AC43" s="41"/>
      <c r="AD43" s="41"/>
      <c r="AE43" s="41">
        <v>1</v>
      </c>
      <c r="AF43" s="41">
        <v>1</v>
      </c>
      <c r="AG43" s="41"/>
      <c r="AH43" s="41"/>
      <c r="AI43" s="41"/>
      <c r="AJ43" s="41"/>
      <c r="AK43" s="41"/>
      <c r="AL43" s="43"/>
      <c r="AM43" s="44">
        <v>1</v>
      </c>
      <c r="AN43" s="43"/>
      <c r="AO43" s="44"/>
      <c r="AP43" s="45">
        <v>1</v>
      </c>
      <c r="AQ43" s="46"/>
      <c r="AR43" s="45"/>
      <c r="AS43" s="46"/>
      <c r="AT43" s="45"/>
      <c r="AU43" s="46"/>
      <c r="AX43" s="47"/>
      <c r="AY43" s="47"/>
      <c r="AZ43" s="48"/>
      <c r="BA43" s="47"/>
      <c r="BB43" s="48"/>
      <c r="BC43" s="47"/>
      <c r="BD43" s="49">
        <v>1</v>
      </c>
      <c r="BE43" s="49"/>
      <c r="BF43" s="49"/>
      <c r="BG43" t="str">
        <f t="shared" si="0"/>
        <v>Interazionale &amp; Metatestuale</v>
      </c>
      <c r="BH43" s="3" t="str" cm="1">
        <f t="array" ref="BH43">IF(AE43=1, _xlfn.TEXTJOIN(" &amp; ", TRUE, _xlfn._xlws.FILTER($AG$2:$BC$2, AG43:BC43=1)), "")</f>
        <v>Marcatura della conoscenza condivisa &amp; Gestione del topic: introduzione o ripresa di topic</v>
      </c>
    </row>
    <row r="44" spans="1:60" ht="16.8" customHeight="1" x14ac:dyDescent="0.3">
      <c r="A44" t="s">
        <v>220</v>
      </c>
      <c r="B44" t="s">
        <v>1140</v>
      </c>
      <c r="C44" t="s">
        <v>222</v>
      </c>
      <c r="D44">
        <v>2024</v>
      </c>
      <c r="E44" s="52" t="s">
        <v>240</v>
      </c>
      <c r="F44">
        <v>2252816</v>
      </c>
      <c r="G44">
        <v>2258190</v>
      </c>
      <c r="H44" t="s">
        <v>224</v>
      </c>
      <c r="I44" t="s">
        <v>220</v>
      </c>
      <c r="J44" s="51">
        <v>3.3738425925925929E-2</v>
      </c>
      <c r="K44" t="s">
        <v>160</v>
      </c>
      <c r="L44" t="s">
        <v>225</v>
      </c>
      <c r="M44" t="s">
        <v>226</v>
      </c>
      <c r="N44" t="s">
        <v>227</v>
      </c>
      <c r="O44" t="s">
        <v>164</v>
      </c>
      <c r="P44" t="s">
        <v>165</v>
      </c>
      <c r="Q44" t="s">
        <v>228</v>
      </c>
      <c r="R44" t="s">
        <v>167</v>
      </c>
      <c r="S44" t="s">
        <v>168</v>
      </c>
      <c r="T44" t="s">
        <v>169</v>
      </c>
      <c r="U44" t="s">
        <v>229</v>
      </c>
      <c r="V44">
        <v>2</v>
      </c>
      <c r="W44" t="s">
        <v>170</v>
      </c>
      <c r="X44" t="s">
        <v>1141</v>
      </c>
      <c r="Y44" t="s">
        <v>153</v>
      </c>
      <c r="Z44" s="53" t="s">
        <v>1142</v>
      </c>
      <c r="AA44" s="41"/>
      <c r="AB44" s="41"/>
      <c r="AC44" s="41"/>
      <c r="AD44" s="41"/>
      <c r="AE44" s="41">
        <v>1</v>
      </c>
      <c r="AF44" s="41">
        <v>1</v>
      </c>
      <c r="AG44" s="41"/>
      <c r="AH44" s="41">
        <v>1</v>
      </c>
      <c r="AI44" s="41"/>
      <c r="AJ44" s="41"/>
      <c r="AK44" s="41"/>
      <c r="AL44" s="43">
        <v>1</v>
      </c>
      <c r="AM44" s="44"/>
      <c r="AN44" s="43"/>
      <c r="AO44" s="44"/>
      <c r="AP44" s="45"/>
      <c r="AQ44" s="46"/>
      <c r="AR44" s="45"/>
      <c r="AS44" s="46"/>
      <c r="AT44" s="45"/>
      <c r="AU44" s="46"/>
      <c r="AX44" s="47"/>
      <c r="AY44" s="47"/>
      <c r="AZ44" s="48"/>
      <c r="BA44" s="47"/>
      <c r="BB44" s="48"/>
      <c r="BC44" s="47"/>
      <c r="BD44" s="49">
        <v>1</v>
      </c>
      <c r="BE44" s="49"/>
      <c r="BF44" s="49"/>
      <c r="BG44" t="str">
        <f t="shared" si="0"/>
        <v>Interazionale</v>
      </c>
      <c r="BH44" s="3" t="str" cm="1">
        <f t="array" ref="BH44">IF(AE44=1, _xlfn.TEXTJOIN(" &amp; ", TRUE, _xlfn._xlws.FILTER($AG$2:$BC$2, AG44:BC44=1)), "")</f>
        <v>Richiesta di accordo/conferma &amp; Cessione del turno</v>
      </c>
    </row>
    <row r="45" spans="1:60" ht="16.8" customHeight="1" x14ac:dyDescent="0.3">
      <c r="A45" t="s">
        <v>220</v>
      </c>
      <c r="B45" t="s">
        <v>1143</v>
      </c>
      <c r="C45" t="s">
        <v>222</v>
      </c>
      <c r="D45">
        <v>2024</v>
      </c>
      <c r="E45" s="52" t="s">
        <v>1144</v>
      </c>
      <c r="F45">
        <v>2512980</v>
      </c>
      <c r="G45">
        <v>2518833</v>
      </c>
      <c r="H45" t="s">
        <v>224</v>
      </c>
      <c r="I45" t="s">
        <v>220</v>
      </c>
      <c r="J45" s="51">
        <v>3.3738425925925929E-2</v>
      </c>
      <c r="K45" t="s">
        <v>160</v>
      </c>
      <c r="L45" t="s">
        <v>225</v>
      </c>
      <c r="M45" t="s">
        <v>226</v>
      </c>
      <c r="N45" t="s">
        <v>227</v>
      </c>
      <c r="O45" t="s">
        <v>164</v>
      </c>
      <c r="P45" t="s">
        <v>165</v>
      </c>
      <c r="Q45" t="s">
        <v>228</v>
      </c>
      <c r="R45" t="s">
        <v>167</v>
      </c>
      <c r="S45" t="s">
        <v>168</v>
      </c>
      <c r="T45" t="s">
        <v>169</v>
      </c>
      <c r="U45" t="s">
        <v>229</v>
      </c>
      <c r="V45">
        <v>2</v>
      </c>
      <c r="W45" t="s">
        <v>170</v>
      </c>
      <c r="X45" t="s">
        <v>1145</v>
      </c>
      <c r="Y45" t="s">
        <v>153</v>
      </c>
      <c r="Z45" s="53" t="s">
        <v>1146</v>
      </c>
      <c r="AA45" s="41"/>
      <c r="AB45" s="41"/>
      <c r="AC45" s="41"/>
      <c r="AD45" s="41"/>
      <c r="AE45" s="41">
        <v>1</v>
      </c>
      <c r="AF45">
        <v>1</v>
      </c>
      <c r="AG45" s="41"/>
      <c r="AH45" s="41"/>
      <c r="AI45" s="41"/>
      <c r="AJ45" s="41"/>
      <c r="AK45" s="41"/>
      <c r="AL45" s="43"/>
      <c r="AM45" s="44">
        <v>1</v>
      </c>
      <c r="AN45" s="43"/>
      <c r="AO45" s="44"/>
      <c r="AP45" s="45"/>
      <c r="AQ45" s="46"/>
      <c r="AR45" s="45"/>
      <c r="AS45" s="46"/>
      <c r="AT45" s="45"/>
      <c r="AU45" s="46"/>
      <c r="AV45" s="9">
        <v>1</v>
      </c>
      <c r="AX45" s="47"/>
      <c r="AY45" s="47"/>
      <c r="AZ45" s="48"/>
      <c r="BA45" s="47"/>
      <c r="BB45" s="48"/>
      <c r="BC45" s="47"/>
      <c r="BD45" s="49">
        <v>1</v>
      </c>
      <c r="BE45" s="50"/>
      <c r="BF45" s="49"/>
      <c r="BG45" t="str">
        <f t="shared" si="0"/>
        <v>Interazionale &amp; Metatestuale</v>
      </c>
      <c r="BH45" s="3" t="str" cm="1">
        <f t="array" ref="BH45">IF(AE45=1, _xlfn.TEXTJOIN(" &amp; ", TRUE, _xlfn._xlws.FILTER($AG$2:$BC$2, AG45:BC45=1)), "")</f>
        <v>Marcatura della conoscenza condivisa &amp; Filler, riempimento dei tempi di formulazione</v>
      </c>
    </row>
    <row r="46" spans="1:60" ht="16.8" customHeight="1" x14ac:dyDescent="0.3">
      <c r="A46" t="s">
        <v>220</v>
      </c>
      <c r="B46" t="s">
        <v>1147</v>
      </c>
      <c r="C46" t="s">
        <v>222</v>
      </c>
      <c r="D46">
        <v>2024</v>
      </c>
      <c r="E46" s="52" t="s">
        <v>1148</v>
      </c>
      <c r="F46">
        <v>2898214</v>
      </c>
      <c r="G46">
        <v>2903234</v>
      </c>
      <c r="H46" t="s">
        <v>224</v>
      </c>
      <c r="I46" t="s">
        <v>220</v>
      </c>
      <c r="J46" s="51">
        <v>3.3738425925925929E-2</v>
      </c>
      <c r="K46" t="s">
        <v>160</v>
      </c>
      <c r="L46" t="s">
        <v>225</v>
      </c>
      <c r="M46" t="s">
        <v>226</v>
      </c>
      <c r="N46" t="s">
        <v>227</v>
      </c>
      <c r="O46" t="s">
        <v>164</v>
      </c>
      <c r="P46" t="s">
        <v>165</v>
      </c>
      <c r="Q46" t="s">
        <v>228</v>
      </c>
      <c r="R46" t="s">
        <v>167</v>
      </c>
      <c r="S46" t="s">
        <v>168</v>
      </c>
      <c r="T46" t="s">
        <v>169</v>
      </c>
      <c r="U46" t="s">
        <v>229</v>
      </c>
      <c r="V46">
        <v>2</v>
      </c>
      <c r="W46" t="s">
        <v>170</v>
      </c>
      <c r="X46" t="s">
        <v>1149</v>
      </c>
      <c r="Y46" t="s">
        <v>153</v>
      </c>
      <c r="Z46" s="53" t="s">
        <v>1150</v>
      </c>
      <c r="AA46" s="41"/>
      <c r="AB46" s="41"/>
      <c r="AC46" s="41"/>
      <c r="AD46" s="41"/>
      <c r="AE46" s="41">
        <v>1</v>
      </c>
      <c r="AF46" s="41"/>
      <c r="AG46" s="41"/>
      <c r="AH46" s="41"/>
      <c r="AI46" s="41"/>
      <c r="AJ46" s="41"/>
      <c r="AK46" s="41"/>
      <c r="AL46" s="43"/>
      <c r="AM46" s="44">
        <v>1</v>
      </c>
      <c r="AN46" s="43"/>
      <c r="AO46" s="44"/>
      <c r="AP46" s="45"/>
      <c r="AQ46" s="46"/>
      <c r="AR46" s="45"/>
      <c r="AS46" s="46"/>
      <c r="AT46" s="45"/>
      <c r="AU46" s="46"/>
      <c r="AX46" s="47"/>
      <c r="AY46" s="47"/>
      <c r="AZ46" s="48"/>
      <c r="BA46" s="47"/>
      <c r="BB46" s="48"/>
      <c r="BC46" s="47"/>
      <c r="BD46" s="49"/>
      <c r="BE46" s="49"/>
      <c r="BF46" s="49"/>
      <c r="BG46" t="str">
        <f t="shared" si="0"/>
        <v>Interazionale</v>
      </c>
      <c r="BH46" s="3" t="str" cm="1">
        <f t="array" ref="BH46">IF(AE46=1, _xlfn.TEXTJOIN(" &amp; ", TRUE, _xlfn._xlws.FILTER($AG$2:$BC$2, AG46:BC46=1)), "")</f>
        <v>Marcatura della conoscenza condivisa</v>
      </c>
    </row>
    <row r="47" spans="1:60" ht="16.8" customHeight="1" x14ac:dyDescent="0.3">
      <c r="A47" t="s">
        <v>1151</v>
      </c>
      <c r="B47" t="s">
        <v>1152</v>
      </c>
      <c r="C47" t="s">
        <v>1153</v>
      </c>
      <c r="D47">
        <v>2019</v>
      </c>
      <c r="E47" s="52" t="s">
        <v>1154</v>
      </c>
      <c r="F47">
        <v>952285</v>
      </c>
      <c r="G47">
        <v>959139</v>
      </c>
      <c r="H47" t="s">
        <v>1155</v>
      </c>
      <c r="I47" t="s">
        <v>1151</v>
      </c>
      <c r="J47" s="51">
        <v>3.8043981481481484E-2</v>
      </c>
      <c r="K47" t="s">
        <v>160</v>
      </c>
      <c r="L47" t="s">
        <v>1156</v>
      </c>
      <c r="M47" t="s">
        <v>1157</v>
      </c>
      <c r="N47" t="s">
        <v>286</v>
      </c>
      <c r="O47" t="s">
        <v>164</v>
      </c>
      <c r="P47" t="s">
        <v>145</v>
      </c>
      <c r="Q47" t="s">
        <v>527</v>
      </c>
      <c r="R47" t="s">
        <v>167</v>
      </c>
      <c r="S47" t="s">
        <v>168</v>
      </c>
      <c r="T47" t="s">
        <v>666</v>
      </c>
      <c r="U47" t="s">
        <v>171</v>
      </c>
      <c r="V47">
        <v>4</v>
      </c>
      <c r="W47" t="s">
        <v>170</v>
      </c>
      <c r="X47" t="s">
        <v>1158</v>
      </c>
      <c r="Y47" t="s">
        <v>153</v>
      </c>
      <c r="Z47" s="53" t="s">
        <v>1159</v>
      </c>
      <c r="AA47" s="41"/>
      <c r="AB47" s="42"/>
      <c r="AC47" s="41"/>
      <c r="AD47" s="41"/>
      <c r="AE47" s="41">
        <v>1</v>
      </c>
      <c r="AF47" s="41"/>
      <c r="AG47" s="41"/>
      <c r="AH47" s="41"/>
      <c r="AI47" s="41"/>
      <c r="AJ47" s="41"/>
      <c r="AK47" s="41"/>
      <c r="AL47" s="43"/>
      <c r="AM47" s="44"/>
      <c r="AN47" s="43"/>
      <c r="AO47" s="44"/>
      <c r="AP47" s="45"/>
      <c r="AQ47" s="46"/>
      <c r="AR47" s="45"/>
      <c r="AS47" s="46"/>
      <c r="AT47" s="45"/>
      <c r="AU47" s="46"/>
      <c r="AX47" s="47"/>
      <c r="AY47" s="47"/>
      <c r="AZ47" s="48">
        <v>1</v>
      </c>
      <c r="BA47" s="47"/>
      <c r="BB47" s="48"/>
      <c r="BC47" s="47"/>
      <c r="BD47" s="49"/>
      <c r="BE47" s="49"/>
      <c r="BF47" s="49"/>
      <c r="BG47" t="str">
        <f t="shared" si="0"/>
        <v>Cognitiva</v>
      </c>
      <c r="BH47" s="3" t="str" cm="1">
        <f t="array" ref="BH47">IF(AE47=1, _xlfn.TEXTJOIN(" &amp; ", TRUE, _xlfn._xlws.FILTER($AG$2:$BC$2, AG47:BC47=1)), "")</f>
        <v>Approssimazione</v>
      </c>
    </row>
    <row r="48" spans="1:60" ht="16.8" customHeight="1" x14ac:dyDescent="0.3">
      <c r="A48" t="s">
        <v>1151</v>
      </c>
      <c r="B48" t="s">
        <v>1161</v>
      </c>
      <c r="C48" t="s">
        <v>1153</v>
      </c>
      <c r="D48">
        <v>2019</v>
      </c>
      <c r="E48" s="52" t="s">
        <v>1162</v>
      </c>
      <c r="F48">
        <v>2660340</v>
      </c>
      <c r="G48">
        <v>2662976</v>
      </c>
      <c r="H48" t="s">
        <v>1160</v>
      </c>
      <c r="I48" t="s">
        <v>1151</v>
      </c>
      <c r="J48" s="51">
        <v>3.8043981481481484E-2</v>
      </c>
      <c r="K48" t="s">
        <v>160</v>
      </c>
      <c r="L48" t="s">
        <v>1156</v>
      </c>
      <c r="M48" t="s">
        <v>1157</v>
      </c>
      <c r="N48" t="s">
        <v>336</v>
      </c>
      <c r="O48" t="s">
        <v>144</v>
      </c>
      <c r="P48" t="s">
        <v>145</v>
      </c>
      <c r="Q48" t="s">
        <v>228</v>
      </c>
      <c r="R48" t="s">
        <v>167</v>
      </c>
      <c r="S48" t="s">
        <v>168</v>
      </c>
      <c r="T48" t="s">
        <v>666</v>
      </c>
      <c r="U48" t="s">
        <v>349</v>
      </c>
      <c r="V48">
        <v>4</v>
      </c>
      <c r="W48" t="s">
        <v>170</v>
      </c>
      <c r="X48" t="s">
        <v>1163</v>
      </c>
      <c r="Y48" t="s">
        <v>153</v>
      </c>
      <c r="Z48" s="53" t="s">
        <v>1164</v>
      </c>
      <c r="AA48" s="41">
        <v>1</v>
      </c>
      <c r="AB48" s="41"/>
      <c r="AC48" s="41"/>
      <c r="AD48" s="41">
        <v>1</v>
      </c>
      <c r="AE48" s="41"/>
      <c r="AF48" s="41"/>
      <c r="AG48" s="41"/>
      <c r="AH48" s="41"/>
      <c r="AI48" s="41"/>
      <c r="AJ48" s="41"/>
      <c r="AK48" s="41"/>
      <c r="AL48" s="43"/>
      <c r="AM48" s="44"/>
      <c r="AN48" s="43"/>
      <c r="AO48" s="44"/>
      <c r="AP48" s="45"/>
      <c r="AQ48" s="46"/>
      <c r="AR48" s="45"/>
      <c r="AS48" s="46"/>
      <c r="AT48" s="45"/>
      <c r="AU48" s="46"/>
      <c r="AX48" s="47"/>
      <c r="AY48" s="47"/>
      <c r="AZ48" s="48"/>
      <c r="BA48" s="47"/>
      <c r="BB48" s="48"/>
      <c r="BC48" s="47"/>
      <c r="BD48" s="49"/>
      <c r="BE48" s="49"/>
      <c r="BF48" s="49"/>
      <c r="BG48" t="str">
        <f t="shared" si="0"/>
        <v/>
      </c>
      <c r="BH48" s="3" t="str" cm="1">
        <f t="array" ref="BH48">IF(AE48=1, _xlfn.TEXTJOIN(" &amp; ", TRUE, _xlfn._xlws.FILTER($AG$2:$BC$2, AG48:BC48=1)), "")</f>
        <v/>
      </c>
    </row>
    <row r="49" spans="1:60" ht="16.8" customHeight="1" x14ac:dyDescent="0.3">
      <c r="A49" t="s">
        <v>1151</v>
      </c>
      <c r="B49" t="s">
        <v>1165</v>
      </c>
      <c r="C49" t="s">
        <v>1153</v>
      </c>
      <c r="D49">
        <v>2019</v>
      </c>
      <c r="E49" s="52" t="s">
        <v>1166</v>
      </c>
      <c r="F49">
        <v>2768330</v>
      </c>
      <c r="G49">
        <v>2773083</v>
      </c>
      <c r="H49" t="s">
        <v>1155</v>
      </c>
      <c r="I49" t="s">
        <v>1151</v>
      </c>
      <c r="J49" s="51">
        <v>3.8043981481481484E-2</v>
      </c>
      <c r="K49" t="s">
        <v>160</v>
      </c>
      <c r="L49" t="s">
        <v>1156</v>
      </c>
      <c r="M49" t="s">
        <v>1157</v>
      </c>
      <c r="N49" t="s">
        <v>286</v>
      </c>
      <c r="O49" t="s">
        <v>164</v>
      </c>
      <c r="P49" t="s">
        <v>145</v>
      </c>
      <c r="Q49" t="s">
        <v>527</v>
      </c>
      <c r="R49" t="s">
        <v>167</v>
      </c>
      <c r="S49" t="s">
        <v>168</v>
      </c>
      <c r="T49" t="s">
        <v>666</v>
      </c>
      <c r="U49" t="s">
        <v>171</v>
      </c>
      <c r="V49">
        <v>4</v>
      </c>
      <c r="W49" t="s">
        <v>170</v>
      </c>
      <c r="X49" t="s">
        <v>1167</v>
      </c>
      <c r="Y49" t="s">
        <v>153</v>
      </c>
      <c r="Z49" s="53" t="s">
        <v>1168</v>
      </c>
      <c r="AA49" s="41"/>
      <c r="AB49" s="41"/>
      <c r="AC49" s="41"/>
      <c r="AD49" s="41"/>
      <c r="AE49" s="41">
        <v>1</v>
      </c>
      <c r="AF49" s="41"/>
      <c r="AG49" s="41"/>
      <c r="AH49" s="41"/>
      <c r="AI49" s="41"/>
      <c r="AJ49" s="41"/>
      <c r="AK49" s="41"/>
      <c r="AL49" s="43"/>
      <c r="AM49" s="44">
        <v>1</v>
      </c>
      <c r="AN49" s="43"/>
      <c r="AO49" s="44"/>
      <c r="AP49" s="45"/>
      <c r="AQ49" s="46"/>
      <c r="AR49" s="45"/>
      <c r="AS49" s="46"/>
      <c r="AT49" s="45"/>
      <c r="AU49" s="46">
        <v>1</v>
      </c>
      <c r="AX49" s="47"/>
      <c r="AY49" s="47"/>
      <c r="AZ49" s="48"/>
      <c r="BA49" s="47"/>
      <c r="BB49" s="48"/>
      <c r="BC49" s="47"/>
      <c r="BD49" s="49">
        <v>1</v>
      </c>
      <c r="BE49" s="49"/>
      <c r="BF49" s="49"/>
      <c r="BG49" t="str">
        <f t="shared" si="0"/>
        <v>Interazionale &amp; Metatestuale</v>
      </c>
      <c r="BH49" s="3" t="str" cm="1">
        <f t="array" ref="BH49">IF(AE49=1, _xlfn.TEXTJOIN(" &amp; ", TRUE, _xlfn._xlws.FILTER($AG$2:$BC$2, AG49:BC49=1)), "")</f>
        <v>Marcatura della conoscenza condivisa &amp; Esemplificazione</v>
      </c>
    </row>
    <row r="50" spans="1:60" ht="16.8" customHeight="1" x14ac:dyDescent="0.3">
      <c r="A50" t="s">
        <v>1151</v>
      </c>
      <c r="B50" t="s">
        <v>1169</v>
      </c>
      <c r="C50" t="s">
        <v>1153</v>
      </c>
      <c r="D50">
        <v>2019</v>
      </c>
      <c r="E50" s="52" t="s">
        <v>1170</v>
      </c>
      <c r="F50">
        <v>2919161</v>
      </c>
      <c r="G50">
        <v>2926605</v>
      </c>
      <c r="H50" t="s">
        <v>1171</v>
      </c>
      <c r="I50" t="s">
        <v>1151</v>
      </c>
      <c r="J50" s="51">
        <v>3.8043981481481484E-2</v>
      </c>
      <c r="K50" t="s">
        <v>160</v>
      </c>
      <c r="L50" t="s">
        <v>1156</v>
      </c>
      <c r="M50" t="s">
        <v>1157</v>
      </c>
      <c r="N50" t="s">
        <v>363</v>
      </c>
      <c r="O50" t="s">
        <v>164</v>
      </c>
      <c r="P50" t="s">
        <v>145</v>
      </c>
      <c r="Q50" t="s">
        <v>527</v>
      </c>
      <c r="R50" t="s">
        <v>167</v>
      </c>
      <c r="S50" t="s">
        <v>168</v>
      </c>
      <c r="T50" t="s">
        <v>149</v>
      </c>
      <c r="U50" t="s">
        <v>183</v>
      </c>
      <c r="V50">
        <v>4</v>
      </c>
      <c r="W50" t="s">
        <v>170</v>
      </c>
      <c r="X50" t="s">
        <v>1172</v>
      </c>
      <c r="Y50" t="s">
        <v>153</v>
      </c>
      <c r="Z50" s="53" t="s">
        <v>1173</v>
      </c>
      <c r="AA50" s="41"/>
      <c r="AB50" s="41"/>
      <c r="AC50" s="41"/>
      <c r="AD50" s="41"/>
      <c r="AE50" s="41">
        <v>1</v>
      </c>
      <c r="AF50" s="41"/>
      <c r="AG50" s="41"/>
      <c r="AH50" s="41"/>
      <c r="AI50" s="41"/>
      <c r="AJ50" s="41"/>
      <c r="AK50" s="41"/>
      <c r="AL50" s="43"/>
      <c r="AM50" s="44">
        <v>1</v>
      </c>
      <c r="AN50" s="43"/>
      <c r="AO50" s="44"/>
      <c r="AP50" s="45"/>
      <c r="AQ50" s="46"/>
      <c r="AR50" s="45"/>
      <c r="AS50" s="46">
        <v>1</v>
      </c>
      <c r="AT50" s="45"/>
      <c r="AU50" s="46"/>
      <c r="AX50" s="47"/>
      <c r="AY50" s="47"/>
      <c r="AZ50" s="48"/>
      <c r="BA50" s="47"/>
      <c r="BB50" s="48"/>
      <c r="BC50" s="47"/>
      <c r="BD50" s="49">
        <v>1</v>
      </c>
      <c r="BE50" s="49"/>
      <c r="BF50" s="49"/>
      <c r="BG50" t="str">
        <f t="shared" si="0"/>
        <v>Interazionale &amp; Metatestuale</v>
      </c>
      <c r="BH50" s="3" t="str" cm="1">
        <f t="array" ref="BH50">IF(AE50=1, _xlfn.TEXTJOIN(" &amp; ", TRUE, _xlfn._xlws.FILTER($AG$2:$BC$2, AG50:BC50=1)), "")</f>
        <v>Marcatura della conoscenza condivisa &amp; Riformulazione</v>
      </c>
    </row>
    <row r="51" spans="1:60" ht="16.8" customHeight="1" x14ac:dyDescent="0.3">
      <c r="A51" t="s">
        <v>1174</v>
      </c>
      <c r="B51" t="s">
        <v>1175</v>
      </c>
      <c r="C51" t="s">
        <v>1176</v>
      </c>
      <c r="D51" t="s">
        <v>204</v>
      </c>
      <c r="E51" s="52" t="s">
        <v>1177</v>
      </c>
      <c r="F51">
        <v>701348</v>
      </c>
      <c r="G51">
        <v>708197</v>
      </c>
      <c r="H51" t="s">
        <v>1178</v>
      </c>
      <c r="I51" t="s">
        <v>1174</v>
      </c>
      <c r="J51" s="51">
        <v>2.0763888888888887E-2</v>
      </c>
      <c r="K51" t="s">
        <v>160</v>
      </c>
      <c r="L51" t="s">
        <v>1179</v>
      </c>
      <c r="M51" t="s">
        <v>1180</v>
      </c>
      <c r="N51" t="s">
        <v>143</v>
      </c>
      <c r="O51" t="s">
        <v>144</v>
      </c>
      <c r="P51" t="s">
        <v>145</v>
      </c>
      <c r="Q51" t="s">
        <v>146</v>
      </c>
      <c r="R51" t="s">
        <v>167</v>
      </c>
      <c r="S51" t="s">
        <v>148</v>
      </c>
      <c r="T51" t="s">
        <v>149</v>
      </c>
      <c r="U51" t="s">
        <v>151</v>
      </c>
      <c r="V51">
        <v>2</v>
      </c>
      <c r="W51" t="s">
        <v>170</v>
      </c>
      <c r="X51" t="s">
        <v>1181</v>
      </c>
      <c r="Y51" t="s">
        <v>153</v>
      </c>
      <c r="Z51" s="53" t="s">
        <v>1182</v>
      </c>
      <c r="AA51" s="41"/>
      <c r="AB51" s="41"/>
      <c r="AC51" s="41"/>
      <c r="AD51" s="41"/>
      <c r="AE51" s="41">
        <v>1</v>
      </c>
      <c r="AF51" s="41"/>
      <c r="AG51" s="41"/>
      <c r="AH51" s="41">
        <v>1</v>
      </c>
      <c r="AI51" s="41"/>
      <c r="AJ51" s="41"/>
      <c r="AK51" s="41"/>
      <c r="AL51" s="43"/>
      <c r="AM51" s="44"/>
      <c r="AN51" s="43"/>
      <c r="AO51" s="44"/>
      <c r="AP51" s="45"/>
      <c r="AQ51" s="46"/>
      <c r="AR51" s="45"/>
      <c r="AS51" s="46"/>
      <c r="AT51" s="45"/>
      <c r="AU51" s="46"/>
      <c r="AV51" s="9">
        <v>1</v>
      </c>
      <c r="AX51" s="47"/>
      <c r="AY51" s="47"/>
      <c r="AZ51" s="48"/>
      <c r="BA51" s="47"/>
      <c r="BB51" s="48"/>
      <c r="BC51" s="47"/>
      <c r="BD51" s="49">
        <v>1</v>
      </c>
      <c r="BE51" s="49"/>
      <c r="BF51" s="49"/>
      <c r="BG51" t="str">
        <f t="shared" si="0"/>
        <v>Interazionale &amp; Metatestuale</v>
      </c>
      <c r="BH51" s="3" t="str" cm="1">
        <f t="array" ref="BH51">IF(AE51=1, _xlfn.TEXTJOIN(" &amp; ", TRUE, _xlfn._xlws.FILTER($AG$2:$BC$2, AG51:BC51=1)), "")</f>
        <v>Richiesta di accordo/conferma &amp; Filler, riempimento dei tempi di formulazione</v>
      </c>
    </row>
    <row r="52" spans="1:60" ht="16.8" customHeight="1" x14ac:dyDescent="0.3">
      <c r="A52" t="s">
        <v>1174</v>
      </c>
      <c r="B52" t="s">
        <v>1183</v>
      </c>
      <c r="C52" t="s">
        <v>1176</v>
      </c>
      <c r="D52" t="s">
        <v>204</v>
      </c>
      <c r="E52" s="52" t="s">
        <v>1184</v>
      </c>
      <c r="F52">
        <v>1784770</v>
      </c>
      <c r="G52">
        <v>1786700</v>
      </c>
      <c r="H52" t="s">
        <v>1178</v>
      </c>
      <c r="I52" t="s">
        <v>1174</v>
      </c>
      <c r="J52" s="51">
        <v>2.0763888888888887E-2</v>
      </c>
      <c r="K52" t="s">
        <v>160</v>
      </c>
      <c r="L52" t="s">
        <v>1179</v>
      </c>
      <c r="M52" t="s">
        <v>1180</v>
      </c>
      <c r="N52" t="s">
        <v>143</v>
      </c>
      <c r="O52" t="s">
        <v>144</v>
      </c>
      <c r="P52" t="s">
        <v>145</v>
      </c>
      <c r="Q52" t="s">
        <v>146</v>
      </c>
      <c r="R52" t="s">
        <v>167</v>
      </c>
      <c r="S52" t="s">
        <v>148</v>
      </c>
      <c r="T52" t="s">
        <v>149</v>
      </c>
      <c r="U52" t="s">
        <v>151</v>
      </c>
      <c r="V52">
        <v>2</v>
      </c>
      <c r="W52" t="s">
        <v>170</v>
      </c>
      <c r="X52" t="s">
        <v>1185</v>
      </c>
      <c r="Y52" t="s">
        <v>153</v>
      </c>
      <c r="Z52" s="53" t="s">
        <v>1186</v>
      </c>
      <c r="AA52" s="41"/>
      <c r="AB52" s="42"/>
      <c r="AC52" s="41"/>
      <c r="AD52" s="41"/>
      <c r="AE52" s="41">
        <v>1</v>
      </c>
      <c r="AF52" s="41">
        <v>1</v>
      </c>
      <c r="AG52" s="41"/>
      <c r="AH52" s="41">
        <v>1</v>
      </c>
      <c r="AI52" s="41"/>
      <c r="AJ52" s="41"/>
      <c r="AK52" s="41"/>
      <c r="AL52" s="43"/>
      <c r="AM52" s="44">
        <v>1</v>
      </c>
      <c r="AN52" s="43"/>
      <c r="AO52" s="44"/>
      <c r="AP52" s="45"/>
      <c r="AQ52" s="46"/>
      <c r="AR52" s="45"/>
      <c r="AS52" s="46"/>
      <c r="AT52" s="45"/>
      <c r="AU52" s="46"/>
      <c r="AX52" s="47"/>
      <c r="AY52" s="47"/>
      <c r="AZ52" s="48"/>
      <c r="BA52" s="47"/>
      <c r="BB52" s="48"/>
      <c r="BC52" s="47"/>
      <c r="BD52" s="49">
        <v>1</v>
      </c>
      <c r="BE52" s="49"/>
      <c r="BF52" s="49"/>
      <c r="BG52" t="str">
        <f t="shared" si="0"/>
        <v>Interazionale</v>
      </c>
      <c r="BH52" s="3" t="str" cm="1">
        <f t="array" ref="BH52">IF(AE52=1, _xlfn.TEXTJOIN(" &amp; ", TRUE, _xlfn._xlws.FILTER($AG$2:$BC$2, AG52:BC52=1)), "")</f>
        <v>Richiesta di accordo/conferma &amp; Marcatura della conoscenza condivisa</v>
      </c>
    </row>
    <row r="53" spans="1:60" ht="16.8" customHeight="1" x14ac:dyDescent="0.3">
      <c r="A53" t="s">
        <v>241</v>
      </c>
      <c r="B53" t="s">
        <v>1188</v>
      </c>
      <c r="C53" t="s">
        <v>242</v>
      </c>
      <c r="D53">
        <v>2022</v>
      </c>
      <c r="E53" s="52" t="s">
        <v>1189</v>
      </c>
      <c r="F53">
        <v>821355</v>
      </c>
      <c r="G53">
        <v>824200</v>
      </c>
      <c r="H53" t="s">
        <v>243</v>
      </c>
      <c r="I53" t="s">
        <v>241</v>
      </c>
      <c r="J53" s="51">
        <v>4.6099537037037036E-2</v>
      </c>
      <c r="K53" t="s">
        <v>160</v>
      </c>
      <c r="L53" t="s">
        <v>244</v>
      </c>
      <c r="M53" t="s">
        <v>245</v>
      </c>
      <c r="N53" t="s">
        <v>246</v>
      </c>
      <c r="O53" t="s">
        <v>144</v>
      </c>
      <c r="P53" t="s">
        <v>165</v>
      </c>
      <c r="Q53" t="s">
        <v>166</v>
      </c>
      <c r="R53" t="s">
        <v>167</v>
      </c>
      <c r="S53" t="s">
        <v>168</v>
      </c>
      <c r="T53" t="s">
        <v>247</v>
      </c>
      <c r="U53" t="s">
        <v>183</v>
      </c>
      <c r="V53">
        <v>2</v>
      </c>
      <c r="W53" t="s">
        <v>170</v>
      </c>
      <c r="X53" t="s">
        <v>1190</v>
      </c>
      <c r="Y53" t="s">
        <v>153</v>
      </c>
      <c r="Z53" s="53" t="s">
        <v>1191</v>
      </c>
      <c r="AA53" s="41">
        <v>1</v>
      </c>
      <c r="AB53" s="41"/>
      <c r="AC53" s="41">
        <v>1</v>
      </c>
      <c r="AD53" s="41"/>
      <c r="AE53" s="42"/>
      <c r="AF53" s="41"/>
      <c r="AG53" s="41"/>
      <c r="AH53" s="41"/>
      <c r="AI53" s="41"/>
      <c r="AJ53" s="41"/>
      <c r="AK53" s="41"/>
      <c r="AL53" s="43"/>
      <c r="AM53" s="44"/>
      <c r="AN53" s="43"/>
      <c r="AO53" s="44"/>
      <c r="AP53" s="45"/>
      <c r="AQ53" s="46"/>
      <c r="AR53" s="45"/>
      <c r="AS53" s="46"/>
      <c r="AT53" s="45"/>
      <c r="AU53" s="46"/>
      <c r="AX53" s="47"/>
      <c r="AY53" s="47"/>
      <c r="AZ53" s="48"/>
      <c r="BA53" s="47"/>
      <c r="BB53" s="48"/>
      <c r="BC53" s="47"/>
      <c r="BD53" s="49"/>
      <c r="BE53" s="49"/>
      <c r="BF53" s="49"/>
      <c r="BG53" t="str">
        <f t="shared" si="0"/>
        <v/>
      </c>
      <c r="BH53" s="3" t="str" cm="1">
        <f t="array" ref="BH53">IF(AE53=1, _xlfn.TEXTJOIN(" &amp; ", TRUE, _xlfn._xlws.FILTER($AG$2:$BC$2, AG53:BC53=1)), "")</f>
        <v/>
      </c>
    </row>
    <row r="54" spans="1:60" ht="16.8" customHeight="1" x14ac:dyDescent="0.3">
      <c r="A54" t="s">
        <v>241</v>
      </c>
      <c r="B54" t="s">
        <v>1192</v>
      </c>
      <c r="C54" t="s">
        <v>242</v>
      </c>
      <c r="D54">
        <v>2022</v>
      </c>
      <c r="E54" s="52" t="s">
        <v>1193</v>
      </c>
      <c r="F54">
        <v>921929</v>
      </c>
      <c r="G54">
        <v>925268</v>
      </c>
      <c r="H54" t="s">
        <v>243</v>
      </c>
      <c r="I54" t="s">
        <v>241</v>
      </c>
      <c r="J54" s="51">
        <v>4.6099537037037036E-2</v>
      </c>
      <c r="K54" t="s">
        <v>160</v>
      </c>
      <c r="L54" t="s">
        <v>244</v>
      </c>
      <c r="M54" t="s">
        <v>245</v>
      </c>
      <c r="N54" t="s">
        <v>246</v>
      </c>
      <c r="O54" t="s">
        <v>144</v>
      </c>
      <c r="P54" t="s">
        <v>165</v>
      </c>
      <c r="Q54" t="s">
        <v>166</v>
      </c>
      <c r="R54" t="s">
        <v>167</v>
      </c>
      <c r="S54" t="s">
        <v>168</v>
      </c>
      <c r="T54" t="s">
        <v>247</v>
      </c>
      <c r="U54" t="s">
        <v>183</v>
      </c>
      <c r="V54">
        <v>2</v>
      </c>
      <c r="W54" t="s">
        <v>170</v>
      </c>
      <c r="X54" t="s">
        <v>1194</v>
      </c>
      <c r="Y54" t="s">
        <v>153</v>
      </c>
      <c r="Z54" s="53" t="s">
        <v>1195</v>
      </c>
      <c r="AA54" s="41">
        <v>1</v>
      </c>
      <c r="AB54" s="41">
        <v>1</v>
      </c>
      <c r="AC54" s="41"/>
      <c r="AD54" s="41"/>
      <c r="AE54" s="41"/>
      <c r="AF54" s="41"/>
      <c r="AG54" s="41"/>
      <c r="AH54" s="41"/>
      <c r="AI54" s="41"/>
      <c r="AJ54" s="41"/>
      <c r="AK54" s="41"/>
      <c r="AL54" s="43"/>
      <c r="AM54" s="44"/>
      <c r="AN54" s="43"/>
      <c r="AO54" s="44"/>
      <c r="AP54" s="45"/>
      <c r="AQ54" s="46"/>
      <c r="AR54" s="45"/>
      <c r="AS54" s="46"/>
      <c r="AT54" s="45"/>
      <c r="AU54" s="46"/>
      <c r="AX54" s="47"/>
      <c r="AY54" s="47"/>
      <c r="AZ54" s="48"/>
      <c r="BA54" s="47"/>
      <c r="BB54" s="48"/>
      <c r="BC54" s="47"/>
      <c r="BD54" s="49"/>
      <c r="BE54" s="49"/>
      <c r="BF54" s="49"/>
      <c r="BG54" t="str">
        <f t="shared" si="0"/>
        <v/>
      </c>
      <c r="BH54" s="3" t="str" cm="1">
        <f t="array" ref="BH54">IF(AE54=1, _xlfn.TEXTJOIN(" &amp; ", TRUE, _xlfn._xlws.FILTER($AG$2:$BC$2, AG54:BC54=1)), "")</f>
        <v/>
      </c>
    </row>
    <row r="55" spans="1:60" ht="16.8" customHeight="1" x14ac:dyDescent="0.3">
      <c r="A55" t="s">
        <v>241</v>
      </c>
      <c r="B55" t="s">
        <v>1196</v>
      </c>
      <c r="C55" t="s">
        <v>242</v>
      </c>
      <c r="D55">
        <v>2022</v>
      </c>
      <c r="E55" s="52" t="s">
        <v>1197</v>
      </c>
      <c r="F55">
        <v>1503664</v>
      </c>
      <c r="G55">
        <v>1504904</v>
      </c>
      <c r="H55" t="s">
        <v>243</v>
      </c>
      <c r="I55" t="s">
        <v>241</v>
      </c>
      <c r="J55" s="51">
        <v>4.6099537037037036E-2</v>
      </c>
      <c r="K55" t="s">
        <v>160</v>
      </c>
      <c r="L55" t="s">
        <v>244</v>
      </c>
      <c r="M55" t="s">
        <v>245</v>
      </c>
      <c r="N55" t="s">
        <v>246</v>
      </c>
      <c r="O55" t="s">
        <v>144</v>
      </c>
      <c r="P55" t="s">
        <v>165</v>
      </c>
      <c r="Q55" t="s">
        <v>166</v>
      </c>
      <c r="R55" t="s">
        <v>167</v>
      </c>
      <c r="S55" t="s">
        <v>168</v>
      </c>
      <c r="T55" t="s">
        <v>247</v>
      </c>
      <c r="U55" t="s">
        <v>183</v>
      </c>
      <c r="V55">
        <v>2</v>
      </c>
      <c r="W55" t="s">
        <v>170</v>
      </c>
      <c r="X55" t="s">
        <v>1198</v>
      </c>
      <c r="Y55" t="s">
        <v>153</v>
      </c>
      <c r="Z55" s="53" t="s">
        <v>1199</v>
      </c>
      <c r="AA55" s="41">
        <v>1</v>
      </c>
      <c r="AB55" s="41"/>
      <c r="AC55" s="41">
        <v>1</v>
      </c>
      <c r="AD55" s="41"/>
      <c r="AE55" s="41"/>
      <c r="AF55" s="41"/>
      <c r="AG55" s="41"/>
      <c r="AH55" s="41"/>
      <c r="AI55" s="41"/>
      <c r="AJ55" s="41"/>
      <c r="AK55" s="41"/>
      <c r="AL55" s="43"/>
      <c r="AM55" s="44"/>
      <c r="AN55" s="43"/>
      <c r="AO55" s="44"/>
      <c r="AP55" s="45"/>
      <c r="AQ55" s="46"/>
      <c r="AR55" s="45"/>
      <c r="AS55" s="46"/>
      <c r="AT55" s="45"/>
      <c r="AU55" s="46"/>
      <c r="AX55" s="47"/>
      <c r="AY55" s="47"/>
      <c r="AZ55" s="48"/>
      <c r="BA55" s="47"/>
      <c r="BB55" s="48"/>
      <c r="BC55" s="47"/>
      <c r="BD55" s="49"/>
      <c r="BE55" s="49"/>
      <c r="BF55" s="49"/>
      <c r="BG55" t="str">
        <f t="shared" si="0"/>
        <v/>
      </c>
      <c r="BH55" s="3" t="str" cm="1">
        <f t="array" ref="BH55">IF(AE55=1, _xlfn.TEXTJOIN(" &amp; ", TRUE, _xlfn._xlws.FILTER($AG$2:$BC$2, AG55:BC55=1)), "")</f>
        <v/>
      </c>
    </row>
    <row r="56" spans="1:60" ht="16.8" customHeight="1" x14ac:dyDescent="0.3">
      <c r="A56" t="s">
        <v>241</v>
      </c>
      <c r="B56" t="s">
        <v>1201</v>
      </c>
      <c r="C56" t="s">
        <v>242</v>
      </c>
      <c r="D56">
        <v>2022</v>
      </c>
      <c r="E56" s="52" t="s">
        <v>1202</v>
      </c>
      <c r="F56">
        <v>1864312</v>
      </c>
      <c r="G56">
        <v>1867474</v>
      </c>
      <c r="H56" t="s">
        <v>1200</v>
      </c>
      <c r="I56" t="s">
        <v>241</v>
      </c>
      <c r="J56" s="51">
        <v>4.6099537037037036E-2</v>
      </c>
      <c r="K56" t="s">
        <v>160</v>
      </c>
      <c r="L56" t="s">
        <v>244</v>
      </c>
      <c r="M56" t="s">
        <v>245</v>
      </c>
      <c r="N56" t="s">
        <v>143</v>
      </c>
      <c r="O56" t="s">
        <v>164</v>
      </c>
      <c r="P56" t="s">
        <v>165</v>
      </c>
      <c r="Q56" t="s">
        <v>146</v>
      </c>
      <c r="R56" t="s">
        <v>167</v>
      </c>
      <c r="S56" t="s">
        <v>168</v>
      </c>
      <c r="T56" t="s">
        <v>247</v>
      </c>
      <c r="U56" t="s">
        <v>151</v>
      </c>
      <c r="V56">
        <v>2</v>
      </c>
      <c r="W56" t="s">
        <v>170</v>
      </c>
      <c r="X56" t="s">
        <v>1203</v>
      </c>
      <c r="Y56" t="s">
        <v>153</v>
      </c>
      <c r="Z56" s="53" t="s">
        <v>1204</v>
      </c>
      <c r="AA56" s="41">
        <v>1</v>
      </c>
      <c r="AB56" s="41"/>
      <c r="AC56" s="41">
        <v>1</v>
      </c>
      <c r="AD56" s="41"/>
      <c r="AE56" s="41"/>
      <c r="AF56" s="41"/>
      <c r="AG56" s="41"/>
      <c r="AH56" s="41"/>
      <c r="AI56" s="41"/>
      <c r="AJ56" s="41"/>
      <c r="AK56" s="41"/>
      <c r="AL56" s="43"/>
      <c r="AM56" s="44"/>
      <c r="AN56" s="43"/>
      <c r="AO56" s="44"/>
      <c r="AP56" s="45"/>
      <c r="AQ56" s="46"/>
      <c r="AR56" s="45"/>
      <c r="AS56" s="46"/>
      <c r="AT56" s="45"/>
      <c r="AU56" s="46"/>
      <c r="AX56" s="47"/>
      <c r="AY56" s="47"/>
      <c r="AZ56" s="48"/>
      <c r="BA56" s="47"/>
      <c r="BB56" s="48"/>
      <c r="BC56" s="47"/>
      <c r="BD56" s="49"/>
      <c r="BE56" s="49"/>
      <c r="BF56" s="49"/>
      <c r="BG56" t="str">
        <f t="shared" si="0"/>
        <v/>
      </c>
      <c r="BH56" s="3" t="str" cm="1">
        <f t="array" ref="BH56">IF(AE56=1, _xlfn.TEXTJOIN(" &amp; ", TRUE, _xlfn._xlws.FILTER($AG$2:$BC$2, AG56:BC56=1)), "")</f>
        <v/>
      </c>
    </row>
    <row r="57" spans="1:60" ht="16.8" customHeight="1" x14ac:dyDescent="0.3">
      <c r="A57" t="s">
        <v>241</v>
      </c>
      <c r="B57" t="s">
        <v>1205</v>
      </c>
      <c r="C57" t="s">
        <v>242</v>
      </c>
      <c r="D57">
        <v>2022</v>
      </c>
      <c r="E57" s="52" t="s">
        <v>1206</v>
      </c>
      <c r="F57">
        <v>1997220</v>
      </c>
      <c r="G57">
        <v>1999313</v>
      </c>
      <c r="H57" t="s">
        <v>1200</v>
      </c>
      <c r="I57" t="s">
        <v>241</v>
      </c>
      <c r="J57" s="51">
        <v>4.6099537037037036E-2</v>
      </c>
      <c r="K57" t="s">
        <v>160</v>
      </c>
      <c r="L57" t="s">
        <v>244</v>
      </c>
      <c r="M57" t="s">
        <v>245</v>
      </c>
      <c r="N57" t="s">
        <v>143</v>
      </c>
      <c r="O57" t="s">
        <v>164</v>
      </c>
      <c r="P57" t="s">
        <v>165</v>
      </c>
      <c r="Q57" t="s">
        <v>146</v>
      </c>
      <c r="R57" t="s">
        <v>167</v>
      </c>
      <c r="S57" t="s">
        <v>168</v>
      </c>
      <c r="T57" t="s">
        <v>247</v>
      </c>
      <c r="U57" t="s">
        <v>151</v>
      </c>
      <c r="V57">
        <v>2</v>
      </c>
      <c r="W57" t="s">
        <v>170</v>
      </c>
      <c r="X57" t="s">
        <v>1207</v>
      </c>
      <c r="Y57" t="s">
        <v>153</v>
      </c>
      <c r="Z57" s="53" t="s">
        <v>1208</v>
      </c>
      <c r="AA57" s="41">
        <v>1</v>
      </c>
      <c r="AB57" s="41">
        <v>1</v>
      </c>
      <c r="AC57" s="41"/>
      <c r="AD57" s="41"/>
      <c r="AE57" s="41"/>
      <c r="AF57" s="41"/>
      <c r="AG57" s="41"/>
      <c r="AH57" s="41"/>
      <c r="AI57" s="41"/>
      <c r="AJ57" s="41"/>
      <c r="AK57" s="41"/>
      <c r="AL57" s="43"/>
      <c r="AM57" s="44"/>
      <c r="AN57" s="43"/>
      <c r="AO57" s="44"/>
      <c r="AP57" s="45"/>
      <c r="AQ57" s="46"/>
      <c r="AR57" s="45"/>
      <c r="AS57" s="46"/>
      <c r="AT57" s="45"/>
      <c r="AU57" s="46"/>
      <c r="AX57" s="47"/>
      <c r="AY57" s="47"/>
      <c r="AZ57" s="48"/>
      <c r="BA57" s="47"/>
      <c r="BB57" s="48"/>
      <c r="BC57" s="47"/>
      <c r="BD57" s="49"/>
      <c r="BE57" s="49"/>
      <c r="BF57" s="49"/>
      <c r="BG57" t="str">
        <f t="shared" si="0"/>
        <v/>
      </c>
      <c r="BH57" s="3" t="str" cm="1">
        <f t="array" ref="BH57">IF(AE57=1, _xlfn.TEXTJOIN(" &amp; ", TRUE, _xlfn._xlws.FILTER($AG$2:$BC$2, AG57:BC57=1)), "")</f>
        <v/>
      </c>
    </row>
    <row r="58" spans="1:60" ht="16.8" customHeight="1" x14ac:dyDescent="0.3">
      <c r="A58" t="s">
        <v>241</v>
      </c>
      <c r="B58" t="s">
        <v>1209</v>
      </c>
      <c r="C58" t="s">
        <v>242</v>
      </c>
      <c r="D58">
        <v>2022</v>
      </c>
      <c r="E58" s="52" t="s">
        <v>1210</v>
      </c>
      <c r="F58">
        <v>2013492</v>
      </c>
      <c r="G58">
        <v>2017415</v>
      </c>
      <c r="H58" t="s">
        <v>243</v>
      </c>
      <c r="I58" t="s">
        <v>241</v>
      </c>
      <c r="J58" s="51">
        <v>4.6099537037037036E-2</v>
      </c>
      <c r="K58" t="s">
        <v>160</v>
      </c>
      <c r="L58" t="s">
        <v>244</v>
      </c>
      <c r="M58" t="s">
        <v>245</v>
      </c>
      <c r="N58" t="s">
        <v>246</v>
      </c>
      <c r="O58" t="s">
        <v>144</v>
      </c>
      <c r="P58" t="s">
        <v>165</v>
      </c>
      <c r="Q58" t="s">
        <v>166</v>
      </c>
      <c r="R58" t="s">
        <v>167</v>
      </c>
      <c r="S58" t="s">
        <v>168</v>
      </c>
      <c r="T58" t="s">
        <v>247</v>
      </c>
      <c r="U58" t="s">
        <v>183</v>
      </c>
      <c r="V58">
        <v>2</v>
      </c>
      <c r="W58" t="s">
        <v>170</v>
      </c>
      <c r="X58" t="s">
        <v>1211</v>
      </c>
      <c r="Y58" t="s">
        <v>153</v>
      </c>
      <c r="Z58" s="53" t="s">
        <v>1212</v>
      </c>
      <c r="AA58" s="41">
        <v>1</v>
      </c>
      <c r="AB58" s="41">
        <v>1</v>
      </c>
      <c r="AC58" s="41"/>
      <c r="AD58" s="41"/>
      <c r="AE58" s="41"/>
      <c r="AF58" s="41"/>
      <c r="AG58" s="41"/>
      <c r="AH58" s="41"/>
      <c r="AI58" s="41"/>
      <c r="AJ58" s="41"/>
      <c r="AK58" s="41"/>
      <c r="AL58" s="43"/>
      <c r="AM58" s="44"/>
      <c r="AN58" s="43"/>
      <c r="AO58" s="44"/>
      <c r="AP58" s="45"/>
      <c r="AQ58" s="46"/>
      <c r="AR58" s="45"/>
      <c r="AS58" s="46"/>
      <c r="AT58" s="45"/>
      <c r="AU58" s="46"/>
      <c r="AX58" s="47"/>
      <c r="AY58" s="47"/>
      <c r="AZ58" s="48"/>
      <c r="BA58" s="47"/>
      <c r="BB58" s="48"/>
      <c r="BC58" s="47"/>
      <c r="BD58" s="49"/>
      <c r="BE58" s="49"/>
      <c r="BF58" s="49"/>
      <c r="BG58" t="str">
        <f t="shared" si="0"/>
        <v/>
      </c>
      <c r="BH58" s="3" t="str" cm="1">
        <f t="array" ref="BH58">IF(AE58=1, _xlfn.TEXTJOIN(" &amp; ", TRUE, _xlfn._xlws.FILTER($AG$2:$BC$2, AG58:BC58=1)), "")</f>
        <v/>
      </c>
    </row>
    <row r="59" spans="1:60" ht="16.8" customHeight="1" x14ac:dyDescent="0.3">
      <c r="A59" t="s">
        <v>241</v>
      </c>
      <c r="B59" t="s">
        <v>1213</v>
      </c>
      <c r="C59" t="s">
        <v>242</v>
      </c>
      <c r="D59">
        <v>2022</v>
      </c>
      <c r="E59" s="52" t="s">
        <v>1214</v>
      </c>
      <c r="F59">
        <v>2076579</v>
      </c>
      <c r="G59">
        <v>2084309</v>
      </c>
      <c r="H59" t="s">
        <v>243</v>
      </c>
      <c r="I59" t="s">
        <v>241</v>
      </c>
      <c r="J59" s="51">
        <v>4.6099537037037036E-2</v>
      </c>
      <c r="K59" t="s">
        <v>160</v>
      </c>
      <c r="L59" t="s">
        <v>244</v>
      </c>
      <c r="M59" t="s">
        <v>245</v>
      </c>
      <c r="N59" t="s">
        <v>246</v>
      </c>
      <c r="O59" t="s">
        <v>144</v>
      </c>
      <c r="P59" t="s">
        <v>165</v>
      </c>
      <c r="Q59" t="s">
        <v>166</v>
      </c>
      <c r="R59" t="s">
        <v>167</v>
      </c>
      <c r="S59" t="s">
        <v>168</v>
      </c>
      <c r="T59" t="s">
        <v>247</v>
      </c>
      <c r="U59" t="s">
        <v>183</v>
      </c>
      <c r="V59">
        <v>2</v>
      </c>
      <c r="W59" t="s">
        <v>170</v>
      </c>
      <c r="X59" t="s">
        <v>1215</v>
      </c>
      <c r="Y59" t="s">
        <v>153</v>
      </c>
      <c r="Z59" s="53" t="s">
        <v>1216</v>
      </c>
      <c r="AA59"/>
      <c r="AB59"/>
      <c r="AC59" s="41"/>
      <c r="AD59" s="41"/>
      <c r="AE59" s="41">
        <v>1</v>
      </c>
      <c r="AF59" s="41"/>
      <c r="AG59" s="41"/>
      <c r="AH59" s="41"/>
      <c r="AI59" s="41"/>
      <c r="AJ59" s="41"/>
      <c r="AK59" s="41"/>
      <c r="AL59" s="43"/>
      <c r="AM59" s="44">
        <v>1</v>
      </c>
      <c r="AN59" s="43"/>
      <c r="AO59" s="44"/>
      <c r="AP59" s="45"/>
      <c r="AQ59" s="46"/>
      <c r="AR59" s="45"/>
      <c r="AS59" s="46"/>
      <c r="AT59" s="45"/>
      <c r="AU59" s="46">
        <v>1</v>
      </c>
      <c r="AX59" s="47"/>
      <c r="AY59" s="47"/>
      <c r="AZ59" s="48"/>
      <c r="BA59" s="47"/>
      <c r="BB59" s="48"/>
      <c r="BC59" s="47"/>
      <c r="BD59" s="49">
        <v>1</v>
      </c>
      <c r="BE59" s="49"/>
      <c r="BF59" s="49"/>
      <c r="BG59" t="str">
        <f t="shared" si="0"/>
        <v>Interazionale &amp; Metatestuale</v>
      </c>
      <c r="BH59" s="3" t="str" cm="1">
        <f t="array" ref="BH59">IF(AE59=1, _xlfn.TEXTJOIN(" &amp; ", TRUE, _xlfn._xlws.FILTER($AG$2:$BC$2, AG59:BC59=1)), "")</f>
        <v>Marcatura della conoscenza condivisa &amp; Esemplificazione</v>
      </c>
    </row>
    <row r="60" spans="1:60" ht="16.8" customHeight="1" x14ac:dyDescent="0.3">
      <c r="A60" t="s">
        <v>241</v>
      </c>
      <c r="B60" t="s">
        <v>1217</v>
      </c>
      <c r="C60" t="s">
        <v>242</v>
      </c>
      <c r="D60">
        <v>2022</v>
      </c>
      <c r="E60" s="52" t="s">
        <v>1218</v>
      </c>
      <c r="F60">
        <v>2766234</v>
      </c>
      <c r="G60">
        <v>2767990</v>
      </c>
      <c r="H60" t="s">
        <v>243</v>
      </c>
      <c r="I60" t="s">
        <v>241</v>
      </c>
      <c r="J60" s="51">
        <v>4.6099537037037036E-2</v>
      </c>
      <c r="K60" t="s">
        <v>160</v>
      </c>
      <c r="L60" t="s">
        <v>244</v>
      </c>
      <c r="M60" t="s">
        <v>245</v>
      </c>
      <c r="N60" t="s">
        <v>246</v>
      </c>
      <c r="O60" t="s">
        <v>144</v>
      </c>
      <c r="P60" t="s">
        <v>165</v>
      </c>
      <c r="Q60" t="s">
        <v>166</v>
      </c>
      <c r="R60" t="s">
        <v>167</v>
      </c>
      <c r="S60" t="s">
        <v>168</v>
      </c>
      <c r="T60" t="s">
        <v>247</v>
      </c>
      <c r="U60" t="s">
        <v>183</v>
      </c>
      <c r="V60">
        <v>2</v>
      </c>
      <c r="W60" t="s">
        <v>170</v>
      </c>
      <c r="X60" t="s">
        <v>1219</v>
      </c>
      <c r="Y60" t="s">
        <v>153</v>
      </c>
      <c r="Z60" s="53" t="s">
        <v>1220</v>
      </c>
      <c r="AA60" s="41">
        <v>1</v>
      </c>
      <c r="AB60" s="41">
        <v>1</v>
      </c>
      <c r="AC60" s="41"/>
      <c r="AD60" s="41"/>
      <c r="AE60" s="41"/>
      <c r="AF60" s="41"/>
      <c r="AG60" s="41"/>
      <c r="AH60" s="41"/>
      <c r="AI60" s="41"/>
      <c r="AJ60" s="41"/>
      <c r="AK60" s="41"/>
      <c r="AL60" s="43"/>
      <c r="AM60" s="44"/>
      <c r="AN60" s="43"/>
      <c r="AO60" s="44"/>
      <c r="AP60" s="45"/>
      <c r="AQ60" s="46"/>
      <c r="AR60" s="45"/>
      <c r="AS60" s="46"/>
      <c r="AT60" s="45"/>
      <c r="AU60" s="46"/>
      <c r="AX60" s="47"/>
      <c r="AY60" s="47"/>
      <c r="AZ60" s="48"/>
      <c r="BA60" s="47"/>
      <c r="BB60" s="48"/>
      <c r="BC60" s="47"/>
      <c r="BD60" s="49"/>
      <c r="BE60" s="49"/>
      <c r="BF60" s="49"/>
      <c r="BG60" t="str">
        <f t="shared" si="0"/>
        <v/>
      </c>
      <c r="BH60" s="3" t="str" cm="1">
        <f t="array" ref="BH60">IF(AE60=1, _xlfn.TEXTJOIN(" &amp; ", TRUE, _xlfn._xlws.FILTER($AG$2:$BC$2, AG60:BC60=1)), "")</f>
        <v/>
      </c>
    </row>
    <row r="61" spans="1:60" ht="16.8" customHeight="1" x14ac:dyDescent="0.3">
      <c r="A61" t="s">
        <v>1221</v>
      </c>
      <c r="B61" t="s">
        <v>1222</v>
      </c>
      <c r="C61" t="s">
        <v>1223</v>
      </c>
      <c r="D61">
        <v>2019</v>
      </c>
      <c r="E61" s="52" t="s">
        <v>1224</v>
      </c>
      <c r="F61">
        <v>16440</v>
      </c>
      <c r="G61">
        <v>19420</v>
      </c>
      <c r="H61" t="s">
        <v>1225</v>
      </c>
      <c r="I61" t="s">
        <v>1221</v>
      </c>
      <c r="J61" s="51">
        <v>1.8912037037037036E-2</v>
      </c>
      <c r="K61" t="s">
        <v>140</v>
      </c>
      <c r="L61" t="s">
        <v>1226</v>
      </c>
      <c r="M61" t="s">
        <v>1227</v>
      </c>
      <c r="N61" t="s">
        <v>143</v>
      </c>
      <c r="O61" t="s">
        <v>144</v>
      </c>
      <c r="P61" t="s">
        <v>165</v>
      </c>
      <c r="Q61" t="s">
        <v>146</v>
      </c>
      <c r="R61" t="s">
        <v>147</v>
      </c>
      <c r="S61" t="s">
        <v>148</v>
      </c>
      <c r="T61" t="s">
        <v>169</v>
      </c>
      <c r="U61" t="s">
        <v>151</v>
      </c>
      <c r="V61">
        <v>2</v>
      </c>
      <c r="W61" t="s">
        <v>150</v>
      </c>
      <c r="X61" t="s">
        <v>1228</v>
      </c>
      <c r="Y61" t="s">
        <v>153</v>
      </c>
      <c r="Z61" s="53" t="s">
        <v>1229</v>
      </c>
      <c r="AA61" s="41">
        <v>1</v>
      </c>
      <c r="AB61" s="41"/>
      <c r="AC61" s="41"/>
      <c r="AD61" s="41">
        <v>1</v>
      </c>
      <c r="AE61" s="41"/>
      <c r="AF61" s="41"/>
      <c r="AG61" s="41"/>
      <c r="AH61" s="41"/>
      <c r="AI61" s="41"/>
      <c r="AJ61" s="41"/>
      <c r="AK61" s="41"/>
      <c r="AL61" s="43"/>
      <c r="AM61" s="44"/>
      <c r="AN61" s="43"/>
      <c r="AO61" s="44"/>
      <c r="AP61" s="45"/>
      <c r="AQ61" s="46"/>
      <c r="AR61" s="45"/>
      <c r="AS61" s="46"/>
      <c r="AT61" s="45"/>
      <c r="AU61" s="46"/>
      <c r="AX61" s="47"/>
      <c r="AY61" s="47"/>
      <c r="AZ61" s="48"/>
      <c r="BA61" s="47"/>
      <c r="BB61" s="48"/>
      <c r="BC61" s="47"/>
      <c r="BD61" s="49"/>
      <c r="BE61" s="49"/>
      <c r="BF61" s="49"/>
      <c r="BG61" t="str">
        <f t="shared" si="0"/>
        <v/>
      </c>
      <c r="BH61" s="3" t="str" cm="1">
        <f t="array" ref="BH61">IF(AE61=1, _xlfn.TEXTJOIN(" &amp; ", TRUE, _xlfn._xlws.FILTER($AG$2:$BC$2, AG61:BC61=1)), "")</f>
        <v/>
      </c>
    </row>
    <row r="62" spans="1:60" ht="16.8" customHeight="1" x14ac:dyDescent="0.3">
      <c r="A62" t="s">
        <v>1221</v>
      </c>
      <c r="B62" t="s">
        <v>1230</v>
      </c>
      <c r="C62" t="s">
        <v>1223</v>
      </c>
      <c r="D62">
        <v>2019</v>
      </c>
      <c r="E62" s="52" t="s">
        <v>1231</v>
      </c>
      <c r="F62">
        <v>628507</v>
      </c>
      <c r="G62">
        <v>629847</v>
      </c>
      <c r="H62" t="s">
        <v>1225</v>
      </c>
      <c r="I62" t="s">
        <v>1221</v>
      </c>
      <c r="J62" s="51">
        <v>1.8912037037037036E-2</v>
      </c>
      <c r="K62" t="s">
        <v>140</v>
      </c>
      <c r="L62" t="s">
        <v>1226</v>
      </c>
      <c r="M62" t="s">
        <v>1227</v>
      </c>
      <c r="N62" t="s">
        <v>143</v>
      </c>
      <c r="O62" t="s">
        <v>144</v>
      </c>
      <c r="P62" t="s">
        <v>165</v>
      </c>
      <c r="Q62" t="s">
        <v>146</v>
      </c>
      <c r="R62" t="s">
        <v>147</v>
      </c>
      <c r="S62" t="s">
        <v>148</v>
      </c>
      <c r="T62" t="s">
        <v>169</v>
      </c>
      <c r="U62" t="s">
        <v>151</v>
      </c>
      <c r="V62">
        <v>2</v>
      </c>
      <c r="W62" t="s">
        <v>150</v>
      </c>
      <c r="X62" t="s">
        <v>1232</v>
      </c>
      <c r="Y62" t="s">
        <v>153</v>
      </c>
      <c r="Z62" s="53" t="s">
        <v>1233</v>
      </c>
      <c r="AA62" s="41">
        <v>1</v>
      </c>
      <c r="AB62" s="41"/>
      <c r="AC62" s="41">
        <v>1</v>
      </c>
      <c r="AD62" s="41"/>
      <c r="AE62" s="41"/>
      <c r="AF62" s="41"/>
      <c r="AG62" s="41"/>
      <c r="AH62" s="41"/>
      <c r="AI62" s="41"/>
      <c r="AJ62" s="41"/>
      <c r="AK62" s="41"/>
      <c r="AL62" s="43"/>
      <c r="AM62" s="44"/>
      <c r="AN62" s="43"/>
      <c r="AO62" s="44"/>
      <c r="AP62" s="45"/>
      <c r="AQ62" s="46"/>
      <c r="AR62" s="45"/>
      <c r="AS62" s="46"/>
      <c r="AT62" s="45"/>
      <c r="AU62" s="46"/>
      <c r="AX62" s="47"/>
      <c r="AY62" s="47"/>
      <c r="AZ62" s="48"/>
      <c r="BA62" s="47"/>
      <c r="BB62" s="48"/>
      <c r="BC62" s="47"/>
      <c r="BD62" s="49"/>
      <c r="BE62" s="49"/>
      <c r="BF62" s="49"/>
      <c r="BG62" t="str">
        <f t="shared" si="0"/>
        <v/>
      </c>
      <c r="BH62" s="3" t="str" cm="1">
        <f t="array" ref="BH62">IF(AE62=1, _xlfn.TEXTJOIN(" &amp; ", TRUE, _xlfn._xlws.FILTER($AG$2:$BC$2, AG62:BC62=1)), "")</f>
        <v/>
      </c>
    </row>
    <row r="63" spans="1:60" ht="16.8" customHeight="1" x14ac:dyDescent="0.3">
      <c r="A63" t="s">
        <v>1221</v>
      </c>
      <c r="B63" t="s">
        <v>1234</v>
      </c>
      <c r="C63" t="s">
        <v>1223</v>
      </c>
      <c r="D63">
        <v>2019</v>
      </c>
      <c r="E63" s="52" t="s">
        <v>1235</v>
      </c>
      <c r="F63">
        <v>1514800</v>
      </c>
      <c r="G63">
        <v>1516000</v>
      </c>
      <c r="H63" t="s">
        <v>1225</v>
      </c>
      <c r="I63" t="s">
        <v>1221</v>
      </c>
      <c r="J63" s="51">
        <v>1.8912037037037036E-2</v>
      </c>
      <c r="K63" t="s">
        <v>140</v>
      </c>
      <c r="L63" t="s">
        <v>1226</v>
      </c>
      <c r="M63" t="s">
        <v>1227</v>
      </c>
      <c r="N63" t="s">
        <v>143</v>
      </c>
      <c r="O63" t="s">
        <v>144</v>
      </c>
      <c r="P63" t="s">
        <v>165</v>
      </c>
      <c r="Q63" t="s">
        <v>146</v>
      </c>
      <c r="R63" t="s">
        <v>147</v>
      </c>
      <c r="S63" t="s">
        <v>148</v>
      </c>
      <c r="T63" t="s">
        <v>169</v>
      </c>
      <c r="U63" t="s">
        <v>151</v>
      </c>
      <c r="V63">
        <v>2</v>
      </c>
      <c r="W63" t="s">
        <v>150</v>
      </c>
      <c r="X63" t="s">
        <v>1236</v>
      </c>
      <c r="Y63" t="s">
        <v>153</v>
      </c>
      <c r="Z63" s="53" t="s">
        <v>1237</v>
      </c>
      <c r="AA63" s="41"/>
      <c r="AB63"/>
      <c r="AC63" s="41"/>
      <c r="AD63" s="41"/>
      <c r="AE63" s="41">
        <v>1</v>
      </c>
      <c r="AF63" s="41"/>
      <c r="AG63" s="41"/>
      <c r="AH63" s="41"/>
      <c r="AI63" s="41"/>
      <c r="AJ63" s="41"/>
      <c r="AK63" s="41"/>
      <c r="AL63" s="43"/>
      <c r="AM63" s="44"/>
      <c r="AN63" s="43"/>
      <c r="AO63" s="44"/>
      <c r="AP63" s="45"/>
      <c r="AQ63" s="46"/>
      <c r="AR63" s="45"/>
      <c r="AS63" s="46"/>
      <c r="AT63" s="45"/>
      <c r="AU63" s="46"/>
      <c r="AX63" s="47"/>
      <c r="AY63" s="47"/>
      <c r="AZ63" s="48">
        <v>1</v>
      </c>
      <c r="BA63" s="47"/>
      <c r="BB63" s="48"/>
      <c r="BC63" s="47"/>
      <c r="BD63" s="49"/>
      <c r="BE63" s="49"/>
      <c r="BF63" s="49"/>
      <c r="BG63" t="str">
        <f t="shared" si="0"/>
        <v>Cognitiva</v>
      </c>
      <c r="BH63" s="3" t="str" cm="1">
        <f t="array" ref="BH63">IF(AE63=1, _xlfn.TEXTJOIN(" &amp; ", TRUE, _xlfn._xlws.FILTER($AG$2:$BC$2, AG63:BC63=1)), "")</f>
        <v>Approssimazione</v>
      </c>
    </row>
    <row r="64" spans="1:60" ht="16.8" customHeight="1" x14ac:dyDescent="0.3">
      <c r="A64" t="s">
        <v>1238</v>
      </c>
      <c r="B64" t="s">
        <v>1239</v>
      </c>
      <c r="C64" t="s">
        <v>1240</v>
      </c>
      <c r="D64">
        <v>2019</v>
      </c>
      <c r="E64" s="52" t="s">
        <v>1241</v>
      </c>
      <c r="F64">
        <v>180896</v>
      </c>
      <c r="G64">
        <v>183000</v>
      </c>
      <c r="H64" t="s">
        <v>1242</v>
      </c>
      <c r="I64" t="s">
        <v>1238</v>
      </c>
      <c r="J64" s="51">
        <v>4.5694444444444447E-2</v>
      </c>
      <c r="K64" t="s">
        <v>160</v>
      </c>
      <c r="L64" t="s">
        <v>1243</v>
      </c>
      <c r="M64" t="s">
        <v>1244</v>
      </c>
      <c r="N64" t="s">
        <v>197</v>
      </c>
      <c r="O64" t="s">
        <v>144</v>
      </c>
      <c r="P64" t="s">
        <v>145</v>
      </c>
      <c r="Q64" t="s">
        <v>179</v>
      </c>
      <c r="R64" t="s">
        <v>167</v>
      </c>
      <c r="S64" t="s">
        <v>168</v>
      </c>
      <c r="T64" t="s">
        <v>180</v>
      </c>
      <c r="U64" t="s">
        <v>198</v>
      </c>
      <c r="V64">
        <v>5</v>
      </c>
      <c r="W64" t="s">
        <v>170</v>
      </c>
      <c r="X64" t="s">
        <v>1245</v>
      </c>
      <c r="Y64" t="s">
        <v>153</v>
      </c>
      <c r="Z64" s="53" t="s">
        <v>1246</v>
      </c>
      <c r="AA64" s="41">
        <v>1</v>
      </c>
      <c r="AB64" s="41">
        <v>1</v>
      </c>
      <c r="AC64" s="41"/>
      <c r="AD64" s="41"/>
      <c r="AE64" s="41"/>
      <c r="AF64" s="41"/>
      <c r="AG64" s="41"/>
      <c r="AH64" s="41"/>
      <c r="AI64" s="41"/>
      <c r="AJ64" s="41"/>
      <c r="AK64" s="41"/>
      <c r="AL64" s="43"/>
      <c r="AM64" s="44"/>
      <c r="AN64" s="43"/>
      <c r="AO64" s="44"/>
      <c r="AP64" s="45"/>
      <c r="AQ64" s="46"/>
      <c r="AR64" s="45"/>
      <c r="AS64" s="46"/>
      <c r="AT64" s="45"/>
      <c r="AU64" s="46"/>
      <c r="AX64" s="47"/>
      <c r="AY64" s="47"/>
      <c r="AZ64" s="48"/>
      <c r="BA64" s="47"/>
      <c r="BB64" s="48"/>
      <c r="BC64" s="47"/>
      <c r="BD64" s="49"/>
      <c r="BE64" s="49"/>
      <c r="BF64" s="49"/>
      <c r="BG64" t="str">
        <f t="shared" si="0"/>
        <v/>
      </c>
      <c r="BH64" s="3" t="str" cm="1">
        <f t="array" ref="BH64">IF(AE64=1, _xlfn.TEXTJOIN(" &amp; ", TRUE, _xlfn._xlws.FILTER($AG$2:$BC$2, AG64:BC64=1)), "")</f>
        <v/>
      </c>
    </row>
    <row r="65" spans="1:60" ht="16.8" customHeight="1" x14ac:dyDescent="0.3">
      <c r="A65" t="s">
        <v>1247</v>
      </c>
      <c r="B65" t="s">
        <v>1248</v>
      </c>
      <c r="C65" t="s">
        <v>1249</v>
      </c>
      <c r="D65" t="s">
        <v>204</v>
      </c>
      <c r="E65" s="52" t="s">
        <v>1250</v>
      </c>
      <c r="F65">
        <v>1448902</v>
      </c>
      <c r="G65">
        <v>1451410</v>
      </c>
      <c r="H65" t="s">
        <v>1251</v>
      </c>
      <c r="I65" t="s">
        <v>1247</v>
      </c>
      <c r="J65" s="51">
        <v>1.7326388888888888E-2</v>
      </c>
      <c r="K65" t="s">
        <v>160</v>
      </c>
      <c r="L65" t="s">
        <v>1252</v>
      </c>
      <c r="M65" t="s">
        <v>1253</v>
      </c>
      <c r="N65" t="s">
        <v>143</v>
      </c>
      <c r="O65" t="s">
        <v>144</v>
      </c>
      <c r="P65" t="s">
        <v>165</v>
      </c>
      <c r="Q65" t="s">
        <v>146</v>
      </c>
      <c r="R65" t="s">
        <v>167</v>
      </c>
      <c r="S65" t="s">
        <v>148</v>
      </c>
      <c r="T65" t="s">
        <v>169</v>
      </c>
      <c r="U65" t="s">
        <v>151</v>
      </c>
      <c r="V65">
        <v>2</v>
      </c>
      <c r="W65" t="s">
        <v>170</v>
      </c>
      <c r="X65" t="s">
        <v>1254</v>
      </c>
      <c r="Y65" t="s">
        <v>153</v>
      </c>
      <c r="Z65" s="53" t="s">
        <v>1255</v>
      </c>
      <c r="AA65" s="41">
        <v>1</v>
      </c>
      <c r="AB65" s="41"/>
      <c r="AC65" s="41">
        <v>1</v>
      </c>
      <c r="AD65" s="41"/>
      <c r="AE65" s="41"/>
      <c r="AF65" s="41"/>
      <c r="AG65" s="41"/>
      <c r="AH65" s="41"/>
      <c r="AI65" s="41"/>
      <c r="AJ65" s="41"/>
      <c r="AK65" s="41"/>
      <c r="AL65" s="43"/>
      <c r="AM65" s="44"/>
      <c r="AN65" s="43"/>
      <c r="AO65" s="44"/>
      <c r="AP65" s="45"/>
      <c r="AQ65" s="46"/>
      <c r="AR65" s="45"/>
      <c r="AS65" s="46"/>
      <c r="AT65" s="45"/>
      <c r="AU65" s="46"/>
      <c r="AX65" s="47"/>
      <c r="AY65" s="47"/>
      <c r="AZ65" s="48"/>
      <c r="BA65" s="47"/>
      <c r="BB65" s="48"/>
      <c r="BC65" s="47"/>
      <c r="BD65" s="49"/>
      <c r="BE65" s="49"/>
      <c r="BF65" s="49"/>
      <c r="BG65" t="str">
        <f t="shared" si="0"/>
        <v/>
      </c>
      <c r="BH65" s="3" t="str" cm="1">
        <f t="array" ref="BH65">IF(AE65=1, _xlfn.TEXTJOIN(" &amp; ", TRUE, _xlfn._xlws.FILTER($AG$2:$BC$2, AG65:BC65=1)), "")</f>
        <v/>
      </c>
    </row>
    <row r="66" spans="1:60" ht="16.8" customHeight="1" x14ac:dyDescent="0.3">
      <c r="A66" t="s">
        <v>248</v>
      </c>
      <c r="B66" t="s">
        <v>1256</v>
      </c>
      <c r="C66" t="s">
        <v>249</v>
      </c>
      <c r="D66">
        <v>2021</v>
      </c>
      <c r="E66" s="52" t="s">
        <v>1257</v>
      </c>
      <c r="F66">
        <v>1650616</v>
      </c>
      <c r="G66">
        <v>1651395</v>
      </c>
      <c r="H66" t="s">
        <v>1258</v>
      </c>
      <c r="I66" t="s">
        <v>248</v>
      </c>
      <c r="J66" s="51">
        <v>3.8668981481481485E-2</v>
      </c>
      <c r="K66" t="s">
        <v>160</v>
      </c>
      <c r="L66" t="s">
        <v>251</v>
      </c>
      <c r="M66" t="s">
        <v>252</v>
      </c>
      <c r="N66" t="s">
        <v>324</v>
      </c>
      <c r="O66" t="s">
        <v>164</v>
      </c>
      <c r="P66" t="s">
        <v>165</v>
      </c>
      <c r="Q66" t="s">
        <v>166</v>
      </c>
      <c r="R66" t="s">
        <v>167</v>
      </c>
      <c r="S66" t="s">
        <v>168</v>
      </c>
      <c r="T66" t="s">
        <v>169</v>
      </c>
      <c r="U66" t="s">
        <v>171</v>
      </c>
      <c r="V66">
        <v>2</v>
      </c>
      <c r="W66" t="s">
        <v>170</v>
      </c>
      <c r="X66" t="s">
        <v>1259</v>
      </c>
      <c r="Y66" t="s">
        <v>153</v>
      </c>
      <c r="Z66" s="53" t="s">
        <v>1260</v>
      </c>
      <c r="AA66" s="41"/>
      <c r="AB66" s="41"/>
      <c r="AC66" s="41"/>
      <c r="AD66" s="41"/>
      <c r="AE66" s="41">
        <v>1</v>
      </c>
      <c r="AF66" s="41">
        <v>1</v>
      </c>
      <c r="AG66" s="41"/>
      <c r="AH66" s="41"/>
      <c r="AI66" s="41"/>
      <c r="AJ66" s="41"/>
      <c r="AK66" s="41"/>
      <c r="AL66" s="43"/>
      <c r="AM66" s="44">
        <v>1</v>
      </c>
      <c r="AN66" s="43"/>
      <c r="AO66" s="44"/>
      <c r="AP66" s="45"/>
      <c r="AQ66" s="46"/>
      <c r="AR66" s="45"/>
      <c r="AS66" s="46"/>
      <c r="AT66" s="45"/>
      <c r="AU66" s="46"/>
      <c r="AX66" s="47"/>
      <c r="AY66" s="47"/>
      <c r="AZ66" s="48"/>
      <c r="BA66" s="47"/>
      <c r="BB66" s="48"/>
      <c r="BC66" s="47"/>
      <c r="BD66" s="49"/>
      <c r="BE66" s="49"/>
      <c r="BF66" s="49"/>
      <c r="BG66" t="str">
        <f t="shared" si="0"/>
        <v>Interazionale</v>
      </c>
      <c r="BH66" s="3" t="str" cm="1">
        <f t="array" ref="BH66">IF(AE66=1, _xlfn.TEXTJOIN(" &amp; ", TRUE, _xlfn._xlws.FILTER($AG$2:$BC$2, AG66:BC66=1)), "")</f>
        <v>Marcatura della conoscenza condivisa</v>
      </c>
    </row>
    <row r="67" spans="1:60" ht="16.8" customHeight="1" x14ac:dyDescent="0.3">
      <c r="A67" t="s">
        <v>253</v>
      </c>
      <c r="B67" t="s">
        <v>1261</v>
      </c>
      <c r="C67" t="s">
        <v>255</v>
      </c>
      <c r="D67">
        <v>2021</v>
      </c>
      <c r="E67" s="52" t="s">
        <v>1262</v>
      </c>
      <c r="F67">
        <v>720380</v>
      </c>
      <c r="G67">
        <v>723730</v>
      </c>
      <c r="H67" t="s">
        <v>257</v>
      </c>
      <c r="I67" t="s">
        <v>253</v>
      </c>
      <c r="J67" s="51">
        <v>4.085648148148148E-2</v>
      </c>
      <c r="K67" t="s">
        <v>160</v>
      </c>
      <c r="L67" t="s">
        <v>258</v>
      </c>
      <c r="M67" t="s">
        <v>259</v>
      </c>
      <c r="N67" t="s">
        <v>182</v>
      </c>
      <c r="O67" t="s">
        <v>144</v>
      </c>
      <c r="P67" t="s">
        <v>165</v>
      </c>
      <c r="Q67" t="s">
        <v>179</v>
      </c>
      <c r="R67" t="s">
        <v>167</v>
      </c>
      <c r="S67" t="s">
        <v>168</v>
      </c>
      <c r="T67" t="s">
        <v>169</v>
      </c>
      <c r="U67" t="s">
        <v>229</v>
      </c>
      <c r="V67">
        <v>2</v>
      </c>
      <c r="W67" t="s">
        <v>170</v>
      </c>
      <c r="X67" t="s">
        <v>1263</v>
      </c>
      <c r="Y67" t="s">
        <v>153</v>
      </c>
      <c r="Z67" s="53" t="s">
        <v>1264</v>
      </c>
      <c r="AA67" s="41">
        <v>1</v>
      </c>
      <c r="AB67" s="41">
        <v>1</v>
      </c>
      <c r="AC67" s="41"/>
      <c r="AD67" s="41"/>
      <c r="AE67" s="41"/>
      <c r="AF67" s="41"/>
      <c r="AG67" s="41"/>
      <c r="AH67" s="41"/>
      <c r="AI67" s="41"/>
      <c r="AJ67" s="41"/>
      <c r="AK67" s="41"/>
      <c r="AL67" s="43"/>
      <c r="AM67" s="44"/>
      <c r="AN67" s="43"/>
      <c r="AO67" s="44"/>
      <c r="AP67" s="45"/>
      <c r="AQ67" s="46"/>
      <c r="AR67" s="45"/>
      <c r="AS67" s="46"/>
      <c r="AT67" s="45"/>
      <c r="AU67" s="46"/>
      <c r="AX67" s="47"/>
      <c r="AY67" s="47"/>
      <c r="AZ67" s="48"/>
      <c r="BA67" s="47"/>
      <c r="BB67" s="48"/>
      <c r="BC67" s="47"/>
      <c r="BD67" s="49"/>
      <c r="BE67" s="49"/>
      <c r="BF67" s="49"/>
      <c r="BG67" t="str">
        <f t="shared" si="0"/>
        <v/>
      </c>
      <c r="BH67" s="3" t="str" cm="1">
        <f t="array" ref="BH67">IF(AE67=1, _xlfn.TEXTJOIN(" &amp; ", TRUE, _xlfn._xlws.FILTER($AG$2:$BC$2, AG67:BC67=1)), "")</f>
        <v/>
      </c>
    </row>
    <row r="68" spans="1:60" ht="16.8" customHeight="1" x14ac:dyDescent="0.3">
      <c r="A68" t="s">
        <v>253</v>
      </c>
      <c r="B68" t="s">
        <v>254</v>
      </c>
      <c r="C68" t="s">
        <v>255</v>
      </c>
      <c r="D68">
        <v>2021</v>
      </c>
      <c r="E68" s="52" t="s">
        <v>256</v>
      </c>
      <c r="F68">
        <v>2599490</v>
      </c>
      <c r="G68">
        <v>2605537</v>
      </c>
      <c r="H68" t="s">
        <v>257</v>
      </c>
      <c r="I68" t="s">
        <v>253</v>
      </c>
      <c r="J68" s="51">
        <v>4.085648148148148E-2</v>
      </c>
      <c r="K68" t="s">
        <v>160</v>
      </c>
      <c r="L68" t="s">
        <v>258</v>
      </c>
      <c r="M68" t="s">
        <v>259</v>
      </c>
      <c r="N68" t="s">
        <v>182</v>
      </c>
      <c r="O68" t="s">
        <v>144</v>
      </c>
      <c r="P68" t="s">
        <v>165</v>
      </c>
      <c r="Q68" t="s">
        <v>179</v>
      </c>
      <c r="R68" t="s">
        <v>167</v>
      </c>
      <c r="S68" t="s">
        <v>168</v>
      </c>
      <c r="T68" t="s">
        <v>169</v>
      </c>
      <c r="U68" t="s">
        <v>229</v>
      </c>
      <c r="V68">
        <v>2</v>
      </c>
      <c r="W68" t="s">
        <v>170</v>
      </c>
      <c r="X68" t="s">
        <v>260</v>
      </c>
      <c r="Y68" t="s">
        <v>153</v>
      </c>
      <c r="Z68" s="53" t="s">
        <v>261</v>
      </c>
      <c r="AA68" s="41">
        <v>1</v>
      </c>
      <c r="AB68" s="41"/>
      <c r="AC68" s="41">
        <v>1</v>
      </c>
      <c r="AD68" s="41"/>
      <c r="AE68" s="41"/>
      <c r="AF68" s="41"/>
      <c r="AG68" s="41"/>
      <c r="AH68" s="41"/>
      <c r="AI68" s="41"/>
      <c r="AJ68" s="41"/>
      <c r="AK68" s="41"/>
      <c r="AL68" s="43"/>
      <c r="AM68" s="44"/>
      <c r="AN68" s="43"/>
      <c r="AO68" s="44"/>
      <c r="AP68" s="45"/>
      <c r="AQ68" s="46"/>
      <c r="AR68" s="45"/>
      <c r="AS68" s="46"/>
      <c r="AT68" s="45"/>
      <c r="AU68" s="46"/>
      <c r="AX68" s="47"/>
      <c r="AY68" s="47"/>
      <c r="AZ68" s="48"/>
      <c r="BA68" s="47"/>
      <c r="BB68" s="48"/>
      <c r="BC68" s="47"/>
      <c r="BD68" s="49"/>
      <c r="BE68" s="49"/>
      <c r="BF68" s="49"/>
      <c r="BG68" t="str">
        <f t="shared" ref="BG68:BG131" si="1">IF(AE68=1,_xlfn.TEXTJOIN(" &amp; ", TRUE,
    IF(COUNTIF(AG68:AO68,1)&gt;0,"Interazionale",""),
    IF(COUNTIF(AP68:AW68,1)&gt;0,"Metatestuale",""),
    IF(COUNTIF(AX68:BC68,1)&gt;0,"Cognitiva","")
),"")</f>
        <v/>
      </c>
      <c r="BH68" s="3" t="str" cm="1">
        <f t="array" ref="BH68">IF(AE68=1, _xlfn.TEXTJOIN(" &amp; ", TRUE, _xlfn._xlws.FILTER($AG$2:$BC$2, AG68:BC68=1)), "")</f>
        <v/>
      </c>
    </row>
    <row r="69" spans="1:60" ht="16.8" customHeight="1" x14ac:dyDescent="0.3">
      <c r="A69" t="s">
        <v>253</v>
      </c>
      <c r="B69" t="s">
        <v>1265</v>
      </c>
      <c r="C69" t="s">
        <v>255</v>
      </c>
      <c r="D69">
        <v>2021</v>
      </c>
      <c r="E69" s="52" t="s">
        <v>1266</v>
      </c>
      <c r="F69">
        <v>3268307</v>
      </c>
      <c r="G69">
        <v>3269904</v>
      </c>
      <c r="H69" t="s">
        <v>257</v>
      </c>
      <c r="I69" t="s">
        <v>253</v>
      </c>
      <c r="J69" s="51">
        <v>4.085648148148148E-2</v>
      </c>
      <c r="K69" t="s">
        <v>160</v>
      </c>
      <c r="L69" t="s">
        <v>258</v>
      </c>
      <c r="M69" t="s">
        <v>259</v>
      </c>
      <c r="N69" t="s">
        <v>182</v>
      </c>
      <c r="O69" t="s">
        <v>144</v>
      </c>
      <c r="P69" t="s">
        <v>165</v>
      </c>
      <c r="Q69" t="s">
        <v>179</v>
      </c>
      <c r="R69" t="s">
        <v>167</v>
      </c>
      <c r="S69" t="s">
        <v>168</v>
      </c>
      <c r="T69" t="s">
        <v>169</v>
      </c>
      <c r="U69" t="s">
        <v>229</v>
      </c>
      <c r="V69">
        <v>2</v>
      </c>
      <c r="W69" t="s">
        <v>170</v>
      </c>
      <c r="X69" t="s">
        <v>1267</v>
      </c>
      <c r="Y69" t="s">
        <v>153</v>
      </c>
      <c r="Z69" s="53" t="s">
        <v>1268</v>
      </c>
      <c r="AA69" s="41">
        <v>1</v>
      </c>
      <c r="AB69" s="41"/>
      <c r="AC69" s="41">
        <v>1</v>
      </c>
      <c r="AD69" s="41"/>
      <c r="AE69" s="41"/>
      <c r="AF69" s="41"/>
      <c r="AG69" s="41"/>
      <c r="AH69" s="41"/>
      <c r="AI69" s="41"/>
      <c r="AJ69" s="41"/>
      <c r="AK69" s="41"/>
      <c r="AL69" s="43"/>
      <c r="AM69" s="44"/>
      <c r="AN69" s="43"/>
      <c r="AO69" s="44"/>
      <c r="AP69" s="45"/>
      <c r="AQ69" s="46"/>
      <c r="AR69" s="45"/>
      <c r="AS69" s="46"/>
      <c r="AT69" s="45"/>
      <c r="AU69" s="46"/>
      <c r="AX69" s="47"/>
      <c r="AY69" s="47"/>
      <c r="AZ69" s="48"/>
      <c r="BA69" s="47"/>
      <c r="BB69" s="48"/>
      <c r="BC69" s="47"/>
      <c r="BD69" s="49"/>
      <c r="BE69" s="49"/>
      <c r="BF69" s="49"/>
      <c r="BG69" t="str">
        <f t="shared" si="1"/>
        <v/>
      </c>
      <c r="BH69" s="3" t="str" cm="1">
        <f t="array" ref="BH69">IF(AE69=1, _xlfn.TEXTJOIN(" &amp; ", TRUE, _xlfn._xlws.FILTER($AG$2:$BC$2, AG69:BC69=1)), "")</f>
        <v/>
      </c>
    </row>
    <row r="70" spans="1:60" ht="16.8" customHeight="1" x14ac:dyDescent="0.3">
      <c r="A70" t="s">
        <v>253</v>
      </c>
      <c r="B70" t="s">
        <v>1269</v>
      </c>
      <c r="C70" t="s">
        <v>255</v>
      </c>
      <c r="D70">
        <v>2021</v>
      </c>
      <c r="E70" s="52" t="s">
        <v>1270</v>
      </c>
      <c r="F70">
        <v>3502616</v>
      </c>
      <c r="G70">
        <v>3504111</v>
      </c>
      <c r="H70" t="s">
        <v>257</v>
      </c>
      <c r="I70" t="s">
        <v>253</v>
      </c>
      <c r="J70" s="51">
        <v>4.085648148148148E-2</v>
      </c>
      <c r="K70" t="s">
        <v>160</v>
      </c>
      <c r="L70" t="s">
        <v>258</v>
      </c>
      <c r="M70" t="s">
        <v>259</v>
      </c>
      <c r="N70" t="s">
        <v>182</v>
      </c>
      <c r="O70" t="s">
        <v>144</v>
      </c>
      <c r="P70" t="s">
        <v>165</v>
      </c>
      <c r="Q70" t="s">
        <v>179</v>
      </c>
      <c r="R70" t="s">
        <v>167</v>
      </c>
      <c r="S70" t="s">
        <v>168</v>
      </c>
      <c r="T70" t="s">
        <v>169</v>
      </c>
      <c r="U70" t="s">
        <v>229</v>
      </c>
      <c r="V70">
        <v>2</v>
      </c>
      <c r="W70" t="s">
        <v>170</v>
      </c>
      <c r="X70" t="s">
        <v>1271</v>
      </c>
      <c r="Y70" t="s">
        <v>153</v>
      </c>
      <c r="Z70" s="53" t="s">
        <v>1272</v>
      </c>
      <c r="AA70" s="41">
        <v>1</v>
      </c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3"/>
      <c r="AM70" s="44"/>
      <c r="AN70" s="43"/>
      <c r="AO70" s="44"/>
      <c r="AP70" s="45"/>
      <c r="AQ70" s="46"/>
      <c r="AR70" s="45"/>
      <c r="AS70" s="46"/>
      <c r="AT70" s="45"/>
      <c r="AU70" s="46"/>
      <c r="AX70" s="47"/>
      <c r="AY70" s="47"/>
      <c r="AZ70" s="48"/>
      <c r="BA70" s="47"/>
      <c r="BB70" s="48"/>
      <c r="BC70" s="47"/>
      <c r="BD70" s="49"/>
      <c r="BE70" s="49"/>
      <c r="BF70" s="49"/>
      <c r="BG70" t="str">
        <f t="shared" si="1"/>
        <v/>
      </c>
      <c r="BH70" s="3" t="str" cm="1">
        <f t="array" ref="BH70">IF(AE70=1, _xlfn.TEXTJOIN(" &amp; ", TRUE, _xlfn._xlws.FILTER($AG$2:$BC$2, AG70:BC70=1)), "")</f>
        <v/>
      </c>
    </row>
    <row r="71" spans="1:60" ht="16.8" customHeight="1" x14ac:dyDescent="0.3">
      <c r="A71" t="s">
        <v>262</v>
      </c>
      <c r="B71" t="s">
        <v>1273</v>
      </c>
      <c r="C71" t="s">
        <v>263</v>
      </c>
      <c r="D71">
        <v>2022</v>
      </c>
      <c r="E71" s="52" t="s">
        <v>1274</v>
      </c>
      <c r="F71">
        <v>46910</v>
      </c>
      <c r="G71">
        <v>50861</v>
      </c>
      <c r="H71" t="s">
        <v>1275</v>
      </c>
      <c r="I71" t="s">
        <v>262</v>
      </c>
      <c r="J71" t="s">
        <v>265</v>
      </c>
      <c r="K71" t="s">
        <v>140</v>
      </c>
      <c r="L71" t="s">
        <v>266</v>
      </c>
      <c r="M71" t="s">
        <v>267</v>
      </c>
      <c r="N71" t="s">
        <v>143</v>
      </c>
      <c r="O71" t="s">
        <v>144</v>
      </c>
      <c r="P71" t="s">
        <v>165</v>
      </c>
      <c r="Q71" t="s">
        <v>146</v>
      </c>
      <c r="R71" t="s">
        <v>147</v>
      </c>
      <c r="S71" t="s">
        <v>148</v>
      </c>
      <c r="T71" t="s">
        <v>268</v>
      </c>
      <c r="U71" t="s">
        <v>151</v>
      </c>
      <c r="V71">
        <v>3</v>
      </c>
      <c r="W71" t="s">
        <v>269</v>
      </c>
      <c r="X71" t="s">
        <v>1276</v>
      </c>
      <c r="Y71" t="s">
        <v>153</v>
      </c>
      <c r="Z71" s="53" t="s">
        <v>1277</v>
      </c>
      <c r="AA71"/>
      <c r="AB71"/>
      <c r="AC71" s="41"/>
      <c r="AD71" s="41"/>
      <c r="AE71" s="41">
        <v>1</v>
      </c>
      <c r="AF71" s="41"/>
      <c r="AG71" s="41"/>
      <c r="AH71" s="41"/>
      <c r="AI71" s="41"/>
      <c r="AJ71" s="41"/>
      <c r="AK71" s="41"/>
      <c r="AL71" s="43"/>
      <c r="AM71" s="44">
        <v>1</v>
      </c>
      <c r="AN71" s="43"/>
      <c r="AO71" s="44"/>
      <c r="AP71" s="45"/>
      <c r="AQ71" s="46"/>
      <c r="AR71" s="45"/>
      <c r="AS71" s="46"/>
      <c r="AT71" s="45"/>
      <c r="AU71" s="46"/>
      <c r="AX71" s="47"/>
      <c r="AY71" s="47"/>
      <c r="AZ71" s="48"/>
      <c r="BA71" s="47"/>
      <c r="BB71" s="48"/>
      <c r="BC71" s="47"/>
      <c r="BD71" s="49"/>
      <c r="BE71" s="49"/>
      <c r="BF71" s="49"/>
      <c r="BG71" t="str">
        <f t="shared" si="1"/>
        <v>Interazionale</v>
      </c>
      <c r="BH71" s="3" t="str" cm="1">
        <f t="array" ref="BH71">IF(AE71=1, _xlfn.TEXTJOIN(" &amp; ", TRUE, _xlfn._xlws.FILTER($AG$2:$BC$2, AG71:BC71=1)), "")</f>
        <v>Marcatura della conoscenza condivisa</v>
      </c>
    </row>
    <row r="72" spans="1:60" ht="16.8" customHeight="1" x14ac:dyDescent="0.3">
      <c r="A72" t="s">
        <v>262</v>
      </c>
      <c r="B72" t="s">
        <v>1278</v>
      </c>
      <c r="C72" t="s">
        <v>263</v>
      </c>
      <c r="D72">
        <v>2022</v>
      </c>
      <c r="E72" s="52" t="s">
        <v>1279</v>
      </c>
      <c r="F72">
        <v>983735</v>
      </c>
      <c r="G72">
        <v>987671</v>
      </c>
      <c r="H72" t="s">
        <v>1275</v>
      </c>
      <c r="I72" t="s">
        <v>262</v>
      </c>
      <c r="J72" t="s">
        <v>265</v>
      </c>
      <c r="K72" t="s">
        <v>140</v>
      </c>
      <c r="L72" t="s">
        <v>266</v>
      </c>
      <c r="M72" t="s">
        <v>267</v>
      </c>
      <c r="N72" t="s">
        <v>143</v>
      </c>
      <c r="O72" t="s">
        <v>144</v>
      </c>
      <c r="P72" t="s">
        <v>165</v>
      </c>
      <c r="Q72" t="s">
        <v>146</v>
      </c>
      <c r="R72" t="s">
        <v>147</v>
      </c>
      <c r="S72" t="s">
        <v>148</v>
      </c>
      <c r="T72" t="s">
        <v>268</v>
      </c>
      <c r="U72" t="s">
        <v>151</v>
      </c>
      <c r="V72">
        <v>3</v>
      </c>
      <c r="W72" t="s">
        <v>269</v>
      </c>
      <c r="X72" t="s">
        <v>1280</v>
      </c>
      <c r="Y72" t="s">
        <v>153</v>
      </c>
      <c r="Z72" s="53" t="s">
        <v>1281</v>
      </c>
      <c r="AA72">
        <v>1</v>
      </c>
      <c r="AB72"/>
      <c r="AC72" s="41">
        <v>1</v>
      </c>
      <c r="AD72" s="41"/>
      <c r="AE72" s="41"/>
      <c r="AF72" s="41"/>
      <c r="AG72" s="41"/>
      <c r="AH72" s="41"/>
      <c r="AI72" s="41"/>
      <c r="AJ72" s="41"/>
      <c r="AK72" s="41"/>
      <c r="AL72" s="43"/>
      <c r="AM72" s="44"/>
      <c r="AN72" s="43"/>
      <c r="AO72" s="44"/>
      <c r="AP72" s="45"/>
      <c r="AQ72" s="46"/>
      <c r="AR72" s="45"/>
      <c r="AS72" s="46"/>
      <c r="AT72" s="45"/>
      <c r="AU72" s="46"/>
      <c r="AX72" s="47"/>
      <c r="AY72" s="47"/>
      <c r="AZ72" s="48"/>
      <c r="BA72" s="47"/>
      <c r="BB72" s="48"/>
      <c r="BC72" s="47"/>
      <c r="BD72" s="49"/>
      <c r="BE72" s="49"/>
      <c r="BF72" s="49"/>
      <c r="BG72" t="str">
        <f t="shared" si="1"/>
        <v/>
      </c>
      <c r="BH72" s="3" t="str" cm="1">
        <f t="array" ref="BH72">IF(AE72=1, _xlfn.TEXTJOIN(" &amp; ", TRUE, _xlfn._xlws.FILTER($AG$2:$BC$2, AG72:BC72=1)), "")</f>
        <v/>
      </c>
    </row>
    <row r="73" spans="1:60" ht="16.8" customHeight="1" x14ac:dyDescent="0.3">
      <c r="A73" t="s">
        <v>262</v>
      </c>
      <c r="B73" t="s">
        <v>270</v>
      </c>
      <c r="C73" t="s">
        <v>263</v>
      </c>
      <c r="D73">
        <v>2022</v>
      </c>
      <c r="E73" s="52" t="s">
        <v>271</v>
      </c>
      <c r="F73">
        <v>1046712</v>
      </c>
      <c r="G73">
        <v>1051474</v>
      </c>
      <c r="H73" t="s">
        <v>272</v>
      </c>
      <c r="I73" t="s">
        <v>262</v>
      </c>
      <c r="J73" t="s">
        <v>265</v>
      </c>
      <c r="K73" t="s">
        <v>140</v>
      </c>
      <c r="L73" t="s">
        <v>266</v>
      </c>
      <c r="M73" t="s">
        <v>267</v>
      </c>
      <c r="N73" t="s">
        <v>143</v>
      </c>
      <c r="O73" t="s">
        <v>164</v>
      </c>
      <c r="P73" t="s">
        <v>165</v>
      </c>
      <c r="Q73" t="s">
        <v>146</v>
      </c>
      <c r="R73" t="s">
        <v>147</v>
      </c>
      <c r="S73" t="s">
        <v>148</v>
      </c>
      <c r="T73" t="s">
        <v>268</v>
      </c>
      <c r="U73" t="s">
        <v>151</v>
      </c>
      <c r="V73">
        <v>3</v>
      </c>
      <c r="W73" t="s">
        <v>269</v>
      </c>
      <c r="X73" t="s">
        <v>273</v>
      </c>
      <c r="Y73" t="s">
        <v>153</v>
      </c>
      <c r="Z73" s="53" t="s">
        <v>274</v>
      </c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3"/>
      <c r="AM73" s="44"/>
      <c r="AN73" s="43"/>
      <c r="AO73" s="44"/>
      <c r="AP73" s="45"/>
      <c r="AQ73" s="46"/>
      <c r="AR73" s="45"/>
      <c r="AS73" s="46"/>
      <c r="AT73" s="45"/>
      <c r="AU73" s="46"/>
      <c r="AX73" s="47"/>
      <c r="AY73" s="47"/>
      <c r="AZ73" s="48"/>
      <c r="BA73" s="47"/>
      <c r="BB73" s="48"/>
      <c r="BC73" s="47"/>
      <c r="BD73" s="49"/>
      <c r="BE73" s="49"/>
      <c r="BF73" s="49"/>
      <c r="BG73" t="str">
        <f t="shared" si="1"/>
        <v/>
      </c>
      <c r="BH73" s="3" t="str" cm="1">
        <f t="array" ref="BH73">IF(AE73=1, _xlfn.TEXTJOIN(" &amp; ", TRUE, _xlfn._xlws.FILTER($AG$2:$BC$2, AG73:BC73=1)), "")</f>
        <v/>
      </c>
    </row>
    <row r="74" spans="1:60" ht="16.8" customHeight="1" x14ac:dyDescent="0.3">
      <c r="A74" t="s">
        <v>262</v>
      </c>
      <c r="B74" t="s">
        <v>1282</v>
      </c>
      <c r="C74" t="s">
        <v>263</v>
      </c>
      <c r="D74">
        <v>2022</v>
      </c>
      <c r="E74" s="52" t="s">
        <v>1283</v>
      </c>
      <c r="F74">
        <v>1368532</v>
      </c>
      <c r="G74">
        <v>1370799</v>
      </c>
      <c r="H74" t="s">
        <v>264</v>
      </c>
      <c r="I74" t="s">
        <v>262</v>
      </c>
      <c r="J74" t="s">
        <v>265</v>
      </c>
      <c r="K74" t="s">
        <v>140</v>
      </c>
      <c r="L74" t="s">
        <v>266</v>
      </c>
      <c r="M74" t="s">
        <v>267</v>
      </c>
      <c r="N74" t="s">
        <v>143</v>
      </c>
      <c r="O74" t="s">
        <v>144</v>
      </c>
      <c r="P74" t="s">
        <v>165</v>
      </c>
      <c r="Q74" t="s">
        <v>146</v>
      </c>
      <c r="R74" t="s">
        <v>147</v>
      </c>
      <c r="S74" t="s">
        <v>148</v>
      </c>
      <c r="T74" t="s">
        <v>268</v>
      </c>
      <c r="U74" t="s">
        <v>151</v>
      </c>
      <c r="V74">
        <v>3</v>
      </c>
      <c r="W74" t="s">
        <v>269</v>
      </c>
      <c r="X74" t="s">
        <v>1284</v>
      </c>
      <c r="Y74" t="s">
        <v>153</v>
      </c>
      <c r="Z74" s="53" t="s">
        <v>1285</v>
      </c>
      <c r="AA74" s="41">
        <v>1</v>
      </c>
      <c r="AB74" s="41"/>
      <c r="AC74" s="41"/>
      <c r="AD74" s="41">
        <v>1</v>
      </c>
      <c r="AE74" s="41"/>
      <c r="AF74" s="41"/>
      <c r="AG74" s="41"/>
      <c r="AH74" s="41"/>
      <c r="AI74" s="41"/>
      <c r="AJ74" s="41"/>
      <c r="AK74" s="41"/>
      <c r="AL74" s="43"/>
      <c r="AM74" s="44"/>
      <c r="AN74" s="43"/>
      <c r="AO74" s="44"/>
      <c r="AP74" s="45"/>
      <c r="AQ74" s="46"/>
      <c r="AR74" s="45"/>
      <c r="AS74" s="46"/>
      <c r="AT74" s="45"/>
      <c r="AU74" s="46"/>
      <c r="AX74" s="47"/>
      <c r="AY74" s="47"/>
      <c r="AZ74" s="48"/>
      <c r="BA74" s="47"/>
      <c r="BB74" s="48"/>
      <c r="BC74" s="47"/>
      <c r="BD74" s="49"/>
      <c r="BE74" s="49"/>
      <c r="BF74" s="49"/>
      <c r="BG74" t="str">
        <f t="shared" si="1"/>
        <v/>
      </c>
      <c r="BH74" s="3" t="str" cm="1">
        <f t="array" ref="BH74">IF(AE74=1, _xlfn.TEXTJOIN(" &amp; ", TRUE, _xlfn._xlws.FILTER($AG$2:$BC$2, AG74:BC74=1)), "")</f>
        <v/>
      </c>
    </row>
    <row r="75" spans="1:60" ht="16.8" customHeight="1" x14ac:dyDescent="0.3">
      <c r="A75" t="s">
        <v>262</v>
      </c>
      <c r="B75" t="s">
        <v>275</v>
      </c>
      <c r="C75" t="s">
        <v>263</v>
      </c>
      <c r="D75">
        <v>2022</v>
      </c>
      <c r="E75" s="52" t="s">
        <v>276</v>
      </c>
      <c r="F75">
        <v>1616501</v>
      </c>
      <c r="G75">
        <v>1620792</v>
      </c>
      <c r="H75" t="s">
        <v>272</v>
      </c>
      <c r="I75" t="s">
        <v>262</v>
      </c>
      <c r="J75" t="s">
        <v>265</v>
      </c>
      <c r="K75" t="s">
        <v>140</v>
      </c>
      <c r="L75" t="s">
        <v>266</v>
      </c>
      <c r="M75" t="s">
        <v>267</v>
      </c>
      <c r="N75" t="s">
        <v>143</v>
      </c>
      <c r="O75" t="s">
        <v>164</v>
      </c>
      <c r="P75" t="s">
        <v>165</v>
      </c>
      <c r="Q75" t="s">
        <v>146</v>
      </c>
      <c r="R75" t="s">
        <v>147</v>
      </c>
      <c r="S75" t="s">
        <v>148</v>
      </c>
      <c r="T75" t="s">
        <v>268</v>
      </c>
      <c r="U75" t="s">
        <v>151</v>
      </c>
      <c r="V75">
        <v>3</v>
      </c>
      <c r="W75" t="s">
        <v>269</v>
      </c>
      <c r="X75" t="s">
        <v>277</v>
      </c>
      <c r="Y75" t="s">
        <v>153</v>
      </c>
      <c r="Z75" s="53" t="s">
        <v>278</v>
      </c>
      <c r="AA75" s="41">
        <v>1</v>
      </c>
      <c r="AB75" s="41">
        <v>1</v>
      </c>
      <c r="AC75" s="41"/>
      <c r="AD75" s="41"/>
      <c r="AE75" s="41"/>
      <c r="AF75" s="41"/>
      <c r="AG75" s="41"/>
      <c r="AH75" s="41"/>
      <c r="AI75" s="41"/>
      <c r="AJ75" s="41"/>
      <c r="AK75" s="41"/>
      <c r="AL75" s="43"/>
      <c r="AM75" s="44"/>
      <c r="AN75" s="43"/>
      <c r="AO75" s="44"/>
      <c r="AP75" s="45"/>
      <c r="AQ75" s="46"/>
      <c r="AR75" s="45"/>
      <c r="AS75" s="46"/>
      <c r="AT75" s="45"/>
      <c r="AU75" s="46"/>
      <c r="AX75" s="47"/>
      <c r="AY75" s="47"/>
      <c r="AZ75" s="48"/>
      <c r="BA75" s="47"/>
      <c r="BB75" s="48"/>
      <c r="BC75" s="47"/>
      <c r="BD75" s="49"/>
      <c r="BE75" s="49"/>
      <c r="BF75" s="49"/>
      <c r="BG75" t="str">
        <f t="shared" si="1"/>
        <v/>
      </c>
      <c r="BH75" s="3" t="str" cm="1">
        <f t="array" ref="BH75">IF(AE75=1, _xlfn.TEXTJOIN(" &amp; ", TRUE, _xlfn._xlws.FILTER($AG$2:$BC$2, AG75:BC75=1)), "")</f>
        <v/>
      </c>
    </row>
    <row r="76" spans="1:60" ht="16.8" customHeight="1" x14ac:dyDescent="0.3">
      <c r="A76" t="s">
        <v>279</v>
      </c>
      <c r="B76" t="s">
        <v>1286</v>
      </c>
      <c r="C76" t="s">
        <v>281</v>
      </c>
      <c r="D76">
        <v>2020</v>
      </c>
      <c r="E76" s="52" t="s">
        <v>1287</v>
      </c>
      <c r="F76">
        <v>164085</v>
      </c>
      <c r="G76">
        <v>166715</v>
      </c>
      <c r="H76" t="s">
        <v>283</v>
      </c>
      <c r="I76" t="s">
        <v>279</v>
      </c>
      <c r="J76" s="51">
        <v>2.5833333333333333E-2</v>
      </c>
      <c r="K76" t="s">
        <v>140</v>
      </c>
      <c r="L76" t="s">
        <v>284</v>
      </c>
      <c r="M76" t="s">
        <v>285</v>
      </c>
      <c r="N76" t="s">
        <v>286</v>
      </c>
      <c r="O76" t="s">
        <v>144</v>
      </c>
      <c r="P76" t="s">
        <v>287</v>
      </c>
      <c r="Q76" t="s">
        <v>228</v>
      </c>
      <c r="R76" t="s">
        <v>147</v>
      </c>
      <c r="S76" t="s">
        <v>148</v>
      </c>
      <c r="T76" t="s">
        <v>288</v>
      </c>
      <c r="U76" t="s">
        <v>229</v>
      </c>
      <c r="V76">
        <v>2</v>
      </c>
      <c r="W76" t="s">
        <v>269</v>
      </c>
      <c r="X76" t="s">
        <v>1288</v>
      </c>
      <c r="Y76" t="s">
        <v>153</v>
      </c>
      <c r="Z76" s="53" t="s">
        <v>1289</v>
      </c>
      <c r="AA76" s="41">
        <v>1</v>
      </c>
      <c r="AB76" s="41">
        <v>1</v>
      </c>
      <c r="AC76" s="41"/>
      <c r="AD76" s="41"/>
      <c r="AE76" s="41"/>
      <c r="AF76" s="41"/>
      <c r="AG76" s="41"/>
      <c r="AH76" s="41"/>
      <c r="AI76" s="41"/>
      <c r="AJ76" s="41"/>
      <c r="AK76" s="41"/>
      <c r="AL76" s="43"/>
      <c r="AM76" s="44"/>
      <c r="AN76" s="43"/>
      <c r="AO76" s="44"/>
      <c r="AP76" s="45"/>
      <c r="AQ76" s="46"/>
      <c r="AR76" s="45"/>
      <c r="AS76" s="46"/>
      <c r="AT76" s="45"/>
      <c r="AU76" s="46"/>
      <c r="AX76" s="47"/>
      <c r="AY76" s="47"/>
      <c r="AZ76" s="48"/>
      <c r="BA76" s="47"/>
      <c r="BB76" s="48"/>
      <c r="BC76" s="47"/>
      <c r="BD76" s="49"/>
      <c r="BE76" s="49"/>
      <c r="BF76" s="49"/>
      <c r="BG76" t="str">
        <f t="shared" si="1"/>
        <v/>
      </c>
      <c r="BH76" s="3" t="str" cm="1">
        <f t="array" ref="BH76">IF(AE76=1, _xlfn.TEXTJOIN(" &amp; ", TRUE, _xlfn._xlws.FILTER($AG$2:$BC$2, AG76:BC76=1)), "")</f>
        <v/>
      </c>
    </row>
    <row r="77" spans="1:60" ht="16.8" customHeight="1" x14ac:dyDescent="0.3">
      <c r="A77" t="s">
        <v>279</v>
      </c>
      <c r="B77" t="s">
        <v>1290</v>
      </c>
      <c r="C77" t="s">
        <v>281</v>
      </c>
      <c r="D77">
        <v>2020</v>
      </c>
      <c r="E77" s="52" t="s">
        <v>1291</v>
      </c>
      <c r="F77">
        <v>993167</v>
      </c>
      <c r="G77">
        <v>995494</v>
      </c>
      <c r="H77" t="s">
        <v>283</v>
      </c>
      <c r="I77" t="s">
        <v>279</v>
      </c>
      <c r="J77" s="51">
        <v>2.5833333333333333E-2</v>
      </c>
      <c r="K77" t="s">
        <v>140</v>
      </c>
      <c r="L77" t="s">
        <v>284</v>
      </c>
      <c r="M77" t="s">
        <v>285</v>
      </c>
      <c r="N77" t="s">
        <v>286</v>
      </c>
      <c r="O77" t="s">
        <v>144</v>
      </c>
      <c r="P77" t="s">
        <v>287</v>
      </c>
      <c r="Q77" t="s">
        <v>228</v>
      </c>
      <c r="R77" t="s">
        <v>147</v>
      </c>
      <c r="S77" t="s">
        <v>148</v>
      </c>
      <c r="T77" t="s">
        <v>288</v>
      </c>
      <c r="U77" t="s">
        <v>229</v>
      </c>
      <c r="V77">
        <v>2</v>
      </c>
      <c r="W77" t="s">
        <v>269</v>
      </c>
      <c r="X77" t="s">
        <v>1292</v>
      </c>
      <c r="Y77" t="s">
        <v>153</v>
      </c>
      <c r="Z77" s="53" t="s">
        <v>1293</v>
      </c>
      <c r="AA77" s="41">
        <v>1</v>
      </c>
      <c r="AB77" s="41">
        <v>1</v>
      </c>
      <c r="AC77" s="41"/>
      <c r="AD77" s="41"/>
      <c r="AE77" s="41"/>
      <c r="AF77" s="41"/>
      <c r="AG77" s="41"/>
      <c r="AH77" s="41"/>
      <c r="AI77" s="41"/>
      <c r="AJ77" s="41"/>
      <c r="AK77" s="41"/>
      <c r="AL77" s="43"/>
      <c r="AM77" s="44"/>
      <c r="AN77" s="43"/>
      <c r="AO77" s="44"/>
      <c r="AP77" s="45"/>
      <c r="AQ77" s="46"/>
      <c r="AR77" s="45"/>
      <c r="AS77" s="46"/>
      <c r="AT77" s="45"/>
      <c r="AU77" s="46"/>
      <c r="AX77" s="47"/>
      <c r="AY77" s="47"/>
      <c r="AZ77" s="48"/>
      <c r="BA77" s="47"/>
      <c r="BB77" s="48"/>
      <c r="BC77" s="47"/>
      <c r="BD77" s="49"/>
      <c r="BE77" s="49"/>
      <c r="BF77" s="49"/>
      <c r="BG77" t="str">
        <f t="shared" si="1"/>
        <v/>
      </c>
      <c r="BH77" s="3" t="str" cm="1">
        <f t="array" ref="BH77">IF(AE77=1, _xlfn.TEXTJOIN(" &amp; ", TRUE, _xlfn._xlws.FILTER($AG$2:$BC$2, AG77:BC77=1)), "")</f>
        <v/>
      </c>
    </row>
    <row r="78" spans="1:60" ht="16.8" customHeight="1" x14ac:dyDescent="0.3">
      <c r="A78" t="s">
        <v>279</v>
      </c>
      <c r="B78" t="s">
        <v>1294</v>
      </c>
      <c r="C78" t="s">
        <v>281</v>
      </c>
      <c r="D78">
        <v>2020</v>
      </c>
      <c r="E78" s="52" t="s">
        <v>1295</v>
      </c>
      <c r="F78">
        <v>1292365</v>
      </c>
      <c r="G78">
        <v>1294765</v>
      </c>
      <c r="H78" t="s">
        <v>283</v>
      </c>
      <c r="I78" t="s">
        <v>279</v>
      </c>
      <c r="J78" s="51">
        <v>2.5833333333333333E-2</v>
      </c>
      <c r="K78" t="s">
        <v>140</v>
      </c>
      <c r="L78" t="s">
        <v>284</v>
      </c>
      <c r="M78" t="s">
        <v>285</v>
      </c>
      <c r="N78" t="s">
        <v>286</v>
      </c>
      <c r="O78" t="s">
        <v>144</v>
      </c>
      <c r="P78" t="s">
        <v>287</v>
      </c>
      <c r="Q78" t="s">
        <v>228</v>
      </c>
      <c r="R78" t="s">
        <v>147</v>
      </c>
      <c r="S78" t="s">
        <v>148</v>
      </c>
      <c r="T78" t="s">
        <v>288</v>
      </c>
      <c r="U78" t="s">
        <v>229</v>
      </c>
      <c r="V78">
        <v>2</v>
      </c>
      <c r="W78" t="s">
        <v>269</v>
      </c>
      <c r="X78" t="s">
        <v>1296</v>
      </c>
      <c r="Y78" t="s">
        <v>153</v>
      </c>
      <c r="Z78" s="53" t="s">
        <v>1297</v>
      </c>
      <c r="AA78" s="41">
        <v>1</v>
      </c>
      <c r="AB78" s="41"/>
      <c r="AC78" s="41">
        <v>1</v>
      </c>
      <c r="AD78" s="41"/>
      <c r="AE78" s="41"/>
      <c r="AF78" s="41"/>
      <c r="AG78" s="41"/>
      <c r="AH78" s="41"/>
      <c r="AI78" s="41"/>
      <c r="AJ78" s="41"/>
      <c r="AK78" s="41"/>
      <c r="AL78" s="43"/>
      <c r="AM78" s="44"/>
      <c r="AN78" s="43"/>
      <c r="AO78" s="44"/>
      <c r="AP78" s="45"/>
      <c r="AQ78" s="46"/>
      <c r="AR78" s="45"/>
      <c r="AS78" s="46"/>
      <c r="AT78" s="45"/>
      <c r="AU78" s="46"/>
      <c r="AX78" s="47"/>
      <c r="AY78" s="47"/>
      <c r="AZ78" s="48"/>
      <c r="BA78" s="47"/>
      <c r="BB78" s="48"/>
      <c r="BC78" s="47"/>
      <c r="BD78" s="49"/>
      <c r="BE78" s="49"/>
      <c r="BF78" s="49"/>
      <c r="BG78" t="str">
        <f t="shared" si="1"/>
        <v/>
      </c>
      <c r="BH78" s="3" t="str" cm="1">
        <f t="array" ref="BH78">IF(AE78=1, _xlfn.TEXTJOIN(" &amp; ", TRUE, _xlfn._xlws.FILTER($AG$2:$BC$2, AG78:BC78=1)), "")</f>
        <v/>
      </c>
    </row>
    <row r="79" spans="1:60" ht="16.8" customHeight="1" x14ac:dyDescent="0.3">
      <c r="A79" t="s">
        <v>279</v>
      </c>
      <c r="B79" t="s">
        <v>280</v>
      </c>
      <c r="C79" t="s">
        <v>281</v>
      </c>
      <c r="D79">
        <v>2020</v>
      </c>
      <c r="E79" s="52" t="s">
        <v>282</v>
      </c>
      <c r="F79">
        <v>1572328</v>
      </c>
      <c r="G79">
        <v>1574995</v>
      </c>
      <c r="H79" t="s">
        <v>283</v>
      </c>
      <c r="I79" t="s">
        <v>279</v>
      </c>
      <c r="J79" s="51">
        <v>2.5833333333333333E-2</v>
      </c>
      <c r="K79" t="s">
        <v>140</v>
      </c>
      <c r="L79" t="s">
        <v>284</v>
      </c>
      <c r="M79" t="s">
        <v>285</v>
      </c>
      <c r="N79" t="s">
        <v>286</v>
      </c>
      <c r="O79" t="s">
        <v>144</v>
      </c>
      <c r="P79" t="s">
        <v>287</v>
      </c>
      <c r="Q79" t="s">
        <v>228</v>
      </c>
      <c r="R79" t="s">
        <v>147</v>
      </c>
      <c r="S79" t="s">
        <v>148</v>
      </c>
      <c r="T79" t="s">
        <v>288</v>
      </c>
      <c r="U79" t="s">
        <v>229</v>
      </c>
      <c r="V79">
        <v>2</v>
      </c>
      <c r="W79" t="s">
        <v>269</v>
      </c>
      <c r="X79" t="s">
        <v>289</v>
      </c>
      <c r="Y79" t="s">
        <v>153</v>
      </c>
      <c r="Z79" s="53" t="s">
        <v>290</v>
      </c>
      <c r="AA79"/>
      <c r="AB79"/>
      <c r="AC79" s="41"/>
      <c r="AD79" s="41"/>
      <c r="AE79" s="41">
        <v>1</v>
      </c>
      <c r="AF79" s="41"/>
      <c r="AG79" s="41"/>
      <c r="AH79" s="41"/>
      <c r="AI79" s="41"/>
      <c r="AJ79" s="41"/>
      <c r="AK79" s="41"/>
      <c r="AL79" s="43"/>
      <c r="AM79" s="44">
        <v>1</v>
      </c>
      <c r="AN79" s="43"/>
      <c r="AO79" s="44"/>
      <c r="AP79" s="45"/>
      <c r="AQ79" s="46"/>
      <c r="AR79" s="45"/>
      <c r="AS79" s="46"/>
      <c r="AT79" s="45"/>
      <c r="AU79" s="46"/>
      <c r="AW79" s="21">
        <v>1</v>
      </c>
      <c r="AX79" s="47"/>
      <c r="AY79" s="47"/>
      <c r="AZ79" s="48"/>
      <c r="BA79" s="47"/>
      <c r="BB79" s="48"/>
      <c r="BC79" s="47"/>
      <c r="BD79" s="49">
        <v>1</v>
      </c>
      <c r="BE79" s="49"/>
      <c r="BF79" s="49"/>
      <c r="BG79" t="str">
        <f t="shared" si="1"/>
        <v>Interazionale &amp; Metatestuale</v>
      </c>
      <c r="BH79" s="3" t="str" cm="1">
        <f t="array" ref="BH79">IF(AE79=1, _xlfn.TEXTJOIN(" &amp; ", TRUE, _xlfn._xlws.FILTER($AG$2:$BC$2, AG79:BC79=1)), "")</f>
        <v>Marcatura della conoscenza condivisa &amp; General extenders e marche di generalizzazione</v>
      </c>
    </row>
    <row r="80" spans="1:60" ht="16.8" customHeight="1" x14ac:dyDescent="0.3">
      <c r="A80" t="s">
        <v>279</v>
      </c>
      <c r="B80" t="s">
        <v>291</v>
      </c>
      <c r="C80" t="s">
        <v>281</v>
      </c>
      <c r="D80">
        <v>2020</v>
      </c>
      <c r="E80" s="52" t="s">
        <v>292</v>
      </c>
      <c r="F80">
        <v>1636551</v>
      </c>
      <c r="G80">
        <v>1640126</v>
      </c>
      <c r="H80" t="s">
        <v>283</v>
      </c>
      <c r="I80" t="s">
        <v>279</v>
      </c>
      <c r="J80" s="51">
        <v>2.5833333333333333E-2</v>
      </c>
      <c r="K80" t="s">
        <v>140</v>
      </c>
      <c r="L80" t="s">
        <v>284</v>
      </c>
      <c r="M80" t="s">
        <v>285</v>
      </c>
      <c r="N80" t="s">
        <v>286</v>
      </c>
      <c r="O80" t="s">
        <v>144</v>
      </c>
      <c r="P80" t="s">
        <v>287</v>
      </c>
      <c r="Q80" t="s">
        <v>228</v>
      </c>
      <c r="R80" t="s">
        <v>147</v>
      </c>
      <c r="S80" t="s">
        <v>148</v>
      </c>
      <c r="T80" t="s">
        <v>288</v>
      </c>
      <c r="U80" t="s">
        <v>229</v>
      </c>
      <c r="V80">
        <v>2</v>
      </c>
      <c r="W80" t="s">
        <v>269</v>
      </c>
      <c r="X80" t="s">
        <v>293</v>
      </c>
      <c r="Y80" t="s">
        <v>153</v>
      </c>
      <c r="Z80" s="53" t="s">
        <v>294</v>
      </c>
      <c r="AA80">
        <v>1</v>
      </c>
      <c r="AB80" s="41">
        <v>1</v>
      </c>
      <c r="AC80" s="41"/>
      <c r="AD80" s="41"/>
      <c r="AE80" s="41"/>
      <c r="AF80" s="41"/>
      <c r="AG80" s="41"/>
      <c r="AH80" s="41"/>
      <c r="AI80" s="41"/>
      <c r="AJ80" s="41"/>
      <c r="AK80" s="41"/>
      <c r="AL80" s="43"/>
      <c r="AM80" s="44"/>
      <c r="AN80" s="43"/>
      <c r="AO80" s="44"/>
      <c r="AP80" s="45"/>
      <c r="AQ80" s="46"/>
      <c r="AR80" s="45"/>
      <c r="AS80" s="46"/>
      <c r="AT80" s="45"/>
      <c r="AU80" s="46"/>
      <c r="AX80" s="47"/>
      <c r="AY80" s="47"/>
      <c r="AZ80" s="48"/>
      <c r="BA80" s="47"/>
      <c r="BB80" s="48"/>
      <c r="BC80" s="47"/>
      <c r="BD80" s="49"/>
      <c r="BE80" s="49"/>
      <c r="BF80" s="49"/>
      <c r="BG80" t="str">
        <f t="shared" si="1"/>
        <v/>
      </c>
      <c r="BH80" s="3" t="str" cm="1">
        <f t="array" ref="BH80">IF(AE80=1, _xlfn.TEXTJOIN(" &amp; ", TRUE, _xlfn._xlws.FILTER($AG$2:$BC$2, AG80:BC80=1)), "")</f>
        <v/>
      </c>
    </row>
    <row r="81" spans="1:60" ht="16.8" customHeight="1" x14ac:dyDescent="0.3">
      <c r="A81" t="s">
        <v>279</v>
      </c>
      <c r="B81" t="s">
        <v>1298</v>
      </c>
      <c r="C81" t="s">
        <v>281</v>
      </c>
      <c r="D81">
        <v>2020</v>
      </c>
      <c r="E81" s="52" t="s">
        <v>1299</v>
      </c>
      <c r="F81">
        <v>1657974</v>
      </c>
      <c r="G81">
        <v>1660415</v>
      </c>
      <c r="H81" t="s">
        <v>283</v>
      </c>
      <c r="I81" t="s">
        <v>279</v>
      </c>
      <c r="J81" s="51">
        <v>2.5833333333333333E-2</v>
      </c>
      <c r="K81" t="s">
        <v>140</v>
      </c>
      <c r="L81" t="s">
        <v>284</v>
      </c>
      <c r="M81" t="s">
        <v>285</v>
      </c>
      <c r="N81" t="s">
        <v>286</v>
      </c>
      <c r="O81" t="s">
        <v>144</v>
      </c>
      <c r="P81" t="s">
        <v>287</v>
      </c>
      <c r="Q81" t="s">
        <v>228</v>
      </c>
      <c r="R81" t="s">
        <v>147</v>
      </c>
      <c r="S81" t="s">
        <v>148</v>
      </c>
      <c r="T81" t="s">
        <v>288</v>
      </c>
      <c r="U81" t="s">
        <v>229</v>
      </c>
      <c r="V81">
        <v>2</v>
      </c>
      <c r="W81" t="s">
        <v>269</v>
      </c>
      <c r="X81" t="s">
        <v>1300</v>
      </c>
      <c r="Y81" t="s">
        <v>153</v>
      </c>
      <c r="Z81" s="53" t="s">
        <v>1301</v>
      </c>
      <c r="AA81" s="41"/>
      <c r="AB81" s="41"/>
      <c r="AC81" s="41"/>
      <c r="AD81" s="41"/>
      <c r="AE81" s="41">
        <v>1</v>
      </c>
      <c r="AF81" s="41"/>
      <c r="AG81" s="41"/>
      <c r="AH81" s="41"/>
      <c r="AI81" s="41"/>
      <c r="AJ81" s="41"/>
      <c r="AK81" s="41"/>
      <c r="AL81" s="43"/>
      <c r="AM81" s="44">
        <v>1</v>
      </c>
      <c r="AN81" s="43"/>
      <c r="AO81" s="44"/>
      <c r="AP81" s="45"/>
      <c r="AQ81" s="46"/>
      <c r="AR81" s="45"/>
      <c r="AS81" s="46"/>
      <c r="AT81" s="45"/>
      <c r="AU81" s="46"/>
      <c r="AX81" s="47"/>
      <c r="AY81" s="47"/>
      <c r="AZ81" s="48"/>
      <c r="BA81" s="47"/>
      <c r="BB81" s="48"/>
      <c r="BC81" s="47"/>
      <c r="BD81" s="49"/>
      <c r="BE81" s="49"/>
      <c r="BF81" s="49"/>
      <c r="BG81" t="str">
        <f t="shared" si="1"/>
        <v>Interazionale</v>
      </c>
      <c r="BH81" s="3" t="str" cm="1">
        <f t="array" ref="BH81">IF(AE81=1, _xlfn.TEXTJOIN(" &amp; ", TRUE, _xlfn._xlws.FILTER($AG$2:$BC$2, AG81:BC81=1)), "")</f>
        <v>Marcatura della conoscenza condivisa</v>
      </c>
    </row>
    <row r="82" spans="1:60" ht="16.8" customHeight="1" x14ac:dyDescent="0.3">
      <c r="A82" t="s">
        <v>279</v>
      </c>
      <c r="B82" t="s">
        <v>1302</v>
      </c>
      <c r="C82" t="s">
        <v>281</v>
      </c>
      <c r="D82">
        <v>2020</v>
      </c>
      <c r="E82" s="52" t="s">
        <v>1303</v>
      </c>
      <c r="F82">
        <v>1720174</v>
      </c>
      <c r="G82">
        <v>1722066</v>
      </c>
      <c r="H82" t="s">
        <v>283</v>
      </c>
      <c r="I82" t="s">
        <v>279</v>
      </c>
      <c r="J82" s="51">
        <v>2.5833333333333333E-2</v>
      </c>
      <c r="K82" t="s">
        <v>140</v>
      </c>
      <c r="L82" t="s">
        <v>284</v>
      </c>
      <c r="M82" t="s">
        <v>285</v>
      </c>
      <c r="N82" t="s">
        <v>286</v>
      </c>
      <c r="O82" t="s">
        <v>144</v>
      </c>
      <c r="P82" t="s">
        <v>287</v>
      </c>
      <c r="Q82" t="s">
        <v>228</v>
      </c>
      <c r="R82" t="s">
        <v>147</v>
      </c>
      <c r="S82" t="s">
        <v>148</v>
      </c>
      <c r="T82" t="s">
        <v>288</v>
      </c>
      <c r="U82" t="s">
        <v>229</v>
      </c>
      <c r="V82">
        <v>2</v>
      </c>
      <c r="W82" t="s">
        <v>269</v>
      </c>
      <c r="X82" t="s">
        <v>1304</v>
      </c>
      <c r="Y82" t="s">
        <v>153</v>
      </c>
      <c r="Z82" s="53" t="s">
        <v>1305</v>
      </c>
      <c r="AA82" s="41">
        <v>1</v>
      </c>
      <c r="AB82" s="41"/>
      <c r="AC82" s="41">
        <v>1</v>
      </c>
      <c r="AD82" s="41"/>
      <c r="AE82" s="41"/>
      <c r="AF82" s="41"/>
      <c r="AG82" s="41"/>
      <c r="AH82" s="41"/>
      <c r="AI82" s="41"/>
      <c r="AJ82" s="41"/>
      <c r="AK82" s="41"/>
      <c r="AL82" s="43"/>
      <c r="AM82" s="44"/>
      <c r="AN82" s="43"/>
      <c r="AO82" s="44"/>
      <c r="AP82" s="45"/>
      <c r="AQ82" s="46"/>
      <c r="AR82" s="45"/>
      <c r="AS82" s="46"/>
      <c r="AT82" s="45"/>
      <c r="AU82" s="46"/>
      <c r="AX82" s="47"/>
      <c r="AY82" s="47"/>
      <c r="AZ82" s="48"/>
      <c r="BA82" s="47"/>
      <c r="BB82" s="48"/>
      <c r="BC82" s="47"/>
      <c r="BD82" s="49"/>
      <c r="BE82" s="49"/>
      <c r="BF82" s="49"/>
      <c r="BG82" t="str">
        <f t="shared" si="1"/>
        <v/>
      </c>
      <c r="BH82" s="3" t="str" cm="1">
        <f t="array" ref="BH82">IF(AE82=1, _xlfn.TEXTJOIN(" &amp; ", TRUE, _xlfn._xlws.FILTER($AG$2:$BC$2, AG82:BC82=1)), "")</f>
        <v/>
      </c>
    </row>
    <row r="83" spans="1:60" ht="16.8" customHeight="1" x14ac:dyDescent="0.3">
      <c r="A83" t="s">
        <v>295</v>
      </c>
      <c r="B83" t="s">
        <v>1306</v>
      </c>
      <c r="C83" t="s">
        <v>297</v>
      </c>
      <c r="D83" t="s">
        <v>204</v>
      </c>
      <c r="E83" s="52" t="s">
        <v>1307</v>
      </c>
      <c r="F83">
        <v>152901</v>
      </c>
      <c r="G83">
        <v>159248</v>
      </c>
      <c r="H83" t="s">
        <v>1308</v>
      </c>
      <c r="I83" t="s">
        <v>295</v>
      </c>
      <c r="J83" s="51">
        <v>1.269675925925926E-2</v>
      </c>
      <c r="K83" t="s">
        <v>140</v>
      </c>
      <c r="L83" t="s">
        <v>300</v>
      </c>
      <c r="M83" t="s">
        <v>301</v>
      </c>
      <c r="N83" t="s">
        <v>143</v>
      </c>
      <c r="O83" t="s">
        <v>144</v>
      </c>
      <c r="P83" t="s">
        <v>165</v>
      </c>
      <c r="Q83" t="s">
        <v>146</v>
      </c>
      <c r="R83" t="s">
        <v>147</v>
      </c>
      <c r="S83" t="s">
        <v>148</v>
      </c>
      <c r="T83" t="s">
        <v>373</v>
      </c>
      <c r="U83" t="s">
        <v>151</v>
      </c>
      <c r="V83">
        <v>4</v>
      </c>
      <c r="W83" t="s">
        <v>150</v>
      </c>
      <c r="X83" t="s">
        <v>1309</v>
      </c>
      <c r="Y83" t="s">
        <v>153</v>
      </c>
      <c r="Z83" s="53" t="s">
        <v>1310</v>
      </c>
      <c r="AA83" s="41">
        <v>1</v>
      </c>
      <c r="AB83" s="41"/>
      <c r="AC83" s="41"/>
      <c r="AD83" s="41">
        <v>1</v>
      </c>
      <c r="AE83" s="41"/>
      <c r="AF83" s="41"/>
      <c r="AG83" s="41"/>
      <c r="AH83" s="41"/>
      <c r="AI83" s="41"/>
      <c r="AJ83" s="41"/>
      <c r="AK83" s="41"/>
      <c r="AL83" s="43"/>
      <c r="AM83" s="44"/>
      <c r="AN83" s="43"/>
      <c r="AO83" s="44"/>
      <c r="AP83" s="45"/>
      <c r="AQ83" s="46"/>
      <c r="AR83" s="45"/>
      <c r="AS83" s="46"/>
      <c r="AT83" s="45"/>
      <c r="AU83" s="46"/>
      <c r="AX83" s="47"/>
      <c r="AY83" s="47"/>
      <c r="AZ83" s="48"/>
      <c r="BA83" s="47"/>
      <c r="BB83" s="48"/>
      <c r="BC83" s="47"/>
      <c r="BD83" s="49"/>
      <c r="BE83" s="49"/>
      <c r="BF83" s="49"/>
      <c r="BG83" t="str">
        <f t="shared" si="1"/>
        <v/>
      </c>
      <c r="BH83" s="3" t="str" cm="1">
        <f t="array" ref="BH83">IF(AE83=1, _xlfn.TEXTJOIN(" &amp; ", TRUE, _xlfn._xlws.FILTER($AG$2:$BC$2, AG83:BC83=1)), "")</f>
        <v/>
      </c>
    </row>
    <row r="84" spans="1:60" ht="16.8" customHeight="1" x14ac:dyDescent="0.3">
      <c r="A84" t="s">
        <v>295</v>
      </c>
      <c r="B84" t="s">
        <v>1311</v>
      </c>
      <c r="C84" t="s">
        <v>297</v>
      </c>
      <c r="D84" t="s">
        <v>204</v>
      </c>
      <c r="E84" s="52" t="s">
        <v>1312</v>
      </c>
      <c r="F84">
        <v>397220</v>
      </c>
      <c r="G84">
        <v>399159</v>
      </c>
      <c r="H84" t="s">
        <v>299</v>
      </c>
      <c r="I84" t="s">
        <v>295</v>
      </c>
      <c r="J84" s="51">
        <v>1.269675925925926E-2</v>
      </c>
      <c r="K84" t="s">
        <v>140</v>
      </c>
      <c r="L84" t="s">
        <v>300</v>
      </c>
      <c r="M84" t="s">
        <v>301</v>
      </c>
      <c r="N84" t="s">
        <v>143</v>
      </c>
      <c r="O84" t="s">
        <v>144</v>
      </c>
      <c r="P84" t="s">
        <v>165</v>
      </c>
      <c r="Q84" t="s">
        <v>146</v>
      </c>
      <c r="R84" t="s">
        <v>147</v>
      </c>
      <c r="S84" t="s">
        <v>148</v>
      </c>
      <c r="T84" t="s">
        <v>169</v>
      </c>
      <c r="U84" t="s">
        <v>151</v>
      </c>
      <c r="V84">
        <v>4</v>
      </c>
      <c r="W84" t="s">
        <v>150</v>
      </c>
      <c r="X84" t="s">
        <v>1313</v>
      </c>
      <c r="Y84" t="s">
        <v>153</v>
      </c>
      <c r="Z84" s="53" t="s">
        <v>1314</v>
      </c>
      <c r="AA84" s="41">
        <v>1</v>
      </c>
      <c r="AB84"/>
      <c r="AC84" s="41"/>
      <c r="AD84" s="41"/>
      <c r="AE84" s="41"/>
      <c r="AF84" s="41"/>
      <c r="AG84" s="41"/>
      <c r="AH84" s="41"/>
      <c r="AI84" s="41"/>
      <c r="AJ84" s="41"/>
      <c r="AK84" s="41"/>
      <c r="AL84" s="43"/>
      <c r="AM84" s="44"/>
      <c r="AN84" s="43"/>
      <c r="AO84" s="44"/>
      <c r="AP84" s="45"/>
      <c r="AQ84" s="46"/>
      <c r="AR84" s="45"/>
      <c r="AS84" s="46"/>
      <c r="AT84" s="45"/>
      <c r="AU84" s="46"/>
      <c r="AX84" s="47"/>
      <c r="AY84" s="47"/>
      <c r="AZ84" s="48"/>
      <c r="BA84" s="47"/>
      <c r="BB84" s="48"/>
      <c r="BC84" s="47"/>
      <c r="BD84" s="49"/>
      <c r="BE84" s="49"/>
      <c r="BF84" s="49"/>
      <c r="BG84" t="str">
        <f t="shared" si="1"/>
        <v/>
      </c>
      <c r="BH84" s="3" t="str" cm="1">
        <f t="array" ref="BH84">IF(AE84=1, _xlfn.TEXTJOIN(" &amp; ", TRUE, _xlfn._xlws.FILTER($AG$2:$BC$2, AG84:BC84=1)), "")</f>
        <v/>
      </c>
    </row>
    <row r="85" spans="1:60" ht="16.8" customHeight="1" x14ac:dyDescent="0.3">
      <c r="A85" t="s">
        <v>295</v>
      </c>
      <c r="B85" t="s">
        <v>296</v>
      </c>
      <c r="C85" t="s">
        <v>297</v>
      </c>
      <c r="D85" t="s">
        <v>204</v>
      </c>
      <c r="E85" s="52" t="s">
        <v>298</v>
      </c>
      <c r="F85">
        <v>399724</v>
      </c>
      <c r="G85">
        <v>403480</v>
      </c>
      <c r="H85" t="s">
        <v>299</v>
      </c>
      <c r="I85" t="s">
        <v>295</v>
      </c>
      <c r="J85" s="51">
        <v>1.269675925925926E-2</v>
      </c>
      <c r="K85" t="s">
        <v>140</v>
      </c>
      <c r="L85" t="s">
        <v>300</v>
      </c>
      <c r="M85" t="s">
        <v>301</v>
      </c>
      <c r="N85" t="s">
        <v>143</v>
      </c>
      <c r="O85" t="s">
        <v>144</v>
      </c>
      <c r="P85" t="s">
        <v>165</v>
      </c>
      <c r="Q85" t="s">
        <v>146</v>
      </c>
      <c r="R85" t="s">
        <v>147</v>
      </c>
      <c r="S85" t="s">
        <v>148</v>
      </c>
      <c r="T85" t="s">
        <v>169</v>
      </c>
      <c r="U85" t="s">
        <v>151</v>
      </c>
      <c r="V85">
        <v>4</v>
      </c>
      <c r="W85" t="s">
        <v>150</v>
      </c>
      <c r="X85" t="s">
        <v>302</v>
      </c>
      <c r="Y85" t="s">
        <v>153</v>
      </c>
      <c r="Z85" s="53" t="s">
        <v>303</v>
      </c>
      <c r="AA85" s="41">
        <v>1</v>
      </c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3"/>
      <c r="AM85" s="44"/>
      <c r="AN85" s="43"/>
      <c r="AO85" s="44"/>
      <c r="AP85" s="45"/>
      <c r="AQ85" s="46"/>
      <c r="AR85" s="45"/>
      <c r="AS85" s="46"/>
      <c r="AT85" s="45"/>
      <c r="AU85" s="46"/>
      <c r="AX85" s="47"/>
      <c r="AY85" s="47"/>
      <c r="AZ85" s="48"/>
      <c r="BA85" s="47"/>
      <c r="BB85" s="48"/>
      <c r="BC85" s="47"/>
      <c r="BD85" s="49"/>
      <c r="BE85" s="49"/>
      <c r="BF85" s="49"/>
      <c r="BG85" t="str">
        <f t="shared" si="1"/>
        <v/>
      </c>
      <c r="BH85" s="3" t="str" cm="1">
        <f t="array" ref="BH85">IF(AE85=1, _xlfn.TEXTJOIN(" &amp; ", TRUE, _xlfn._xlws.FILTER($AG$2:$BC$2, AG85:BC85=1)), "")</f>
        <v/>
      </c>
    </row>
    <row r="86" spans="1:60" ht="16.8" customHeight="1" x14ac:dyDescent="0.3">
      <c r="A86" t="s">
        <v>295</v>
      </c>
      <c r="B86" t="s">
        <v>1315</v>
      </c>
      <c r="C86" t="s">
        <v>297</v>
      </c>
      <c r="D86" t="s">
        <v>204</v>
      </c>
      <c r="E86" s="52" t="s">
        <v>1316</v>
      </c>
      <c r="F86">
        <v>773165</v>
      </c>
      <c r="G86">
        <v>776677</v>
      </c>
      <c r="H86" t="s">
        <v>1308</v>
      </c>
      <c r="I86" t="s">
        <v>295</v>
      </c>
      <c r="J86" s="51">
        <v>1.269675925925926E-2</v>
      </c>
      <c r="K86" t="s">
        <v>140</v>
      </c>
      <c r="L86" t="s">
        <v>300</v>
      </c>
      <c r="M86" t="s">
        <v>301</v>
      </c>
      <c r="N86" t="s">
        <v>143</v>
      </c>
      <c r="O86" t="s">
        <v>144</v>
      </c>
      <c r="P86" t="s">
        <v>165</v>
      </c>
      <c r="Q86" t="s">
        <v>146</v>
      </c>
      <c r="R86" t="s">
        <v>147</v>
      </c>
      <c r="S86" t="s">
        <v>148</v>
      </c>
      <c r="T86" t="s">
        <v>373</v>
      </c>
      <c r="U86" t="s">
        <v>151</v>
      </c>
      <c r="V86">
        <v>4</v>
      </c>
      <c r="W86" t="s">
        <v>150</v>
      </c>
      <c r="X86" t="s">
        <v>1317</v>
      </c>
      <c r="Y86" t="s">
        <v>153</v>
      </c>
      <c r="Z86" s="53" t="s">
        <v>1318</v>
      </c>
      <c r="AA86" s="41">
        <v>1</v>
      </c>
      <c r="AB86" s="41"/>
      <c r="AC86" s="41"/>
      <c r="AD86" s="41">
        <v>1</v>
      </c>
      <c r="AE86" s="41"/>
      <c r="AF86" s="41"/>
      <c r="AG86" s="41"/>
      <c r="AH86" s="41"/>
      <c r="AI86" s="41"/>
      <c r="AJ86" s="41"/>
      <c r="AK86" s="41"/>
      <c r="AL86" s="43"/>
      <c r="AM86" s="44"/>
      <c r="AN86" s="43"/>
      <c r="AO86" s="44"/>
      <c r="AP86" s="45"/>
      <c r="AQ86" s="46"/>
      <c r="AR86" s="45"/>
      <c r="AS86" s="46"/>
      <c r="AT86" s="45"/>
      <c r="AU86" s="46"/>
      <c r="AX86" s="47"/>
      <c r="AY86" s="47"/>
      <c r="AZ86" s="48"/>
      <c r="BA86" s="47"/>
      <c r="BB86" s="48"/>
      <c r="BC86" s="47"/>
      <c r="BD86" s="49"/>
      <c r="BE86" s="49"/>
      <c r="BF86" s="49"/>
      <c r="BG86" t="str">
        <f t="shared" si="1"/>
        <v/>
      </c>
      <c r="BH86" s="3" t="str" cm="1">
        <f t="array" ref="BH86">IF(AE86=1, _xlfn.TEXTJOIN(" &amp; ", TRUE, _xlfn._xlws.FILTER($AG$2:$BC$2, AG86:BC86=1)), "")</f>
        <v/>
      </c>
    </row>
    <row r="87" spans="1:60" ht="16.8" customHeight="1" x14ac:dyDescent="0.3">
      <c r="A87" t="s">
        <v>295</v>
      </c>
      <c r="B87" t="s">
        <v>1319</v>
      </c>
      <c r="C87" t="s">
        <v>297</v>
      </c>
      <c r="D87" t="s">
        <v>204</v>
      </c>
      <c r="E87" s="52" t="s">
        <v>1320</v>
      </c>
      <c r="F87">
        <v>1041961</v>
      </c>
      <c r="G87">
        <v>1043564</v>
      </c>
      <c r="H87" t="s">
        <v>1321</v>
      </c>
      <c r="I87" t="s">
        <v>295</v>
      </c>
      <c r="J87" s="51">
        <v>1.269675925925926E-2</v>
      </c>
      <c r="K87" t="s">
        <v>140</v>
      </c>
      <c r="L87" t="s">
        <v>300</v>
      </c>
      <c r="M87" t="s">
        <v>301</v>
      </c>
      <c r="N87" t="s">
        <v>143</v>
      </c>
      <c r="O87" t="s">
        <v>164</v>
      </c>
      <c r="P87" t="s">
        <v>165</v>
      </c>
      <c r="Q87" t="s">
        <v>146</v>
      </c>
      <c r="R87" t="s">
        <v>147</v>
      </c>
      <c r="S87" t="s">
        <v>148</v>
      </c>
      <c r="T87" t="s">
        <v>180</v>
      </c>
      <c r="U87" t="s">
        <v>151</v>
      </c>
      <c r="V87">
        <v>4</v>
      </c>
      <c r="W87" t="s">
        <v>150</v>
      </c>
      <c r="X87" t="s">
        <v>1322</v>
      </c>
      <c r="Y87" t="s">
        <v>153</v>
      </c>
      <c r="Z87" s="53" t="s">
        <v>1323</v>
      </c>
      <c r="AA87">
        <v>1</v>
      </c>
      <c r="AB87" s="41"/>
      <c r="AC87" s="41">
        <v>1</v>
      </c>
      <c r="AD87" s="41"/>
      <c r="AE87" s="41"/>
      <c r="AF87" s="41"/>
      <c r="AG87" s="41"/>
      <c r="AH87" s="41"/>
      <c r="AI87" s="41"/>
      <c r="AJ87" s="41"/>
      <c r="AK87" s="41"/>
      <c r="AL87" s="43"/>
      <c r="AM87" s="44"/>
      <c r="AN87" s="43"/>
      <c r="AO87" s="44"/>
      <c r="AP87" s="45"/>
      <c r="AQ87" s="46"/>
      <c r="AR87" s="45"/>
      <c r="AS87" s="46"/>
      <c r="AT87" s="45"/>
      <c r="AU87" s="46"/>
      <c r="AX87" s="47"/>
      <c r="AY87" s="47"/>
      <c r="AZ87" s="48"/>
      <c r="BA87" s="47"/>
      <c r="BB87" s="48"/>
      <c r="BC87" s="47"/>
      <c r="BD87" s="49"/>
      <c r="BE87" s="49"/>
      <c r="BF87" s="49"/>
      <c r="BG87" t="str">
        <f t="shared" si="1"/>
        <v/>
      </c>
      <c r="BH87" s="3" t="str" cm="1">
        <f t="array" ref="BH87">IF(AE87=1, _xlfn.TEXTJOIN(" &amp; ", TRUE, _xlfn._xlws.FILTER($AG$2:$BC$2, AG87:BC87=1)), "")</f>
        <v/>
      </c>
    </row>
    <row r="88" spans="1:60" ht="16.8" customHeight="1" x14ac:dyDescent="0.3">
      <c r="A88" t="s">
        <v>304</v>
      </c>
      <c r="B88" t="s">
        <v>1325</v>
      </c>
      <c r="C88" t="s">
        <v>306</v>
      </c>
      <c r="D88">
        <v>2024</v>
      </c>
      <c r="E88" s="52" t="s">
        <v>1326</v>
      </c>
      <c r="F88">
        <v>578190</v>
      </c>
      <c r="G88">
        <v>582020</v>
      </c>
      <c r="H88" t="s">
        <v>1324</v>
      </c>
      <c r="I88" t="s">
        <v>304</v>
      </c>
      <c r="J88" s="51">
        <v>4.5601851851851852E-2</v>
      </c>
      <c r="K88" t="s">
        <v>160</v>
      </c>
      <c r="L88" t="s">
        <v>309</v>
      </c>
      <c r="M88" t="s">
        <v>310</v>
      </c>
      <c r="N88" t="s">
        <v>143</v>
      </c>
      <c r="O88" t="s">
        <v>144</v>
      </c>
      <c r="P88" t="s">
        <v>165</v>
      </c>
      <c r="Q88" t="s">
        <v>146</v>
      </c>
      <c r="R88" t="s">
        <v>167</v>
      </c>
      <c r="S88" t="s">
        <v>168</v>
      </c>
      <c r="T88" t="s">
        <v>169</v>
      </c>
      <c r="U88" t="s">
        <v>151</v>
      </c>
      <c r="V88">
        <v>3</v>
      </c>
      <c r="W88" t="s">
        <v>170</v>
      </c>
      <c r="X88" t="s">
        <v>1327</v>
      </c>
      <c r="Y88" t="s">
        <v>153</v>
      </c>
      <c r="Z88" s="53" t="s">
        <v>1328</v>
      </c>
      <c r="AA88" s="41"/>
      <c r="AB88" s="41"/>
      <c r="AC88" s="41"/>
      <c r="AD88" s="41"/>
      <c r="AE88" s="41">
        <v>1</v>
      </c>
      <c r="AF88" s="41"/>
      <c r="AG88" s="41"/>
      <c r="AH88" s="41">
        <v>1</v>
      </c>
      <c r="AI88" s="41"/>
      <c r="AJ88" s="41"/>
      <c r="AK88" s="41"/>
      <c r="AL88" s="43"/>
      <c r="AM88" s="44">
        <v>1</v>
      </c>
      <c r="AN88" s="43"/>
      <c r="AO88" s="44"/>
      <c r="AP88" s="45"/>
      <c r="AQ88" s="46"/>
      <c r="AR88" s="45"/>
      <c r="AS88" s="46"/>
      <c r="AT88" s="45"/>
      <c r="AU88" s="46"/>
      <c r="AX88" s="47"/>
      <c r="AY88" s="47"/>
      <c r="AZ88" s="48"/>
      <c r="BA88" s="47"/>
      <c r="BB88" s="48"/>
      <c r="BC88" s="47"/>
      <c r="BD88" s="49">
        <v>1</v>
      </c>
      <c r="BE88" s="49"/>
      <c r="BF88" s="49"/>
      <c r="BG88" t="str">
        <f t="shared" si="1"/>
        <v>Interazionale</v>
      </c>
      <c r="BH88" s="3" t="str" cm="1">
        <f t="array" ref="BH88">IF(AE88=1, _xlfn.TEXTJOIN(" &amp; ", TRUE, _xlfn._xlws.FILTER($AG$2:$BC$2, AG88:BC88=1)), "")</f>
        <v>Richiesta di accordo/conferma &amp; Marcatura della conoscenza condivisa</v>
      </c>
    </row>
    <row r="89" spans="1:60" ht="16.8" customHeight="1" x14ac:dyDescent="0.3">
      <c r="A89" t="s">
        <v>304</v>
      </c>
      <c r="B89" t="s">
        <v>1329</v>
      </c>
      <c r="C89" t="s">
        <v>306</v>
      </c>
      <c r="D89">
        <v>2024</v>
      </c>
      <c r="E89" s="52" t="s">
        <v>1330</v>
      </c>
      <c r="F89">
        <v>744367</v>
      </c>
      <c r="G89">
        <v>749850</v>
      </c>
      <c r="H89" t="s">
        <v>1324</v>
      </c>
      <c r="I89" t="s">
        <v>304</v>
      </c>
      <c r="J89" s="51">
        <v>4.5601851851851852E-2</v>
      </c>
      <c r="K89" t="s">
        <v>160</v>
      </c>
      <c r="L89" t="s">
        <v>309</v>
      </c>
      <c r="M89" t="s">
        <v>310</v>
      </c>
      <c r="N89" t="s">
        <v>143</v>
      </c>
      <c r="O89" t="s">
        <v>144</v>
      </c>
      <c r="P89" t="s">
        <v>165</v>
      </c>
      <c r="Q89" t="s">
        <v>146</v>
      </c>
      <c r="R89" t="s">
        <v>167</v>
      </c>
      <c r="S89" t="s">
        <v>168</v>
      </c>
      <c r="T89" t="s">
        <v>169</v>
      </c>
      <c r="U89" t="s">
        <v>151</v>
      </c>
      <c r="V89">
        <v>3</v>
      </c>
      <c r="W89" t="s">
        <v>170</v>
      </c>
      <c r="X89" t="s">
        <v>1331</v>
      </c>
      <c r="Y89" t="s">
        <v>153</v>
      </c>
      <c r="Z89" s="53" t="s">
        <v>1332</v>
      </c>
      <c r="AA89"/>
      <c r="AB89"/>
      <c r="AC89" s="41"/>
      <c r="AD89" s="41"/>
      <c r="AE89" s="41">
        <v>1</v>
      </c>
      <c r="AF89" s="41">
        <v>1</v>
      </c>
      <c r="AG89" s="41"/>
      <c r="AH89" s="41">
        <v>1</v>
      </c>
      <c r="AI89" s="41"/>
      <c r="AJ89" s="41"/>
      <c r="AK89" s="41"/>
      <c r="AL89" s="43"/>
      <c r="AM89" s="44">
        <v>1</v>
      </c>
      <c r="AN89" s="43"/>
      <c r="AO89" s="44"/>
      <c r="AP89" s="45"/>
      <c r="AQ89" s="46">
        <v>1</v>
      </c>
      <c r="AR89" s="45"/>
      <c r="AS89" s="46"/>
      <c r="AT89" s="45"/>
      <c r="AU89" s="46"/>
      <c r="AX89" s="47"/>
      <c r="AY89" s="47"/>
      <c r="AZ89" s="48"/>
      <c r="BA89" s="47"/>
      <c r="BB89" s="48"/>
      <c r="BC89" s="47"/>
      <c r="BD89" s="49">
        <v>1</v>
      </c>
      <c r="BE89" s="49"/>
      <c r="BF89" s="49"/>
      <c r="BG89" t="str">
        <f t="shared" si="1"/>
        <v>Interazionale &amp; Metatestuale</v>
      </c>
      <c r="BH89" s="3" t="str" cm="1">
        <f t="array" ref="BH89">IF(AE89=1, _xlfn.TEXTJOIN(" &amp; ", TRUE, _xlfn._xlws.FILTER($AG$2:$BC$2, AG89:BC89=1)), "")</f>
        <v>Richiesta di accordo/conferma &amp; Marcatura della conoscenza condivisa &amp; Chiusura di un topic</v>
      </c>
    </row>
    <row r="90" spans="1:60" ht="16.8" customHeight="1" x14ac:dyDescent="0.3">
      <c r="A90" t="s">
        <v>304</v>
      </c>
      <c r="B90" t="s">
        <v>1333</v>
      </c>
      <c r="C90" t="s">
        <v>306</v>
      </c>
      <c r="D90">
        <v>2024</v>
      </c>
      <c r="E90" s="52" t="s">
        <v>1334</v>
      </c>
      <c r="F90">
        <v>890300</v>
      </c>
      <c r="G90">
        <v>895730</v>
      </c>
      <c r="H90" t="s">
        <v>1335</v>
      </c>
      <c r="I90" t="s">
        <v>304</v>
      </c>
      <c r="J90" s="51">
        <v>4.5601851851851852E-2</v>
      </c>
      <c r="K90" t="s">
        <v>160</v>
      </c>
      <c r="L90" t="s">
        <v>309</v>
      </c>
      <c r="M90" t="s">
        <v>310</v>
      </c>
      <c r="N90" t="s">
        <v>143</v>
      </c>
      <c r="O90" t="s">
        <v>164</v>
      </c>
      <c r="P90" t="s">
        <v>165</v>
      </c>
      <c r="Q90" t="s">
        <v>146</v>
      </c>
      <c r="R90" t="s">
        <v>167</v>
      </c>
      <c r="S90" t="s">
        <v>168</v>
      </c>
      <c r="T90" t="s">
        <v>169</v>
      </c>
      <c r="U90" t="s">
        <v>151</v>
      </c>
      <c r="V90">
        <v>3</v>
      </c>
      <c r="W90" t="s">
        <v>170</v>
      </c>
      <c r="X90" t="s">
        <v>1336</v>
      </c>
      <c r="Y90" t="s">
        <v>153</v>
      </c>
      <c r="Z90" s="53" t="s">
        <v>1337</v>
      </c>
      <c r="AA90">
        <v>1</v>
      </c>
      <c r="AB90"/>
      <c r="AC90" s="41">
        <v>1</v>
      </c>
      <c r="AD90" s="41"/>
      <c r="AE90" s="41"/>
      <c r="AF90" s="41"/>
      <c r="AG90" s="41"/>
      <c r="AH90" s="41"/>
      <c r="AI90" s="41"/>
      <c r="AJ90" s="41"/>
      <c r="AK90" s="41"/>
      <c r="AL90" s="43"/>
      <c r="AM90" s="44"/>
      <c r="AN90" s="43"/>
      <c r="AO90" s="44"/>
      <c r="AP90" s="45"/>
      <c r="AQ90" s="46"/>
      <c r="AR90" s="45"/>
      <c r="AS90" s="46"/>
      <c r="AT90" s="45"/>
      <c r="AU90" s="46"/>
      <c r="AX90" s="47"/>
      <c r="AY90" s="47"/>
      <c r="AZ90" s="48"/>
      <c r="BA90" s="47"/>
      <c r="BB90" s="48"/>
      <c r="BC90" s="47"/>
      <c r="BD90" s="49"/>
      <c r="BE90" s="49"/>
      <c r="BF90" s="49"/>
      <c r="BG90" t="str">
        <f t="shared" si="1"/>
        <v/>
      </c>
      <c r="BH90" s="3" t="str" cm="1">
        <f t="array" ref="BH90">IF(AE90=1, _xlfn.TEXTJOIN(" &amp; ", TRUE, _xlfn._xlws.FILTER($AG$2:$BC$2, AG90:BC90=1)), "")</f>
        <v/>
      </c>
    </row>
    <row r="91" spans="1:60" ht="16.8" customHeight="1" x14ac:dyDescent="0.3">
      <c r="A91" t="s">
        <v>304</v>
      </c>
      <c r="B91" t="s">
        <v>1338</v>
      </c>
      <c r="C91" t="s">
        <v>306</v>
      </c>
      <c r="D91">
        <v>2024</v>
      </c>
      <c r="E91" s="52" t="s">
        <v>1339</v>
      </c>
      <c r="F91">
        <v>1659900</v>
      </c>
      <c r="G91">
        <v>1665820</v>
      </c>
      <c r="H91" t="s">
        <v>308</v>
      </c>
      <c r="I91" t="s">
        <v>304</v>
      </c>
      <c r="J91" s="51">
        <v>4.5601851851851852E-2</v>
      </c>
      <c r="K91" t="s">
        <v>160</v>
      </c>
      <c r="L91" t="s">
        <v>309</v>
      </c>
      <c r="M91" t="s">
        <v>310</v>
      </c>
      <c r="N91" t="s">
        <v>143</v>
      </c>
      <c r="O91" t="s">
        <v>164</v>
      </c>
      <c r="P91" t="s">
        <v>165</v>
      </c>
      <c r="Q91" t="s">
        <v>166</v>
      </c>
      <c r="R91" t="s">
        <v>167</v>
      </c>
      <c r="S91" t="s">
        <v>168</v>
      </c>
      <c r="T91" t="s">
        <v>169</v>
      </c>
      <c r="U91" t="s">
        <v>229</v>
      </c>
      <c r="V91">
        <v>3</v>
      </c>
      <c r="W91" t="s">
        <v>170</v>
      </c>
      <c r="X91" t="s">
        <v>1340</v>
      </c>
      <c r="Y91" t="s">
        <v>153</v>
      </c>
      <c r="Z91" s="53" t="s">
        <v>1341</v>
      </c>
      <c r="AA91" s="41">
        <v>1</v>
      </c>
      <c r="AB91" s="41">
        <v>1</v>
      </c>
      <c r="AC91" s="41"/>
      <c r="AD91" s="41"/>
      <c r="AE91" s="41"/>
      <c r="AF91" s="41"/>
      <c r="AG91" s="41"/>
      <c r="AH91" s="41"/>
      <c r="AI91" s="41"/>
      <c r="AJ91" s="41"/>
      <c r="AK91" s="41"/>
      <c r="AL91" s="43"/>
      <c r="AM91" s="44"/>
      <c r="AN91" s="43"/>
      <c r="AO91" s="44"/>
      <c r="AP91" s="45"/>
      <c r="AQ91" s="46"/>
      <c r="AR91" s="45"/>
      <c r="AS91" s="46"/>
      <c r="AT91" s="45"/>
      <c r="AU91" s="46"/>
      <c r="AX91" s="47"/>
      <c r="AY91" s="47"/>
      <c r="AZ91" s="48"/>
      <c r="BA91" s="47"/>
      <c r="BB91" s="48"/>
      <c r="BC91" s="47"/>
      <c r="BD91" s="49"/>
      <c r="BE91" s="49"/>
      <c r="BF91" s="49"/>
      <c r="BG91" t="str">
        <f t="shared" si="1"/>
        <v/>
      </c>
      <c r="BH91" s="3" t="str" cm="1">
        <f t="array" ref="BH91">IF(AE91=1, _xlfn.TEXTJOIN(" &amp; ", TRUE, _xlfn._xlws.FILTER($AG$2:$BC$2, AG91:BC91=1)), "")</f>
        <v/>
      </c>
    </row>
    <row r="92" spans="1:60" ht="16.8" customHeight="1" x14ac:dyDescent="0.3">
      <c r="A92" t="s">
        <v>304</v>
      </c>
      <c r="B92" t="s">
        <v>1342</v>
      </c>
      <c r="C92" t="s">
        <v>306</v>
      </c>
      <c r="D92">
        <v>2024</v>
      </c>
      <c r="E92" s="52" t="s">
        <v>1339</v>
      </c>
      <c r="F92">
        <v>1659900</v>
      </c>
      <c r="G92">
        <v>1665820</v>
      </c>
      <c r="H92" t="s">
        <v>308</v>
      </c>
      <c r="I92" t="s">
        <v>304</v>
      </c>
      <c r="J92" s="51">
        <v>4.5601851851851852E-2</v>
      </c>
      <c r="K92" t="s">
        <v>160</v>
      </c>
      <c r="L92" t="s">
        <v>309</v>
      </c>
      <c r="M92" t="s">
        <v>310</v>
      </c>
      <c r="N92" t="s">
        <v>143</v>
      </c>
      <c r="O92" t="s">
        <v>164</v>
      </c>
      <c r="P92" t="s">
        <v>165</v>
      </c>
      <c r="Q92" t="s">
        <v>166</v>
      </c>
      <c r="R92" t="s">
        <v>167</v>
      </c>
      <c r="S92" t="s">
        <v>168</v>
      </c>
      <c r="T92" t="s">
        <v>169</v>
      </c>
      <c r="U92" t="s">
        <v>229</v>
      </c>
      <c r="V92">
        <v>3</v>
      </c>
      <c r="W92" t="s">
        <v>170</v>
      </c>
      <c r="X92" t="s">
        <v>1343</v>
      </c>
      <c r="Y92" t="s">
        <v>153</v>
      </c>
      <c r="Z92" s="53" t="s">
        <v>1344</v>
      </c>
      <c r="AA92" s="41">
        <v>1</v>
      </c>
      <c r="AB92" s="41">
        <v>1</v>
      </c>
      <c r="AC92" s="41"/>
      <c r="AD92" s="41"/>
      <c r="AE92" s="41"/>
      <c r="AF92" s="41"/>
      <c r="AG92" s="41"/>
      <c r="AH92" s="41"/>
      <c r="AI92" s="41"/>
      <c r="AJ92" s="41"/>
      <c r="AK92" s="41"/>
      <c r="AL92" s="43"/>
      <c r="AM92" s="44"/>
      <c r="AN92" s="43"/>
      <c r="AO92" s="44"/>
      <c r="AP92" s="45"/>
      <c r="AQ92" s="46"/>
      <c r="AR92" s="45"/>
      <c r="AS92" s="46"/>
      <c r="AT92" s="45"/>
      <c r="AU92" s="46"/>
      <c r="AX92" s="47"/>
      <c r="AY92" s="47"/>
      <c r="AZ92" s="48"/>
      <c r="BA92" s="47"/>
      <c r="BB92" s="48"/>
      <c r="BC92" s="47"/>
      <c r="BD92" s="49"/>
      <c r="BE92" s="49"/>
      <c r="BF92" s="49"/>
      <c r="BG92" t="str">
        <f t="shared" si="1"/>
        <v/>
      </c>
      <c r="BH92" s="3" t="str" cm="1">
        <f t="array" ref="BH92">IF(AE92=1, _xlfn.TEXTJOIN(" &amp; ", TRUE, _xlfn._xlws.FILTER($AG$2:$BC$2, AG92:BC92=1)), "")</f>
        <v/>
      </c>
    </row>
    <row r="93" spans="1:60" ht="16.8" customHeight="1" x14ac:dyDescent="0.3">
      <c r="A93" t="s">
        <v>304</v>
      </c>
      <c r="B93" t="s">
        <v>1345</v>
      </c>
      <c r="C93" t="s">
        <v>306</v>
      </c>
      <c r="D93">
        <v>2024</v>
      </c>
      <c r="E93" s="52" t="s">
        <v>1346</v>
      </c>
      <c r="F93">
        <v>1858063</v>
      </c>
      <c r="G93">
        <v>1861690</v>
      </c>
      <c r="H93" t="s">
        <v>308</v>
      </c>
      <c r="I93" t="s">
        <v>304</v>
      </c>
      <c r="J93" s="51">
        <v>4.5601851851851852E-2</v>
      </c>
      <c r="K93" t="s">
        <v>160</v>
      </c>
      <c r="L93" t="s">
        <v>309</v>
      </c>
      <c r="M93" t="s">
        <v>310</v>
      </c>
      <c r="N93" t="s">
        <v>143</v>
      </c>
      <c r="O93" t="s">
        <v>164</v>
      </c>
      <c r="P93" t="s">
        <v>165</v>
      </c>
      <c r="Q93" t="s">
        <v>166</v>
      </c>
      <c r="R93" t="s">
        <v>167</v>
      </c>
      <c r="S93" t="s">
        <v>168</v>
      </c>
      <c r="T93" t="s">
        <v>169</v>
      </c>
      <c r="U93" t="s">
        <v>229</v>
      </c>
      <c r="V93">
        <v>3</v>
      </c>
      <c r="W93" t="s">
        <v>170</v>
      </c>
      <c r="X93" t="s">
        <v>1347</v>
      </c>
      <c r="Y93" t="s">
        <v>153</v>
      </c>
      <c r="Z93" s="53" t="s">
        <v>1348</v>
      </c>
      <c r="AA93" s="41"/>
      <c r="AB93" s="41"/>
      <c r="AC93" s="41"/>
      <c r="AD93" s="41"/>
      <c r="AE93" s="41">
        <v>1</v>
      </c>
      <c r="AF93" s="41">
        <v>1</v>
      </c>
      <c r="AG93" s="41"/>
      <c r="AH93" s="41"/>
      <c r="AI93" s="41"/>
      <c r="AJ93" s="41"/>
      <c r="AK93" s="41"/>
      <c r="AL93" s="43"/>
      <c r="AM93" s="44">
        <v>1</v>
      </c>
      <c r="AN93" s="43"/>
      <c r="AO93" s="44"/>
      <c r="AP93" s="45"/>
      <c r="AQ93" s="46"/>
      <c r="AR93" s="45"/>
      <c r="AS93" s="46"/>
      <c r="AT93" s="45">
        <v>1</v>
      </c>
      <c r="AU93" s="46"/>
      <c r="AX93" s="47"/>
      <c r="AY93" s="47"/>
      <c r="AZ93" s="48"/>
      <c r="BA93" s="47"/>
      <c r="BB93" s="48"/>
      <c r="BC93" s="47"/>
      <c r="BD93" s="49">
        <v>1</v>
      </c>
      <c r="BE93" s="49"/>
      <c r="BF93" s="49"/>
      <c r="BG93" t="str">
        <f t="shared" si="1"/>
        <v>Interazionale &amp; Metatestuale</v>
      </c>
      <c r="BH93" s="3" t="str" cm="1">
        <f t="array" ref="BH93">IF(AE93=1, _xlfn.TEXTJOIN(" &amp; ", TRUE, _xlfn._xlws.FILTER($AG$2:$BC$2, AG93:BC93=1)), "")</f>
        <v>Marcatura della conoscenza condivisa &amp; Marcatura di citazione/discorso riportato</v>
      </c>
    </row>
    <row r="94" spans="1:60" ht="16.8" customHeight="1" x14ac:dyDescent="0.3">
      <c r="A94" t="s">
        <v>304</v>
      </c>
      <c r="B94" t="s">
        <v>1349</v>
      </c>
      <c r="C94" t="s">
        <v>306</v>
      </c>
      <c r="D94">
        <v>2024</v>
      </c>
      <c r="E94" s="52" t="s">
        <v>1350</v>
      </c>
      <c r="F94">
        <v>2290967</v>
      </c>
      <c r="G94">
        <v>2291940</v>
      </c>
      <c r="H94" t="s">
        <v>1324</v>
      </c>
      <c r="I94" t="s">
        <v>304</v>
      </c>
      <c r="J94" s="51">
        <v>4.5601851851851852E-2</v>
      </c>
      <c r="K94" t="s">
        <v>160</v>
      </c>
      <c r="L94" t="s">
        <v>309</v>
      </c>
      <c r="M94" t="s">
        <v>310</v>
      </c>
      <c r="N94" t="s">
        <v>143</v>
      </c>
      <c r="O94" t="s">
        <v>144</v>
      </c>
      <c r="P94" t="s">
        <v>165</v>
      </c>
      <c r="Q94" t="s">
        <v>146</v>
      </c>
      <c r="R94" t="s">
        <v>167</v>
      </c>
      <c r="S94" t="s">
        <v>168</v>
      </c>
      <c r="T94" t="s">
        <v>169</v>
      </c>
      <c r="U94" t="s">
        <v>151</v>
      </c>
      <c r="V94">
        <v>3</v>
      </c>
      <c r="W94" t="s">
        <v>170</v>
      </c>
      <c r="X94" t="s">
        <v>1351</v>
      </c>
      <c r="Y94" t="s">
        <v>153</v>
      </c>
      <c r="Z94" s="53" t="s">
        <v>1352</v>
      </c>
      <c r="AA94" s="41">
        <v>1</v>
      </c>
      <c r="AB94" s="41"/>
      <c r="AC94" s="41"/>
      <c r="AD94" s="41">
        <v>1</v>
      </c>
      <c r="AE94" s="41"/>
      <c r="AF94" s="41"/>
      <c r="AG94" s="41"/>
      <c r="AH94" s="41"/>
      <c r="AI94" s="41"/>
      <c r="AJ94" s="41"/>
      <c r="AK94" s="41"/>
      <c r="AL94" s="43"/>
      <c r="AM94" s="44"/>
      <c r="AN94" s="43"/>
      <c r="AO94" s="44"/>
      <c r="AP94" s="45"/>
      <c r="AQ94" s="46"/>
      <c r="AR94" s="45"/>
      <c r="AS94" s="46"/>
      <c r="AT94" s="45"/>
      <c r="AU94" s="46"/>
      <c r="AX94" s="47"/>
      <c r="AY94" s="47"/>
      <c r="AZ94" s="48"/>
      <c r="BA94" s="47"/>
      <c r="BB94" s="48"/>
      <c r="BC94" s="47"/>
      <c r="BD94" s="49"/>
      <c r="BE94" s="49"/>
      <c r="BF94" s="49"/>
      <c r="BG94" t="str">
        <f t="shared" si="1"/>
        <v/>
      </c>
      <c r="BH94" s="3" t="str" cm="1">
        <f t="array" ref="BH94">IF(AE94=1, _xlfn.TEXTJOIN(" &amp; ", TRUE, _xlfn._xlws.FILTER($AG$2:$BC$2, AG94:BC94=1)), "")</f>
        <v/>
      </c>
    </row>
    <row r="95" spans="1:60" ht="16.8" customHeight="1" x14ac:dyDescent="0.3">
      <c r="A95" t="s">
        <v>304</v>
      </c>
      <c r="B95" t="s">
        <v>305</v>
      </c>
      <c r="C95" t="s">
        <v>306</v>
      </c>
      <c r="D95">
        <v>2024</v>
      </c>
      <c r="E95" s="52" t="s">
        <v>307</v>
      </c>
      <c r="F95">
        <v>2698260</v>
      </c>
      <c r="G95">
        <v>2702170</v>
      </c>
      <c r="H95" t="s">
        <v>308</v>
      </c>
      <c r="I95" t="s">
        <v>304</v>
      </c>
      <c r="J95" s="51">
        <v>4.5601851851851852E-2</v>
      </c>
      <c r="K95" t="s">
        <v>160</v>
      </c>
      <c r="L95" t="s">
        <v>309</v>
      </c>
      <c r="M95" t="s">
        <v>310</v>
      </c>
      <c r="N95" t="s">
        <v>143</v>
      </c>
      <c r="O95" t="s">
        <v>164</v>
      </c>
      <c r="P95" t="s">
        <v>165</v>
      </c>
      <c r="Q95" t="s">
        <v>166</v>
      </c>
      <c r="R95" t="s">
        <v>167</v>
      </c>
      <c r="S95" t="s">
        <v>168</v>
      </c>
      <c r="T95" t="s">
        <v>169</v>
      </c>
      <c r="U95" t="s">
        <v>229</v>
      </c>
      <c r="V95">
        <v>3</v>
      </c>
      <c r="W95" t="s">
        <v>170</v>
      </c>
      <c r="X95" t="s">
        <v>311</v>
      </c>
      <c r="Y95" t="s">
        <v>153</v>
      </c>
      <c r="Z95" s="53" t="s">
        <v>312</v>
      </c>
      <c r="AA95" s="41"/>
      <c r="AB95"/>
      <c r="AC95" s="41"/>
      <c r="AD95" s="41"/>
      <c r="AE95" s="41">
        <v>1</v>
      </c>
      <c r="AF95" s="41"/>
      <c r="AG95" s="41"/>
      <c r="AH95" s="41"/>
      <c r="AI95" s="41"/>
      <c r="AJ95" s="41"/>
      <c r="AK95" s="41"/>
      <c r="AL95" s="43"/>
      <c r="AM95" s="44">
        <v>1</v>
      </c>
      <c r="AN95" s="43"/>
      <c r="AO95" s="44"/>
      <c r="AP95" s="45"/>
      <c r="AQ95" s="46"/>
      <c r="AR95" s="45"/>
      <c r="AS95" s="46"/>
      <c r="AT95" s="45"/>
      <c r="AU95" s="46"/>
      <c r="AV95" s="9">
        <v>1</v>
      </c>
      <c r="AX95" s="47"/>
      <c r="AY95" s="47"/>
      <c r="AZ95" s="48"/>
      <c r="BA95" s="47"/>
      <c r="BB95" s="48"/>
      <c r="BC95" s="47"/>
      <c r="BD95" s="49">
        <v>1</v>
      </c>
      <c r="BE95" s="49"/>
      <c r="BF95" s="49"/>
      <c r="BG95" t="str">
        <f t="shared" si="1"/>
        <v>Interazionale &amp; Metatestuale</v>
      </c>
      <c r="BH95" s="3" t="str" cm="1">
        <f t="array" ref="BH95">IF(AE95=1, _xlfn.TEXTJOIN(" &amp; ", TRUE, _xlfn._xlws.FILTER($AG$2:$BC$2, AG95:BC95=1)), "")</f>
        <v>Marcatura della conoscenza condivisa &amp; Filler, riempimento dei tempi di formulazione</v>
      </c>
    </row>
    <row r="96" spans="1:60" ht="16.8" customHeight="1" x14ac:dyDescent="0.3">
      <c r="A96" t="s">
        <v>1353</v>
      </c>
      <c r="B96" t="s">
        <v>1357</v>
      </c>
      <c r="C96" t="s">
        <v>1354</v>
      </c>
      <c r="D96">
        <v>2023</v>
      </c>
      <c r="E96" s="52" t="s">
        <v>1358</v>
      </c>
      <c r="F96">
        <v>1907780</v>
      </c>
      <c r="G96">
        <v>1911864</v>
      </c>
      <c r="H96" t="s">
        <v>1359</v>
      </c>
      <c r="I96" t="s">
        <v>1353</v>
      </c>
      <c r="J96" s="51">
        <v>4.2592592592592592E-2</v>
      </c>
      <c r="K96" t="s">
        <v>160</v>
      </c>
      <c r="L96" t="s">
        <v>1355</v>
      </c>
      <c r="M96" t="s">
        <v>1356</v>
      </c>
      <c r="N96" t="s">
        <v>163</v>
      </c>
      <c r="O96" t="s">
        <v>144</v>
      </c>
      <c r="P96" t="s">
        <v>165</v>
      </c>
      <c r="Q96" t="s">
        <v>699</v>
      </c>
      <c r="R96" t="s">
        <v>167</v>
      </c>
      <c r="S96" t="s">
        <v>168</v>
      </c>
      <c r="T96" t="s">
        <v>169</v>
      </c>
      <c r="U96" t="s">
        <v>171</v>
      </c>
      <c r="V96">
        <v>4</v>
      </c>
      <c r="W96" t="s">
        <v>170</v>
      </c>
      <c r="X96" t="s">
        <v>1360</v>
      </c>
      <c r="Y96" t="s">
        <v>153</v>
      </c>
      <c r="Z96" s="53" t="s">
        <v>1361</v>
      </c>
      <c r="AA96" s="41"/>
      <c r="AB96" s="41"/>
      <c r="AC96" s="41"/>
      <c r="AD96" s="41"/>
      <c r="AE96" s="41">
        <v>1</v>
      </c>
      <c r="AF96" s="41"/>
      <c r="AG96" s="41"/>
      <c r="AH96" s="41"/>
      <c r="AI96" s="41"/>
      <c r="AJ96" s="41"/>
      <c r="AK96" s="41"/>
      <c r="AL96" s="43"/>
      <c r="AM96" s="44">
        <v>1</v>
      </c>
      <c r="AN96" s="43"/>
      <c r="AO96" s="44"/>
      <c r="AP96" s="45"/>
      <c r="AQ96" s="46"/>
      <c r="AR96" s="45"/>
      <c r="AS96" s="46"/>
      <c r="AT96" s="45"/>
      <c r="AU96" s="46"/>
      <c r="AX96" s="47"/>
      <c r="AY96" s="47"/>
      <c r="AZ96" s="48"/>
      <c r="BA96" s="47"/>
      <c r="BB96" s="48"/>
      <c r="BC96" s="47"/>
      <c r="BD96" s="49"/>
      <c r="BE96" s="49"/>
      <c r="BF96" s="49"/>
      <c r="BG96" t="str">
        <f t="shared" si="1"/>
        <v>Interazionale</v>
      </c>
      <c r="BH96" s="3" t="str" cm="1">
        <f t="array" ref="BH96">IF(AE96=1, _xlfn.TEXTJOIN(" &amp; ", TRUE, _xlfn._xlws.FILTER($AG$2:$BC$2, AG96:BC96=1)), "")</f>
        <v>Marcatura della conoscenza condivisa</v>
      </c>
    </row>
    <row r="97" spans="1:60" ht="16.8" customHeight="1" x14ac:dyDescent="0.3">
      <c r="A97" t="s">
        <v>1362</v>
      </c>
      <c r="B97" t="s">
        <v>1363</v>
      </c>
      <c r="C97" t="s">
        <v>1364</v>
      </c>
      <c r="D97">
        <v>2020</v>
      </c>
      <c r="E97" s="52" t="s">
        <v>1365</v>
      </c>
      <c r="F97">
        <v>641773</v>
      </c>
      <c r="G97">
        <v>646679</v>
      </c>
      <c r="H97" t="s">
        <v>1366</v>
      </c>
      <c r="I97" t="s">
        <v>1362</v>
      </c>
      <c r="J97" s="51">
        <v>2.2546296296296297E-2</v>
      </c>
      <c r="K97" t="s">
        <v>140</v>
      </c>
      <c r="L97" t="s">
        <v>1367</v>
      </c>
      <c r="M97" t="s">
        <v>1368</v>
      </c>
      <c r="N97" t="s">
        <v>163</v>
      </c>
      <c r="O97" t="s">
        <v>144</v>
      </c>
      <c r="P97" t="s">
        <v>1054</v>
      </c>
      <c r="Q97" t="s">
        <v>467</v>
      </c>
      <c r="R97" t="s">
        <v>147</v>
      </c>
      <c r="S97" t="s">
        <v>148</v>
      </c>
      <c r="T97" t="s">
        <v>180</v>
      </c>
      <c r="U97" t="s">
        <v>171</v>
      </c>
      <c r="V97">
        <v>3</v>
      </c>
      <c r="W97" t="s">
        <v>269</v>
      </c>
      <c r="X97" t="s">
        <v>1369</v>
      </c>
      <c r="Y97" t="s">
        <v>153</v>
      </c>
      <c r="Z97" s="53" t="s">
        <v>1370</v>
      </c>
      <c r="AA97"/>
      <c r="AB97" s="41"/>
      <c r="AC97" s="41"/>
      <c r="AD97" s="41"/>
      <c r="AE97" s="41">
        <v>1</v>
      </c>
      <c r="AF97" s="41"/>
      <c r="AG97" s="41"/>
      <c r="AH97" s="41">
        <v>1</v>
      </c>
      <c r="AI97" s="41"/>
      <c r="AJ97" s="41"/>
      <c r="AK97" s="41"/>
      <c r="AL97" s="43"/>
      <c r="AM97" s="44"/>
      <c r="AN97" s="43"/>
      <c r="AO97" s="44"/>
      <c r="AP97" s="45"/>
      <c r="AQ97" s="46"/>
      <c r="AR97" s="45"/>
      <c r="AS97" s="46"/>
      <c r="AT97" s="45"/>
      <c r="AU97" s="46"/>
      <c r="AX97" s="47"/>
      <c r="AY97" s="47"/>
      <c r="AZ97" s="48"/>
      <c r="BA97" s="47"/>
      <c r="BB97" s="48"/>
      <c r="BC97" s="47"/>
      <c r="BD97" s="49"/>
      <c r="BE97" s="49"/>
      <c r="BF97" s="49"/>
      <c r="BG97" t="str">
        <f t="shared" si="1"/>
        <v>Interazionale</v>
      </c>
      <c r="BH97" s="3" t="str" cm="1">
        <f t="array" ref="BH97">IF(AE97=1, _xlfn.TEXTJOIN(" &amp; ", TRUE, _xlfn._xlws.FILTER($AG$2:$BC$2, AG97:BC97=1)), "")</f>
        <v>Richiesta di accordo/conferma</v>
      </c>
    </row>
    <row r="98" spans="1:60" ht="16.8" customHeight="1" x14ac:dyDescent="0.3">
      <c r="A98" t="s">
        <v>1362</v>
      </c>
      <c r="B98" t="s">
        <v>1371</v>
      </c>
      <c r="C98" t="s">
        <v>1364</v>
      </c>
      <c r="D98">
        <v>2020</v>
      </c>
      <c r="E98" s="52" t="s">
        <v>1372</v>
      </c>
      <c r="F98">
        <v>910059</v>
      </c>
      <c r="G98">
        <v>912286</v>
      </c>
      <c r="H98" t="s">
        <v>1366</v>
      </c>
      <c r="I98" t="s">
        <v>1362</v>
      </c>
      <c r="J98" s="51">
        <v>2.2546296296296297E-2</v>
      </c>
      <c r="K98" t="s">
        <v>140</v>
      </c>
      <c r="L98" t="s">
        <v>1367</v>
      </c>
      <c r="M98" t="s">
        <v>1368</v>
      </c>
      <c r="N98" t="s">
        <v>163</v>
      </c>
      <c r="O98" t="s">
        <v>144</v>
      </c>
      <c r="P98" t="s">
        <v>1054</v>
      </c>
      <c r="Q98" t="s">
        <v>467</v>
      </c>
      <c r="R98" t="s">
        <v>147</v>
      </c>
      <c r="S98" t="s">
        <v>148</v>
      </c>
      <c r="T98" t="s">
        <v>180</v>
      </c>
      <c r="U98" t="s">
        <v>171</v>
      </c>
      <c r="V98">
        <v>3</v>
      </c>
      <c r="W98" t="s">
        <v>269</v>
      </c>
      <c r="X98" t="s">
        <v>1373</v>
      </c>
      <c r="Y98" t="s">
        <v>153</v>
      </c>
      <c r="Z98" s="53" t="s">
        <v>1374</v>
      </c>
      <c r="AA98">
        <v>1</v>
      </c>
      <c r="AB98" s="41"/>
      <c r="AC98" s="41">
        <v>1</v>
      </c>
      <c r="AD98" s="41"/>
      <c r="AE98" s="41"/>
      <c r="AF98" s="41"/>
      <c r="AG98" s="41"/>
      <c r="AH98" s="41"/>
      <c r="AI98" s="41"/>
      <c r="AJ98" s="41"/>
      <c r="AK98" s="41"/>
      <c r="AL98" s="43"/>
      <c r="AM98" s="44"/>
      <c r="AN98" s="43"/>
      <c r="AO98" s="44"/>
      <c r="AP98" s="45"/>
      <c r="AQ98" s="46"/>
      <c r="AR98" s="45"/>
      <c r="AS98" s="46"/>
      <c r="AT98" s="45"/>
      <c r="AU98" s="46"/>
      <c r="AX98" s="47"/>
      <c r="AY98" s="47"/>
      <c r="AZ98" s="48"/>
      <c r="BA98" s="47"/>
      <c r="BB98" s="48"/>
      <c r="BC98" s="47"/>
      <c r="BD98" s="49"/>
      <c r="BE98" s="49"/>
      <c r="BF98" s="49"/>
      <c r="BG98" t="str">
        <f t="shared" si="1"/>
        <v/>
      </c>
      <c r="BH98" s="3" t="str" cm="1">
        <f t="array" ref="BH98">IF(AE98=1, _xlfn.TEXTJOIN(" &amp; ", TRUE, _xlfn._xlws.FILTER($AG$2:$BC$2, AG98:BC98=1)), "")</f>
        <v/>
      </c>
    </row>
    <row r="99" spans="1:60" ht="16.8" customHeight="1" x14ac:dyDescent="0.3">
      <c r="A99" t="s">
        <v>1362</v>
      </c>
      <c r="B99" t="s">
        <v>1375</v>
      </c>
      <c r="C99" t="s">
        <v>1364</v>
      </c>
      <c r="D99">
        <v>2020</v>
      </c>
      <c r="E99" s="52" t="s">
        <v>1376</v>
      </c>
      <c r="F99">
        <v>1091969</v>
      </c>
      <c r="G99">
        <v>1093882</v>
      </c>
      <c r="H99" t="s">
        <v>1377</v>
      </c>
      <c r="I99" t="s">
        <v>1362</v>
      </c>
      <c r="J99" s="51">
        <v>2.2546296296296297E-2</v>
      </c>
      <c r="K99" t="s">
        <v>140</v>
      </c>
      <c r="L99" t="s">
        <v>1367</v>
      </c>
      <c r="M99" t="s">
        <v>1368</v>
      </c>
      <c r="N99" t="s">
        <v>317</v>
      </c>
      <c r="O99" t="s">
        <v>144</v>
      </c>
      <c r="P99" t="s">
        <v>1054</v>
      </c>
      <c r="Q99" t="s">
        <v>146</v>
      </c>
      <c r="R99" t="s">
        <v>147</v>
      </c>
      <c r="S99" t="s">
        <v>148</v>
      </c>
      <c r="T99" t="s">
        <v>180</v>
      </c>
      <c r="U99" t="s">
        <v>318</v>
      </c>
      <c r="V99">
        <v>3</v>
      </c>
      <c r="W99" t="s">
        <v>269</v>
      </c>
      <c r="X99" t="s">
        <v>1378</v>
      </c>
      <c r="Y99" t="s">
        <v>153</v>
      </c>
      <c r="Z99" s="53" t="s">
        <v>1379</v>
      </c>
      <c r="AA99">
        <v>1</v>
      </c>
      <c r="AB99" s="41">
        <v>1</v>
      </c>
      <c r="AC99" s="41"/>
      <c r="AD99" s="41"/>
      <c r="AE99" s="41"/>
      <c r="AF99" s="41"/>
      <c r="AG99" s="41"/>
      <c r="AH99" s="41"/>
      <c r="AI99" s="41"/>
      <c r="AJ99" s="41"/>
      <c r="AK99" s="41"/>
      <c r="AL99" s="43"/>
      <c r="AM99" s="44"/>
      <c r="AN99" s="43"/>
      <c r="AO99" s="44"/>
      <c r="AP99" s="45"/>
      <c r="AQ99" s="46"/>
      <c r="AR99" s="45"/>
      <c r="AS99" s="46"/>
      <c r="AT99" s="45"/>
      <c r="AU99" s="46"/>
      <c r="AX99" s="47"/>
      <c r="AY99" s="47"/>
      <c r="AZ99" s="48"/>
      <c r="BA99" s="47"/>
      <c r="BB99" s="48"/>
      <c r="BC99" s="47"/>
      <c r="BD99" s="49"/>
      <c r="BE99" s="49"/>
      <c r="BF99" s="49"/>
      <c r="BG99" t="str">
        <f t="shared" si="1"/>
        <v/>
      </c>
      <c r="BH99" s="3" t="str" cm="1">
        <f t="array" ref="BH99">IF(AE99=1, _xlfn.TEXTJOIN(" &amp; ", TRUE, _xlfn._xlws.FILTER($AG$2:$BC$2, AG99:BC99=1)), "")</f>
        <v/>
      </c>
    </row>
    <row r="100" spans="1:60" ht="16.8" customHeight="1" x14ac:dyDescent="0.3">
      <c r="A100" t="s">
        <v>1362</v>
      </c>
      <c r="B100" t="s">
        <v>1380</v>
      </c>
      <c r="C100" t="s">
        <v>1364</v>
      </c>
      <c r="D100">
        <v>2020</v>
      </c>
      <c r="E100" s="52" t="s">
        <v>1381</v>
      </c>
      <c r="F100">
        <v>1394440</v>
      </c>
      <c r="G100">
        <v>1398080</v>
      </c>
      <c r="H100" t="s">
        <v>1377</v>
      </c>
      <c r="I100" t="s">
        <v>1362</v>
      </c>
      <c r="J100" s="51">
        <v>2.2546296296296297E-2</v>
      </c>
      <c r="K100" t="s">
        <v>140</v>
      </c>
      <c r="L100" t="s">
        <v>1367</v>
      </c>
      <c r="M100" t="s">
        <v>1368</v>
      </c>
      <c r="N100" t="s">
        <v>317</v>
      </c>
      <c r="O100" t="s">
        <v>144</v>
      </c>
      <c r="P100" t="s">
        <v>1054</v>
      </c>
      <c r="Q100" t="s">
        <v>146</v>
      </c>
      <c r="R100" t="s">
        <v>147</v>
      </c>
      <c r="S100" t="s">
        <v>148</v>
      </c>
      <c r="T100" t="s">
        <v>180</v>
      </c>
      <c r="U100" t="s">
        <v>318</v>
      </c>
      <c r="V100">
        <v>3</v>
      </c>
      <c r="W100" t="s">
        <v>269</v>
      </c>
      <c r="X100" t="s">
        <v>1382</v>
      </c>
      <c r="Y100" t="s">
        <v>153</v>
      </c>
      <c r="Z100" s="53" t="s">
        <v>1383</v>
      </c>
      <c r="AA100" s="41">
        <v>1</v>
      </c>
      <c r="AB100" s="41"/>
      <c r="AC100" s="41">
        <v>1</v>
      </c>
      <c r="AD100" s="41"/>
      <c r="AE100" s="41"/>
      <c r="AF100" s="41"/>
      <c r="AG100" s="41"/>
      <c r="AH100" s="41"/>
      <c r="AI100" s="41"/>
      <c r="AJ100" s="41"/>
      <c r="AK100" s="41"/>
      <c r="AL100" s="43"/>
      <c r="AM100" s="44"/>
      <c r="AN100" s="43"/>
      <c r="AO100" s="44"/>
      <c r="AP100" s="45"/>
      <c r="AQ100" s="46"/>
      <c r="AR100" s="45"/>
      <c r="AS100" s="46"/>
      <c r="AT100" s="45"/>
      <c r="AU100" s="46"/>
      <c r="AX100" s="47"/>
      <c r="AY100" s="47"/>
      <c r="AZ100" s="48"/>
      <c r="BA100" s="47"/>
      <c r="BB100" s="48"/>
      <c r="BC100" s="47"/>
      <c r="BD100" s="49"/>
      <c r="BE100" s="49"/>
      <c r="BF100" s="49"/>
      <c r="BG100" t="str">
        <f t="shared" si="1"/>
        <v/>
      </c>
      <c r="BH100" s="3" t="str" cm="1">
        <f t="array" ref="BH100">IF(AE100=1, _xlfn.TEXTJOIN(" &amp; ", TRUE, _xlfn._xlws.FILTER($AG$2:$BC$2, AG100:BC100=1)), "")</f>
        <v/>
      </c>
    </row>
    <row r="101" spans="1:60" ht="16.8" customHeight="1" x14ac:dyDescent="0.3">
      <c r="A101" t="s">
        <v>1362</v>
      </c>
      <c r="B101" t="s">
        <v>1385</v>
      </c>
      <c r="C101" t="s">
        <v>1364</v>
      </c>
      <c r="D101">
        <v>2020</v>
      </c>
      <c r="E101" s="52" t="s">
        <v>1386</v>
      </c>
      <c r="F101">
        <v>1808120</v>
      </c>
      <c r="G101">
        <v>1810125</v>
      </c>
      <c r="H101" t="s">
        <v>1384</v>
      </c>
      <c r="I101" t="s">
        <v>1362</v>
      </c>
      <c r="J101" s="51">
        <v>2.2546296296296297E-2</v>
      </c>
      <c r="K101" t="s">
        <v>140</v>
      </c>
      <c r="L101" t="s">
        <v>1367</v>
      </c>
      <c r="M101" t="s">
        <v>1368</v>
      </c>
      <c r="N101" t="s">
        <v>143</v>
      </c>
      <c r="O101" t="s">
        <v>144</v>
      </c>
      <c r="P101" t="s">
        <v>1054</v>
      </c>
      <c r="Q101" t="s">
        <v>228</v>
      </c>
      <c r="R101" t="s">
        <v>147</v>
      </c>
      <c r="S101" t="s">
        <v>148</v>
      </c>
      <c r="T101" t="s">
        <v>180</v>
      </c>
      <c r="U101" t="s">
        <v>183</v>
      </c>
      <c r="V101">
        <v>3</v>
      </c>
      <c r="W101" t="s">
        <v>269</v>
      </c>
      <c r="X101" t="s">
        <v>1387</v>
      </c>
      <c r="Y101" t="s">
        <v>153</v>
      </c>
      <c r="Z101" s="53" t="s">
        <v>1388</v>
      </c>
      <c r="AA101" s="41">
        <v>1</v>
      </c>
      <c r="AB101" s="41"/>
      <c r="AC101" s="41">
        <v>1</v>
      </c>
      <c r="AD101" s="41"/>
      <c r="AE101" s="41"/>
      <c r="AF101" s="41"/>
      <c r="AG101" s="41"/>
      <c r="AH101" s="41"/>
      <c r="AI101" s="41"/>
      <c r="AJ101" s="41"/>
      <c r="AK101" s="41"/>
      <c r="AL101" s="43"/>
      <c r="AM101" s="44"/>
      <c r="AN101" s="43"/>
      <c r="AO101" s="44"/>
      <c r="AP101" s="45"/>
      <c r="AQ101" s="46"/>
      <c r="AR101" s="45"/>
      <c r="AS101" s="46"/>
      <c r="AT101" s="45"/>
      <c r="AU101" s="46"/>
      <c r="AX101" s="47"/>
      <c r="AY101" s="47"/>
      <c r="AZ101" s="48"/>
      <c r="BA101" s="47"/>
      <c r="BB101" s="48"/>
      <c r="BC101" s="47"/>
      <c r="BD101" s="49"/>
      <c r="BE101" s="49"/>
      <c r="BF101" s="49"/>
      <c r="BG101" t="str">
        <f t="shared" si="1"/>
        <v/>
      </c>
      <c r="BH101" s="3" t="str" cm="1">
        <f t="array" ref="BH101">IF(AE101=1, _xlfn.TEXTJOIN(" &amp; ", TRUE, _xlfn._xlws.FILTER($AG$2:$BC$2, AG101:BC101=1)), "")</f>
        <v/>
      </c>
    </row>
    <row r="102" spans="1:60" ht="16.8" customHeight="1" x14ac:dyDescent="0.3">
      <c r="A102" t="s">
        <v>1362</v>
      </c>
      <c r="B102" t="s">
        <v>1389</v>
      </c>
      <c r="C102" t="s">
        <v>1364</v>
      </c>
      <c r="D102">
        <v>2020</v>
      </c>
      <c r="E102" s="52" t="s">
        <v>1390</v>
      </c>
      <c r="F102">
        <v>1849778</v>
      </c>
      <c r="G102">
        <v>1854313</v>
      </c>
      <c r="H102" t="s">
        <v>1384</v>
      </c>
      <c r="I102" t="s">
        <v>1362</v>
      </c>
      <c r="J102" s="51">
        <v>2.2546296296296297E-2</v>
      </c>
      <c r="K102" t="s">
        <v>140</v>
      </c>
      <c r="L102" t="s">
        <v>1367</v>
      </c>
      <c r="M102" t="s">
        <v>1368</v>
      </c>
      <c r="N102" t="s">
        <v>143</v>
      </c>
      <c r="O102" t="s">
        <v>144</v>
      </c>
      <c r="P102" t="s">
        <v>1054</v>
      </c>
      <c r="Q102" t="s">
        <v>228</v>
      </c>
      <c r="R102" t="s">
        <v>147</v>
      </c>
      <c r="S102" t="s">
        <v>148</v>
      </c>
      <c r="T102" t="s">
        <v>180</v>
      </c>
      <c r="U102" t="s">
        <v>183</v>
      </c>
      <c r="V102">
        <v>3</v>
      </c>
      <c r="W102" t="s">
        <v>269</v>
      </c>
      <c r="X102" t="s">
        <v>1391</v>
      </c>
      <c r="Y102" t="s">
        <v>153</v>
      </c>
      <c r="Z102" s="53" t="s">
        <v>1392</v>
      </c>
      <c r="AA102" s="41">
        <v>1</v>
      </c>
      <c r="AB102" s="41"/>
      <c r="AC102" s="41">
        <v>1</v>
      </c>
      <c r="AD102" s="41"/>
      <c r="AE102" s="41"/>
      <c r="AF102" s="41"/>
      <c r="AG102" s="41"/>
      <c r="AH102" s="41"/>
      <c r="AI102" s="41"/>
      <c r="AJ102" s="41"/>
      <c r="AK102" s="41"/>
      <c r="AL102" s="43"/>
      <c r="AM102" s="44"/>
      <c r="AN102" s="43"/>
      <c r="AO102" s="44"/>
      <c r="AP102" s="45"/>
      <c r="AQ102" s="46"/>
      <c r="AR102" s="45"/>
      <c r="AS102" s="46"/>
      <c r="AT102" s="45"/>
      <c r="AU102" s="46"/>
      <c r="AX102" s="47"/>
      <c r="AY102" s="47"/>
      <c r="AZ102" s="48"/>
      <c r="BA102" s="47"/>
      <c r="BB102" s="48"/>
      <c r="BC102" s="47"/>
      <c r="BD102" s="49"/>
      <c r="BE102" s="49"/>
      <c r="BF102" s="49"/>
      <c r="BG102" t="str">
        <f t="shared" si="1"/>
        <v/>
      </c>
      <c r="BH102" s="3" t="str" cm="1">
        <f t="array" ref="BH102">IF(AE102=1, _xlfn.TEXTJOIN(" &amp; ", TRUE, _xlfn._xlws.FILTER($AG$2:$BC$2, AG102:BC102=1)), "")</f>
        <v/>
      </c>
    </row>
    <row r="103" spans="1:60" ht="16.8" customHeight="1" x14ac:dyDescent="0.3">
      <c r="A103" t="s">
        <v>313</v>
      </c>
      <c r="B103" t="s">
        <v>1393</v>
      </c>
      <c r="C103" t="s">
        <v>314</v>
      </c>
      <c r="D103">
        <v>2024</v>
      </c>
      <c r="E103" s="52" t="s">
        <v>1394</v>
      </c>
      <c r="F103">
        <v>1285650</v>
      </c>
      <c r="G103">
        <v>1287398</v>
      </c>
      <c r="H103" t="s">
        <v>1395</v>
      </c>
      <c r="I103" t="s">
        <v>313</v>
      </c>
      <c r="J103" s="51">
        <v>2.0462962962962964E-2</v>
      </c>
      <c r="K103" t="s">
        <v>160</v>
      </c>
      <c r="L103" t="s">
        <v>315</v>
      </c>
      <c r="M103" t="s">
        <v>316</v>
      </c>
      <c r="N103" t="s">
        <v>1396</v>
      </c>
      <c r="O103" t="s">
        <v>164</v>
      </c>
      <c r="P103" t="s">
        <v>165</v>
      </c>
      <c r="Q103" t="s">
        <v>146</v>
      </c>
      <c r="R103" t="s">
        <v>167</v>
      </c>
      <c r="S103" t="s">
        <v>168</v>
      </c>
      <c r="T103" t="s">
        <v>1396</v>
      </c>
      <c r="U103" t="s">
        <v>151</v>
      </c>
      <c r="V103">
        <v>2</v>
      </c>
      <c r="W103" t="s">
        <v>170</v>
      </c>
      <c r="X103" t="s">
        <v>1397</v>
      </c>
      <c r="Y103" t="s">
        <v>153</v>
      </c>
      <c r="Z103" s="53" t="s">
        <v>1398</v>
      </c>
      <c r="AA103" s="41">
        <v>1</v>
      </c>
      <c r="AB103" s="41">
        <v>1</v>
      </c>
      <c r="AC103" s="41"/>
      <c r="AD103" s="41"/>
      <c r="AE103" s="41"/>
      <c r="AF103" s="41"/>
      <c r="AG103" s="41"/>
      <c r="AH103" s="41"/>
      <c r="AI103" s="41"/>
      <c r="AJ103" s="41"/>
      <c r="AK103" s="41"/>
      <c r="AL103" s="43"/>
      <c r="AM103" s="44"/>
      <c r="AN103" s="43"/>
      <c r="AO103" s="44"/>
      <c r="AP103" s="45"/>
      <c r="AQ103" s="46"/>
      <c r="AR103" s="45"/>
      <c r="AS103" s="46"/>
      <c r="AT103" s="45"/>
      <c r="AU103" s="46"/>
      <c r="AX103" s="47"/>
      <c r="AY103" s="47"/>
      <c r="AZ103" s="48"/>
      <c r="BA103" s="47"/>
      <c r="BB103" s="48"/>
      <c r="BC103" s="47"/>
      <c r="BD103" s="49"/>
      <c r="BE103" s="49"/>
      <c r="BF103" s="49"/>
      <c r="BG103" t="str">
        <f t="shared" si="1"/>
        <v/>
      </c>
      <c r="BH103" s="3" t="str" cm="1">
        <f t="array" ref="BH103">IF(AE103=1, _xlfn.TEXTJOIN(" &amp; ", TRUE, _xlfn._xlws.FILTER($AG$2:$BC$2, AG103:BC103=1)), "")</f>
        <v/>
      </c>
    </row>
    <row r="104" spans="1:60" ht="16.8" customHeight="1" x14ac:dyDescent="0.3">
      <c r="A104" t="s">
        <v>1399</v>
      </c>
      <c r="B104" t="s">
        <v>1400</v>
      </c>
      <c r="C104" t="s">
        <v>1401</v>
      </c>
      <c r="D104">
        <v>2022</v>
      </c>
      <c r="E104" s="52" t="s">
        <v>1402</v>
      </c>
      <c r="F104">
        <v>192280</v>
      </c>
      <c r="G104">
        <v>197270</v>
      </c>
      <c r="H104" t="s">
        <v>1403</v>
      </c>
      <c r="I104" t="s">
        <v>1399</v>
      </c>
      <c r="J104" s="51">
        <v>2.3842592592592592E-2</v>
      </c>
      <c r="K104" t="s">
        <v>160</v>
      </c>
      <c r="L104" t="s">
        <v>1404</v>
      </c>
      <c r="M104" t="s">
        <v>1405</v>
      </c>
      <c r="N104" t="s">
        <v>182</v>
      </c>
      <c r="O104" t="s">
        <v>164</v>
      </c>
      <c r="P104" t="s">
        <v>165</v>
      </c>
      <c r="Q104" t="s">
        <v>179</v>
      </c>
      <c r="R104" t="s">
        <v>167</v>
      </c>
      <c r="S104" t="s">
        <v>168</v>
      </c>
      <c r="T104" t="s">
        <v>169</v>
      </c>
      <c r="U104" t="s">
        <v>171</v>
      </c>
      <c r="V104">
        <v>2</v>
      </c>
      <c r="W104" t="s">
        <v>170</v>
      </c>
      <c r="X104" t="s">
        <v>1406</v>
      </c>
      <c r="Y104" t="s">
        <v>153</v>
      </c>
      <c r="Z104" s="53" t="s">
        <v>1407</v>
      </c>
      <c r="AA104" s="41"/>
      <c r="AB104" s="41"/>
      <c r="AC104" s="41"/>
      <c r="AD104" s="41"/>
      <c r="AE104" s="41">
        <v>1</v>
      </c>
      <c r="AF104" s="41"/>
      <c r="AG104" s="41"/>
      <c r="AH104" s="41"/>
      <c r="AI104" s="41"/>
      <c r="AJ104" s="41"/>
      <c r="AK104" s="41"/>
      <c r="AL104" s="43"/>
      <c r="AM104" s="44">
        <v>1</v>
      </c>
      <c r="AN104" s="43"/>
      <c r="AO104" s="44"/>
      <c r="AP104" s="45"/>
      <c r="AQ104" s="46"/>
      <c r="AR104" s="45"/>
      <c r="AS104" s="46"/>
      <c r="AT104" s="45"/>
      <c r="AU104" s="46">
        <v>1</v>
      </c>
      <c r="AX104" s="47"/>
      <c r="AY104" s="47"/>
      <c r="AZ104" s="48"/>
      <c r="BA104" s="47"/>
      <c r="BB104" s="48"/>
      <c r="BC104" s="47"/>
      <c r="BD104" s="49">
        <v>1</v>
      </c>
      <c r="BE104" s="49"/>
      <c r="BF104" s="49"/>
      <c r="BG104" t="str">
        <f t="shared" si="1"/>
        <v>Interazionale &amp; Metatestuale</v>
      </c>
      <c r="BH104" s="3" t="str" cm="1">
        <f t="array" ref="BH104">IF(AE104=1, _xlfn.TEXTJOIN(" &amp; ", TRUE, _xlfn._xlws.FILTER($AG$2:$BC$2, AG104:BC104=1)), "")</f>
        <v>Marcatura della conoscenza condivisa &amp; Esemplificazione</v>
      </c>
    </row>
    <row r="105" spans="1:60" ht="16.8" customHeight="1" x14ac:dyDescent="0.3">
      <c r="A105" t="s">
        <v>1408</v>
      </c>
      <c r="B105" t="s">
        <v>1409</v>
      </c>
      <c r="C105" t="s">
        <v>1410</v>
      </c>
      <c r="D105" t="s">
        <v>204</v>
      </c>
      <c r="E105" s="52" t="s">
        <v>1411</v>
      </c>
      <c r="F105">
        <v>2463418</v>
      </c>
      <c r="G105">
        <v>2467361</v>
      </c>
      <c r="H105" t="s">
        <v>1412</v>
      </c>
      <c r="I105" t="s">
        <v>1408</v>
      </c>
      <c r="J105" s="51">
        <v>3.5231481481481482E-2</v>
      </c>
      <c r="K105" t="s">
        <v>160</v>
      </c>
      <c r="L105" t="s">
        <v>1413</v>
      </c>
      <c r="M105" t="s">
        <v>1414</v>
      </c>
      <c r="N105" t="s">
        <v>286</v>
      </c>
      <c r="O105" t="s">
        <v>164</v>
      </c>
      <c r="P105" t="s">
        <v>145</v>
      </c>
      <c r="Q105" t="s">
        <v>228</v>
      </c>
      <c r="R105" t="s">
        <v>147</v>
      </c>
      <c r="S105" t="s">
        <v>168</v>
      </c>
      <c r="T105" t="s">
        <v>149</v>
      </c>
      <c r="U105" t="s">
        <v>349</v>
      </c>
      <c r="V105">
        <v>1</v>
      </c>
      <c r="W105" t="s">
        <v>365</v>
      </c>
      <c r="X105" t="s">
        <v>1415</v>
      </c>
      <c r="Y105" t="s">
        <v>153</v>
      </c>
      <c r="Z105" s="53" t="s">
        <v>1416</v>
      </c>
      <c r="AA105" s="41">
        <v>1</v>
      </c>
      <c r="AB105" s="41">
        <v>1</v>
      </c>
      <c r="AC105" s="41"/>
      <c r="AD105" s="41"/>
      <c r="AE105" s="41"/>
      <c r="AF105" s="41"/>
      <c r="AG105" s="41"/>
      <c r="AH105" s="41"/>
      <c r="AI105" s="41"/>
      <c r="AJ105" s="41"/>
      <c r="AK105" s="41"/>
      <c r="AL105" s="43"/>
      <c r="AM105" s="44"/>
      <c r="AN105" s="43"/>
      <c r="AO105" s="44"/>
      <c r="AP105" s="45"/>
      <c r="AQ105" s="46"/>
      <c r="AR105" s="45"/>
      <c r="AS105" s="46"/>
      <c r="AT105" s="45"/>
      <c r="AU105" s="46"/>
      <c r="AX105" s="47"/>
      <c r="AY105" s="47"/>
      <c r="AZ105" s="48"/>
      <c r="BA105" s="47"/>
      <c r="BB105" s="48"/>
      <c r="BC105" s="47"/>
      <c r="BD105" s="49"/>
      <c r="BE105" s="49"/>
      <c r="BF105" s="49"/>
      <c r="BG105" t="str">
        <f t="shared" si="1"/>
        <v/>
      </c>
      <c r="BH105" s="3" t="str" cm="1">
        <f t="array" ref="BH105">IF(AE105=1, _xlfn.TEXTJOIN(" &amp; ", TRUE, _xlfn._xlws.FILTER($AG$2:$BC$2, AG105:BC105=1)), "")</f>
        <v/>
      </c>
    </row>
    <row r="106" spans="1:60" ht="16.8" customHeight="1" x14ac:dyDescent="0.3">
      <c r="A106" t="s">
        <v>319</v>
      </c>
      <c r="B106" t="s">
        <v>1417</v>
      </c>
      <c r="C106" t="s">
        <v>320</v>
      </c>
      <c r="D106">
        <v>2022</v>
      </c>
      <c r="E106" s="52" t="s">
        <v>1418</v>
      </c>
      <c r="F106">
        <v>92945</v>
      </c>
      <c r="G106">
        <v>94152</v>
      </c>
      <c r="H106" t="s">
        <v>321</v>
      </c>
      <c r="I106" t="s">
        <v>319</v>
      </c>
      <c r="J106" s="51">
        <v>2.2499999999999999E-2</v>
      </c>
      <c r="K106" t="s">
        <v>160</v>
      </c>
      <c r="L106" t="s">
        <v>322</v>
      </c>
      <c r="M106" t="s">
        <v>323</v>
      </c>
      <c r="N106" t="s">
        <v>324</v>
      </c>
      <c r="O106" t="s">
        <v>164</v>
      </c>
      <c r="P106" t="s">
        <v>165</v>
      </c>
      <c r="Q106" t="s">
        <v>179</v>
      </c>
      <c r="R106" t="s">
        <v>167</v>
      </c>
      <c r="S106" t="s">
        <v>168</v>
      </c>
      <c r="T106" t="s">
        <v>169</v>
      </c>
      <c r="U106" t="s">
        <v>229</v>
      </c>
      <c r="V106">
        <v>2</v>
      </c>
      <c r="W106" t="s">
        <v>170</v>
      </c>
      <c r="X106" t="s">
        <v>1419</v>
      </c>
      <c r="Y106" t="s">
        <v>153</v>
      </c>
      <c r="Z106" s="53" t="s">
        <v>1420</v>
      </c>
      <c r="AA106"/>
      <c r="AB106"/>
      <c r="AC106" s="41"/>
      <c r="AD106" s="41"/>
      <c r="AE106" s="41">
        <v>1</v>
      </c>
      <c r="AF106" s="41">
        <v>1</v>
      </c>
      <c r="AG106" s="41"/>
      <c r="AH106" s="41"/>
      <c r="AI106" s="41"/>
      <c r="AJ106" s="41"/>
      <c r="AK106" s="41"/>
      <c r="AL106" s="43"/>
      <c r="AM106" s="44">
        <v>1</v>
      </c>
      <c r="AN106" s="43"/>
      <c r="AO106" s="44"/>
      <c r="AP106" s="45"/>
      <c r="AQ106" s="46"/>
      <c r="AR106" s="45"/>
      <c r="AS106" s="46"/>
      <c r="AT106" s="45"/>
      <c r="AU106" s="46"/>
      <c r="AX106" s="47">
        <v>1</v>
      </c>
      <c r="AY106" s="47"/>
      <c r="AZ106" s="48"/>
      <c r="BA106" s="47"/>
      <c r="BB106" s="48"/>
      <c r="BC106" s="47"/>
      <c r="BD106" s="49">
        <v>1</v>
      </c>
      <c r="BE106" s="49"/>
      <c r="BF106" s="49"/>
      <c r="BG106" t="str">
        <f t="shared" si="1"/>
        <v>Interazionale &amp; Cognitiva</v>
      </c>
      <c r="BH106" s="3" t="str" cm="1">
        <f t="array" ref="BH106">IF(AE106=1, _xlfn.TEXTJOIN(" &amp; ", TRUE, _xlfn._xlws.FILTER($AG$2:$BC$2, AG106:BC106=1)), "")</f>
        <v>Marcatura della conoscenza condivisa &amp; Marcatura dell'inferenza</v>
      </c>
    </row>
    <row r="107" spans="1:60" ht="16.8" customHeight="1" x14ac:dyDescent="0.3">
      <c r="A107" t="s">
        <v>319</v>
      </c>
      <c r="B107" t="s">
        <v>1421</v>
      </c>
      <c r="C107" t="s">
        <v>320</v>
      </c>
      <c r="D107">
        <v>2022</v>
      </c>
      <c r="E107" s="52" t="s">
        <v>1422</v>
      </c>
      <c r="F107">
        <v>162570</v>
      </c>
      <c r="G107">
        <v>166290</v>
      </c>
      <c r="H107" t="s">
        <v>321</v>
      </c>
      <c r="I107" t="s">
        <v>319</v>
      </c>
      <c r="J107" s="51">
        <v>2.2499999999999999E-2</v>
      </c>
      <c r="K107" t="s">
        <v>160</v>
      </c>
      <c r="L107" t="s">
        <v>322</v>
      </c>
      <c r="M107" t="s">
        <v>323</v>
      </c>
      <c r="N107" t="s">
        <v>324</v>
      </c>
      <c r="O107" t="s">
        <v>164</v>
      </c>
      <c r="P107" t="s">
        <v>165</v>
      </c>
      <c r="Q107" t="s">
        <v>179</v>
      </c>
      <c r="R107" t="s">
        <v>167</v>
      </c>
      <c r="S107" t="s">
        <v>168</v>
      </c>
      <c r="T107" t="s">
        <v>169</v>
      </c>
      <c r="U107" t="s">
        <v>229</v>
      </c>
      <c r="V107">
        <v>2</v>
      </c>
      <c r="W107" t="s">
        <v>170</v>
      </c>
      <c r="X107" t="s">
        <v>1423</v>
      </c>
      <c r="Y107" t="s">
        <v>153</v>
      </c>
      <c r="Z107" s="53" t="s">
        <v>1424</v>
      </c>
      <c r="AA107"/>
      <c r="AB107"/>
      <c r="AC107" s="41"/>
      <c r="AD107" s="41"/>
      <c r="AE107" s="41">
        <v>1</v>
      </c>
      <c r="AF107" s="41">
        <v>1</v>
      </c>
      <c r="AG107" s="41"/>
      <c r="AH107" s="41"/>
      <c r="AI107" s="41"/>
      <c r="AJ107" s="41"/>
      <c r="AK107" s="41"/>
      <c r="AL107" s="43"/>
      <c r="AM107" s="44">
        <v>1</v>
      </c>
      <c r="AN107" s="43"/>
      <c r="AO107" s="44"/>
      <c r="AP107" s="45">
        <v>1</v>
      </c>
      <c r="AQ107" s="46"/>
      <c r="AR107" s="45"/>
      <c r="AS107" s="46"/>
      <c r="AT107" s="45"/>
      <c r="AU107" s="46"/>
      <c r="AX107" s="47"/>
      <c r="AY107" s="47"/>
      <c r="AZ107" s="48"/>
      <c r="BA107" s="47"/>
      <c r="BB107" s="48"/>
      <c r="BC107" s="47"/>
      <c r="BD107" s="49">
        <v>1</v>
      </c>
      <c r="BE107" s="49"/>
      <c r="BF107" s="49"/>
      <c r="BG107" t="str">
        <f t="shared" si="1"/>
        <v>Interazionale &amp; Metatestuale</v>
      </c>
      <c r="BH107" s="3" t="str" cm="1">
        <f t="array" ref="BH107">IF(AE107=1, _xlfn.TEXTJOIN(" &amp; ", TRUE, _xlfn._xlws.FILTER($AG$2:$BC$2, AG107:BC107=1)), "")</f>
        <v>Marcatura della conoscenza condivisa &amp; Gestione del topic: introduzione o ripresa di topic</v>
      </c>
    </row>
    <row r="108" spans="1:60" ht="16.8" customHeight="1" x14ac:dyDescent="0.3">
      <c r="A108" t="s">
        <v>319</v>
      </c>
      <c r="B108" t="s">
        <v>1425</v>
      </c>
      <c r="C108" t="s">
        <v>320</v>
      </c>
      <c r="D108">
        <v>2022</v>
      </c>
      <c r="E108" s="52" t="s">
        <v>1426</v>
      </c>
      <c r="F108">
        <v>510810</v>
      </c>
      <c r="G108">
        <v>522280</v>
      </c>
      <c r="H108" t="s">
        <v>321</v>
      </c>
      <c r="I108" t="s">
        <v>319</v>
      </c>
      <c r="J108" s="51">
        <v>2.2499999999999999E-2</v>
      </c>
      <c r="K108" t="s">
        <v>160</v>
      </c>
      <c r="L108" t="s">
        <v>322</v>
      </c>
      <c r="M108" t="s">
        <v>323</v>
      </c>
      <c r="N108" t="s">
        <v>324</v>
      </c>
      <c r="O108" t="s">
        <v>164</v>
      </c>
      <c r="P108" t="s">
        <v>165</v>
      </c>
      <c r="Q108" t="s">
        <v>179</v>
      </c>
      <c r="R108" t="s">
        <v>167</v>
      </c>
      <c r="S108" t="s">
        <v>168</v>
      </c>
      <c r="T108" t="s">
        <v>169</v>
      </c>
      <c r="U108" t="s">
        <v>229</v>
      </c>
      <c r="V108">
        <v>2</v>
      </c>
      <c r="W108" t="s">
        <v>170</v>
      </c>
      <c r="X108" t="s">
        <v>1427</v>
      </c>
      <c r="Y108" t="s">
        <v>153</v>
      </c>
      <c r="Z108" s="53" t="s">
        <v>1428</v>
      </c>
      <c r="AA108" s="41">
        <v>1</v>
      </c>
      <c r="AB108" s="41"/>
      <c r="AC108" s="41">
        <v>1</v>
      </c>
      <c r="AD108" s="41"/>
      <c r="AE108" s="41"/>
      <c r="AF108" s="41"/>
      <c r="AG108" s="41"/>
      <c r="AH108" s="41"/>
      <c r="AI108" s="41"/>
      <c r="AJ108" s="41"/>
      <c r="AK108" s="41"/>
      <c r="AL108" s="43"/>
      <c r="AM108" s="44"/>
      <c r="AN108" s="43"/>
      <c r="AO108" s="44"/>
      <c r="AP108" s="45"/>
      <c r="AQ108" s="46"/>
      <c r="AR108" s="45"/>
      <c r="AS108" s="46"/>
      <c r="AT108" s="45"/>
      <c r="AU108" s="46"/>
      <c r="AX108" s="47"/>
      <c r="AY108" s="47"/>
      <c r="AZ108" s="48"/>
      <c r="BA108" s="47"/>
      <c r="BB108" s="48"/>
      <c r="BC108" s="47"/>
      <c r="BD108" s="49"/>
      <c r="BE108" s="49"/>
      <c r="BF108" s="49"/>
      <c r="BG108" t="str">
        <f t="shared" si="1"/>
        <v/>
      </c>
      <c r="BH108" s="3" t="str" cm="1">
        <f t="array" ref="BH108">IF(AE108=1, _xlfn.TEXTJOIN(" &amp; ", TRUE, _xlfn._xlws.FILTER($AG$2:$BC$2, AG108:BC108=1)), "")</f>
        <v/>
      </c>
    </row>
    <row r="109" spans="1:60" ht="16.8" customHeight="1" x14ac:dyDescent="0.3">
      <c r="A109" t="s">
        <v>319</v>
      </c>
      <c r="B109" t="s">
        <v>1429</v>
      </c>
      <c r="C109" t="s">
        <v>320</v>
      </c>
      <c r="D109">
        <v>2022</v>
      </c>
      <c r="E109" s="52" t="s">
        <v>1430</v>
      </c>
      <c r="F109">
        <v>1004570</v>
      </c>
      <c r="G109">
        <v>1013080</v>
      </c>
      <c r="H109" t="s">
        <v>321</v>
      </c>
      <c r="I109" t="s">
        <v>319</v>
      </c>
      <c r="J109" s="51">
        <v>2.2499999999999999E-2</v>
      </c>
      <c r="K109" t="s">
        <v>160</v>
      </c>
      <c r="L109" t="s">
        <v>322</v>
      </c>
      <c r="M109" t="s">
        <v>323</v>
      </c>
      <c r="N109" t="s">
        <v>324</v>
      </c>
      <c r="O109" t="s">
        <v>164</v>
      </c>
      <c r="P109" t="s">
        <v>165</v>
      </c>
      <c r="Q109" t="s">
        <v>179</v>
      </c>
      <c r="R109" t="s">
        <v>167</v>
      </c>
      <c r="S109" t="s">
        <v>168</v>
      </c>
      <c r="T109" t="s">
        <v>169</v>
      </c>
      <c r="U109" t="s">
        <v>229</v>
      </c>
      <c r="V109">
        <v>2</v>
      </c>
      <c r="W109" t="s">
        <v>170</v>
      </c>
      <c r="X109" t="s">
        <v>1431</v>
      </c>
      <c r="Y109" t="s">
        <v>153</v>
      </c>
      <c r="Z109" s="53" t="s">
        <v>1432</v>
      </c>
      <c r="AA109">
        <v>1</v>
      </c>
      <c r="AB109"/>
      <c r="AC109" s="41">
        <v>1</v>
      </c>
      <c r="AD109" s="41"/>
      <c r="AE109" s="41"/>
      <c r="AF109" s="41"/>
      <c r="AG109" s="41"/>
      <c r="AH109" s="41"/>
      <c r="AI109" s="41"/>
      <c r="AJ109" s="41"/>
      <c r="AK109" s="41"/>
      <c r="AL109" s="43"/>
      <c r="AM109" s="44"/>
      <c r="AN109" s="43"/>
      <c r="AO109" s="44"/>
      <c r="AP109" s="45"/>
      <c r="AQ109" s="46"/>
      <c r="AR109" s="45"/>
      <c r="AS109" s="46"/>
      <c r="AT109" s="45"/>
      <c r="AU109" s="46"/>
      <c r="AX109" s="47"/>
      <c r="AY109" s="47"/>
      <c r="AZ109" s="48"/>
      <c r="BA109" s="47"/>
      <c r="BB109" s="48"/>
      <c r="BC109" s="47"/>
      <c r="BD109" s="49"/>
      <c r="BE109" s="49"/>
      <c r="BF109" s="49"/>
      <c r="BG109" t="str">
        <f t="shared" si="1"/>
        <v/>
      </c>
      <c r="BH109" s="3" t="str" cm="1">
        <f t="array" ref="BH109">IF(AE109=1, _xlfn.TEXTJOIN(" &amp; ", TRUE, _xlfn._xlws.FILTER($AG$2:$BC$2, AG109:BC109=1)), "")</f>
        <v/>
      </c>
    </row>
    <row r="110" spans="1:60" ht="16.8" customHeight="1" x14ac:dyDescent="0.3">
      <c r="A110" t="s">
        <v>319</v>
      </c>
      <c r="B110" t="s">
        <v>1433</v>
      </c>
      <c r="C110" t="s">
        <v>320</v>
      </c>
      <c r="D110">
        <v>2022</v>
      </c>
      <c r="E110" s="52" t="s">
        <v>1434</v>
      </c>
      <c r="F110">
        <v>1323500</v>
      </c>
      <c r="G110">
        <v>1325829</v>
      </c>
      <c r="H110" t="s">
        <v>321</v>
      </c>
      <c r="I110" t="s">
        <v>319</v>
      </c>
      <c r="J110" s="51">
        <v>2.2499999999999999E-2</v>
      </c>
      <c r="K110" t="s">
        <v>160</v>
      </c>
      <c r="L110" t="s">
        <v>322</v>
      </c>
      <c r="M110" t="s">
        <v>323</v>
      </c>
      <c r="N110" t="s">
        <v>324</v>
      </c>
      <c r="O110" t="s">
        <v>164</v>
      </c>
      <c r="P110" t="s">
        <v>165</v>
      </c>
      <c r="Q110" t="s">
        <v>179</v>
      </c>
      <c r="R110" t="s">
        <v>167</v>
      </c>
      <c r="S110" t="s">
        <v>168</v>
      </c>
      <c r="T110" t="s">
        <v>169</v>
      </c>
      <c r="U110" t="s">
        <v>229</v>
      </c>
      <c r="V110">
        <v>2</v>
      </c>
      <c r="W110" t="s">
        <v>170</v>
      </c>
      <c r="X110" t="s">
        <v>1435</v>
      </c>
      <c r="Y110" t="s">
        <v>153</v>
      </c>
      <c r="Z110" s="53" t="s">
        <v>1436</v>
      </c>
      <c r="AA110" s="41"/>
      <c r="AB110" s="41"/>
      <c r="AC110" s="41"/>
      <c r="AD110" s="41"/>
      <c r="AE110" s="41">
        <v>1</v>
      </c>
      <c r="AF110" s="41">
        <v>1</v>
      </c>
      <c r="AG110" s="41"/>
      <c r="AH110" s="41"/>
      <c r="AI110" s="41"/>
      <c r="AJ110" s="41"/>
      <c r="AK110" s="41"/>
      <c r="AL110" s="43"/>
      <c r="AM110" s="44">
        <v>1</v>
      </c>
      <c r="AN110" s="43"/>
      <c r="AO110" s="44"/>
      <c r="AP110" s="45"/>
      <c r="AQ110" s="46"/>
      <c r="AR110" s="45"/>
      <c r="AS110" s="46"/>
      <c r="AT110" s="45"/>
      <c r="AU110" s="46"/>
      <c r="AX110" s="47"/>
      <c r="AY110" s="47"/>
      <c r="AZ110" s="48"/>
      <c r="BA110" s="47"/>
      <c r="BB110" s="48"/>
      <c r="BC110" s="47"/>
      <c r="BD110" s="49">
        <v>1</v>
      </c>
      <c r="BE110" s="49"/>
      <c r="BF110" s="49"/>
      <c r="BG110" t="str">
        <f t="shared" si="1"/>
        <v>Interazionale</v>
      </c>
      <c r="BH110" s="3" t="str" cm="1">
        <f t="array" ref="BH110">IF(AE110=1, _xlfn.TEXTJOIN(" &amp; ", TRUE, _xlfn._xlws.FILTER($AG$2:$BC$2, AG110:BC110=1)), "")</f>
        <v>Marcatura della conoscenza condivisa</v>
      </c>
    </row>
    <row r="111" spans="1:60" ht="16.8" customHeight="1" x14ac:dyDescent="0.3">
      <c r="A111" t="s">
        <v>319</v>
      </c>
      <c r="B111" t="s">
        <v>1437</v>
      </c>
      <c r="C111" t="s">
        <v>320</v>
      </c>
      <c r="D111">
        <v>2022</v>
      </c>
      <c r="E111" s="52" t="s">
        <v>1438</v>
      </c>
      <c r="F111">
        <v>1358790</v>
      </c>
      <c r="G111">
        <v>1361465</v>
      </c>
      <c r="H111" t="s">
        <v>321</v>
      </c>
      <c r="I111" t="s">
        <v>319</v>
      </c>
      <c r="J111" s="51">
        <v>2.2499999999999999E-2</v>
      </c>
      <c r="K111" t="s">
        <v>160</v>
      </c>
      <c r="L111" t="s">
        <v>322</v>
      </c>
      <c r="M111" t="s">
        <v>323</v>
      </c>
      <c r="N111" t="s">
        <v>324</v>
      </c>
      <c r="O111" t="s">
        <v>164</v>
      </c>
      <c r="P111" t="s">
        <v>165</v>
      </c>
      <c r="Q111" t="s">
        <v>179</v>
      </c>
      <c r="R111" t="s">
        <v>167</v>
      </c>
      <c r="S111" t="s">
        <v>168</v>
      </c>
      <c r="T111" t="s">
        <v>169</v>
      </c>
      <c r="U111" t="s">
        <v>229</v>
      </c>
      <c r="V111">
        <v>2</v>
      </c>
      <c r="W111" t="s">
        <v>170</v>
      </c>
      <c r="X111" t="s">
        <v>1439</v>
      </c>
      <c r="Y111" t="s">
        <v>153</v>
      </c>
      <c r="Z111" s="53" t="s">
        <v>1440</v>
      </c>
      <c r="AA111"/>
      <c r="AB111"/>
      <c r="AC111" s="41"/>
      <c r="AD111" s="41"/>
      <c r="AE111" s="41">
        <v>1</v>
      </c>
      <c r="AF111" s="41"/>
      <c r="AG111" s="41">
        <v>1</v>
      </c>
      <c r="AH111" s="41"/>
      <c r="AI111" s="41"/>
      <c r="AJ111" s="41"/>
      <c r="AK111" s="41"/>
      <c r="AL111" s="43"/>
      <c r="AM111" s="44"/>
      <c r="AN111" s="43"/>
      <c r="AO111" s="44"/>
      <c r="AP111" s="45">
        <v>1</v>
      </c>
      <c r="AQ111" s="46"/>
      <c r="AR111" s="45"/>
      <c r="AS111" s="46"/>
      <c r="AT111" s="45"/>
      <c r="AU111" s="46"/>
      <c r="AX111" s="47"/>
      <c r="AY111" s="47"/>
      <c r="AZ111" s="48"/>
      <c r="BA111" s="47"/>
      <c r="BB111" s="48"/>
      <c r="BC111" s="47"/>
      <c r="BD111" s="49">
        <v>1</v>
      </c>
      <c r="BE111" s="49"/>
      <c r="BF111" s="49"/>
      <c r="BG111" t="str">
        <f t="shared" si="1"/>
        <v>Interazionale &amp; Metatestuale</v>
      </c>
      <c r="BH111" s="3" t="str" cm="1">
        <f t="array" ref="BH111">IF(AE111=1, _xlfn.TEXTJOIN(" &amp; ", TRUE, _xlfn._xlws.FILTER($AG$2:$BC$2, AG111:BC111=1)), "")</f>
        <v>Presa di turno &amp; Gestione del topic: introduzione o ripresa di topic</v>
      </c>
    </row>
    <row r="112" spans="1:60" ht="16.8" customHeight="1" x14ac:dyDescent="0.3">
      <c r="A112" t="s">
        <v>319</v>
      </c>
      <c r="B112" t="s">
        <v>1441</v>
      </c>
      <c r="C112" t="s">
        <v>320</v>
      </c>
      <c r="D112">
        <v>2022</v>
      </c>
      <c r="E112" s="52" t="s">
        <v>1442</v>
      </c>
      <c r="F112">
        <v>1577570</v>
      </c>
      <c r="G112">
        <v>1580495</v>
      </c>
      <c r="H112" t="s">
        <v>321</v>
      </c>
      <c r="I112" t="s">
        <v>319</v>
      </c>
      <c r="J112" s="51">
        <v>2.2499999999999999E-2</v>
      </c>
      <c r="K112" t="s">
        <v>160</v>
      </c>
      <c r="L112" t="s">
        <v>322</v>
      </c>
      <c r="M112" t="s">
        <v>323</v>
      </c>
      <c r="N112" t="s">
        <v>324</v>
      </c>
      <c r="O112" t="s">
        <v>164</v>
      </c>
      <c r="P112" t="s">
        <v>165</v>
      </c>
      <c r="Q112" t="s">
        <v>179</v>
      </c>
      <c r="R112" t="s">
        <v>167</v>
      </c>
      <c r="S112" t="s">
        <v>168</v>
      </c>
      <c r="T112" t="s">
        <v>169</v>
      </c>
      <c r="U112" t="s">
        <v>229</v>
      </c>
      <c r="V112">
        <v>2</v>
      </c>
      <c r="W112" t="s">
        <v>170</v>
      </c>
      <c r="X112" t="s">
        <v>1443</v>
      </c>
      <c r="Y112" t="s">
        <v>153</v>
      </c>
      <c r="Z112" s="53" t="s">
        <v>1444</v>
      </c>
      <c r="AA112"/>
      <c r="AB112"/>
      <c r="AC112" s="41"/>
      <c r="AD112" s="41"/>
      <c r="AE112" s="41">
        <v>1</v>
      </c>
      <c r="AF112" s="41"/>
      <c r="AG112" s="41"/>
      <c r="AH112" s="41"/>
      <c r="AI112" s="41"/>
      <c r="AJ112" s="41"/>
      <c r="AK112" s="41"/>
      <c r="AL112" s="43">
        <v>1</v>
      </c>
      <c r="AM112" s="44"/>
      <c r="AN112" s="43"/>
      <c r="AO112" s="44"/>
      <c r="AP112" s="45"/>
      <c r="AQ112" s="46"/>
      <c r="AR112" s="45"/>
      <c r="AS112" s="46"/>
      <c r="AT112" s="45"/>
      <c r="AU112" s="46"/>
      <c r="AX112" s="47"/>
      <c r="AY112" s="47"/>
      <c r="AZ112" s="48"/>
      <c r="BA112" s="47"/>
      <c r="BB112" s="48">
        <v>1</v>
      </c>
      <c r="BC112" s="47"/>
      <c r="BD112" s="49">
        <v>1</v>
      </c>
      <c r="BE112" s="49"/>
      <c r="BF112" s="49"/>
      <c r="BG112" t="str">
        <f t="shared" si="1"/>
        <v>Interazionale &amp; Cognitiva</v>
      </c>
      <c r="BH112" s="3" t="str" cm="1">
        <f t="array" ref="BH112">IF(AE112=1, _xlfn.TEXTJOIN(" &amp; ", TRUE, _xlfn._xlws.FILTER($AG$2:$BC$2, AG112:BC112=1)), "")</f>
        <v>Cessione del turno &amp; Attenuazione</v>
      </c>
    </row>
    <row r="113" spans="1:60" ht="16.8" customHeight="1" x14ac:dyDescent="0.3">
      <c r="A113" t="s">
        <v>319</v>
      </c>
      <c r="B113" t="s">
        <v>1445</v>
      </c>
      <c r="C113" t="s">
        <v>320</v>
      </c>
      <c r="D113">
        <v>2022</v>
      </c>
      <c r="E113" s="52" t="s">
        <v>1446</v>
      </c>
      <c r="F113">
        <v>1665485</v>
      </c>
      <c r="G113">
        <v>1670127</v>
      </c>
      <c r="H113" t="s">
        <v>321</v>
      </c>
      <c r="I113" t="s">
        <v>319</v>
      </c>
      <c r="J113" s="51">
        <v>2.2499999999999999E-2</v>
      </c>
      <c r="K113" t="s">
        <v>160</v>
      </c>
      <c r="L113" t="s">
        <v>322</v>
      </c>
      <c r="M113" t="s">
        <v>323</v>
      </c>
      <c r="N113" t="s">
        <v>324</v>
      </c>
      <c r="O113" t="s">
        <v>164</v>
      </c>
      <c r="P113" t="s">
        <v>165</v>
      </c>
      <c r="Q113" t="s">
        <v>179</v>
      </c>
      <c r="R113" t="s">
        <v>167</v>
      </c>
      <c r="S113" t="s">
        <v>168</v>
      </c>
      <c r="T113" t="s">
        <v>169</v>
      </c>
      <c r="U113" t="s">
        <v>229</v>
      </c>
      <c r="V113">
        <v>2</v>
      </c>
      <c r="W113" t="s">
        <v>170</v>
      </c>
      <c r="X113" t="s">
        <v>1447</v>
      </c>
      <c r="Y113" t="s">
        <v>153</v>
      </c>
      <c r="Z113" s="53" t="s">
        <v>1448</v>
      </c>
      <c r="AA113" s="41"/>
      <c r="AB113" s="41"/>
      <c r="AC113" s="41"/>
      <c r="AD113" s="41"/>
      <c r="AE113" s="41">
        <v>1</v>
      </c>
      <c r="AF113" s="41"/>
      <c r="AG113" s="41"/>
      <c r="AH113" s="41"/>
      <c r="AI113" s="41"/>
      <c r="AJ113" s="41"/>
      <c r="AK113" s="41"/>
      <c r="AL113" s="43"/>
      <c r="AM113" s="44">
        <v>1</v>
      </c>
      <c r="AN113" s="43"/>
      <c r="AO113" s="44"/>
      <c r="AP113" s="45"/>
      <c r="AQ113" s="46"/>
      <c r="AR113" s="45"/>
      <c r="AS113" s="46"/>
      <c r="AT113" s="45"/>
      <c r="AU113" s="46"/>
      <c r="AX113" s="47"/>
      <c r="AY113" s="47"/>
      <c r="AZ113" s="48"/>
      <c r="BA113" s="47"/>
      <c r="BB113" s="48"/>
      <c r="BC113" s="47"/>
      <c r="BD113" s="49"/>
      <c r="BE113" s="49"/>
      <c r="BF113" s="49"/>
      <c r="BG113" t="str">
        <f t="shared" si="1"/>
        <v>Interazionale</v>
      </c>
      <c r="BH113" s="3" t="str" cm="1">
        <f t="array" ref="BH113">IF(AE113=1, _xlfn.TEXTJOIN(" &amp; ", TRUE, _xlfn._xlws.FILTER($AG$2:$BC$2, AG113:BC113=1)), "")</f>
        <v>Marcatura della conoscenza condivisa</v>
      </c>
    </row>
    <row r="114" spans="1:60" ht="16.8" customHeight="1" x14ac:dyDescent="0.3">
      <c r="A114" t="s">
        <v>319</v>
      </c>
      <c r="B114" t="s">
        <v>1449</v>
      </c>
      <c r="C114" t="s">
        <v>320</v>
      </c>
      <c r="D114">
        <v>2022</v>
      </c>
      <c r="E114" s="52" t="s">
        <v>1450</v>
      </c>
      <c r="F114">
        <v>1729529</v>
      </c>
      <c r="G114">
        <v>1731240</v>
      </c>
      <c r="H114" t="s">
        <v>321</v>
      </c>
      <c r="I114" t="s">
        <v>319</v>
      </c>
      <c r="J114" s="51">
        <v>2.2499999999999999E-2</v>
      </c>
      <c r="K114" t="s">
        <v>160</v>
      </c>
      <c r="L114" t="s">
        <v>322</v>
      </c>
      <c r="M114" t="s">
        <v>323</v>
      </c>
      <c r="N114" t="s">
        <v>324</v>
      </c>
      <c r="O114" t="s">
        <v>164</v>
      </c>
      <c r="P114" t="s">
        <v>165</v>
      </c>
      <c r="Q114" t="s">
        <v>179</v>
      </c>
      <c r="R114" t="s">
        <v>167</v>
      </c>
      <c r="S114" t="s">
        <v>168</v>
      </c>
      <c r="T114" t="s">
        <v>169</v>
      </c>
      <c r="U114" t="s">
        <v>229</v>
      </c>
      <c r="V114">
        <v>2</v>
      </c>
      <c r="W114" t="s">
        <v>170</v>
      </c>
      <c r="X114" t="s">
        <v>1451</v>
      </c>
      <c r="Y114" t="s">
        <v>153</v>
      </c>
      <c r="Z114" s="53" t="s">
        <v>1452</v>
      </c>
      <c r="AA114"/>
      <c r="AB114"/>
      <c r="AC114" s="41"/>
      <c r="AD114" s="41"/>
      <c r="AE114" s="41">
        <v>1</v>
      </c>
      <c r="AF114" s="41">
        <v>1</v>
      </c>
      <c r="AG114" s="41"/>
      <c r="AH114" s="41"/>
      <c r="AI114" s="41"/>
      <c r="AJ114" s="41"/>
      <c r="AK114" s="41"/>
      <c r="AL114" s="43"/>
      <c r="AM114" s="44"/>
      <c r="AN114" s="43"/>
      <c r="AO114" s="44"/>
      <c r="AP114" s="45"/>
      <c r="AQ114" s="46"/>
      <c r="AR114" s="45"/>
      <c r="AS114" s="46"/>
      <c r="AT114" s="45"/>
      <c r="AU114" s="46"/>
      <c r="AV114" s="9">
        <v>1</v>
      </c>
      <c r="AX114" s="47"/>
      <c r="AY114" s="47"/>
      <c r="AZ114" s="48"/>
      <c r="BA114" s="47"/>
      <c r="BB114" s="48"/>
      <c r="BC114" s="47"/>
      <c r="BD114" s="49"/>
      <c r="BE114" s="49"/>
      <c r="BF114" s="49"/>
      <c r="BG114" t="str">
        <f t="shared" si="1"/>
        <v>Metatestuale</v>
      </c>
      <c r="BH114" s="3" t="str" cm="1">
        <f t="array" ref="BH114">IF(AE114=1, _xlfn.TEXTJOIN(" &amp; ", TRUE, _xlfn._xlws.FILTER($AG$2:$BC$2, AG114:BC114=1)), "")</f>
        <v>Filler, riempimento dei tempi di formulazione</v>
      </c>
    </row>
    <row r="115" spans="1:60" ht="16.8" customHeight="1" x14ac:dyDescent="0.3">
      <c r="A115" t="s">
        <v>319</v>
      </c>
      <c r="B115" t="s">
        <v>1453</v>
      </c>
      <c r="C115" t="s">
        <v>320</v>
      </c>
      <c r="D115">
        <v>2022</v>
      </c>
      <c r="E115" s="52" t="s">
        <v>1454</v>
      </c>
      <c r="F115">
        <v>1745810</v>
      </c>
      <c r="G115">
        <v>1751590</v>
      </c>
      <c r="H115" t="s">
        <v>321</v>
      </c>
      <c r="I115" t="s">
        <v>319</v>
      </c>
      <c r="J115" s="51">
        <v>2.2499999999999999E-2</v>
      </c>
      <c r="K115" t="s">
        <v>160</v>
      </c>
      <c r="L115" t="s">
        <v>322</v>
      </c>
      <c r="M115" t="s">
        <v>323</v>
      </c>
      <c r="N115" t="s">
        <v>324</v>
      </c>
      <c r="O115" t="s">
        <v>164</v>
      </c>
      <c r="P115" t="s">
        <v>165</v>
      </c>
      <c r="Q115" t="s">
        <v>179</v>
      </c>
      <c r="R115" t="s">
        <v>167</v>
      </c>
      <c r="S115" t="s">
        <v>168</v>
      </c>
      <c r="T115" t="s">
        <v>169</v>
      </c>
      <c r="U115" t="s">
        <v>229</v>
      </c>
      <c r="V115">
        <v>2</v>
      </c>
      <c r="W115" t="s">
        <v>170</v>
      </c>
      <c r="X115" t="s">
        <v>1455</v>
      </c>
      <c r="Y115" t="s">
        <v>153</v>
      </c>
      <c r="Z115" s="53" t="s">
        <v>1456</v>
      </c>
      <c r="AA115"/>
      <c r="AB115"/>
      <c r="AC115" s="41"/>
      <c r="AD115" s="41"/>
      <c r="AE115" s="41">
        <v>1</v>
      </c>
      <c r="AF115" s="41"/>
      <c r="AG115" s="41"/>
      <c r="AH115" s="41"/>
      <c r="AI115" s="41"/>
      <c r="AJ115" s="41"/>
      <c r="AK115" s="41"/>
      <c r="AL115" s="43"/>
      <c r="AM115" s="44">
        <v>1</v>
      </c>
      <c r="AN115" s="43"/>
      <c r="AO115" s="44"/>
      <c r="AP115" s="45"/>
      <c r="AQ115" s="46"/>
      <c r="AR115" s="45"/>
      <c r="AS115" s="46"/>
      <c r="AT115" s="45"/>
      <c r="AU115" s="46">
        <v>1</v>
      </c>
      <c r="AX115" s="47"/>
      <c r="AY115" s="47"/>
      <c r="AZ115" s="48"/>
      <c r="BA115" s="47"/>
      <c r="BB115" s="48"/>
      <c r="BC115" s="47"/>
      <c r="BD115" s="49">
        <v>1</v>
      </c>
      <c r="BE115" s="49"/>
      <c r="BF115" s="49"/>
      <c r="BG115" t="str">
        <f t="shared" si="1"/>
        <v>Interazionale &amp; Metatestuale</v>
      </c>
      <c r="BH115" s="3" t="str" cm="1">
        <f t="array" ref="BH115">IF(AE115=1, _xlfn.TEXTJOIN(" &amp; ", TRUE, _xlfn._xlws.FILTER($AG$2:$BC$2, AG115:BC115=1)), "")</f>
        <v>Marcatura della conoscenza condivisa &amp; Esemplificazione</v>
      </c>
    </row>
    <row r="116" spans="1:60" ht="16.8" customHeight="1" x14ac:dyDescent="0.3">
      <c r="A116" t="s">
        <v>319</v>
      </c>
      <c r="B116" t="s">
        <v>1457</v>
      </c>
      <c r="C116" t="s">
        <v>320</v>
      </c>
      <c r="D116">
        <v>2022</v>
      </c>
      <c r="E116" s="52" t="s">
        <v>1458</v>
      </c>
      <c r="F116">
        <v>1760455</v>
      </c>
      <c r="G116">
        <v>1764720</v>
      </c>
      <c r="H116" t="s">
        <v>321</v>
      </c>
      <c r="I116" t="s">
        <v>319</v>
      </c>
      <c r="J116" s="51">
        <v>2.2499999999999999E-2</v>
      </c>
      <c r="K116" t="s">
        <v>160</v>
      </c>
      <c r="L116" t="s">
        <v>322</v>
      </c>
      <c r="M116" t="s">
        <v>323</v>
      </c>
      <c r="N116" t="s">
        <v>324</v>
      </c>
      <c r="O116" t="s">
        <v>164</v>
      </c>
      <c r="P116" t="s">
        <v>165</v>
      </c>
      <c r="Q116" t="s">
        <v>179</v>
      </c>
      <c r="R116" t="s">
        <v>167</v>
      </c>
      <c r="S116" t="s">
        <v>168</v>
      </c>
      <c r="T116" t="s">
        <v>169</v>
      </c>
      <c r="U116" t="s">
        <v>229</v>
      </c>
      <c r="V116">
        <v>2</v>
      </c>
      <c r="W116" t="s">
        <v>170</v>
      </c>
      <c r="X116" t="s">
        <v>1459</v>
      </c>
      <c r="Y116" t="s">
        <v>153</v>
      </c>
      <c r="Z116" s="53" t="s">
        <v>1460</v>
      </c>
      <c r="AA116" s="41"/>
      <c r="AB116" s="41"/>
      <c r="AC116" s="41"/>
      <c r="AD116" s="41"/>
      <c r="AE116" s="41">
        <v>1</v>
      </c>
      <c r="AF116" s="41"/>
      <c r="AG116" s="41"/>
      <c r="AH116" s="41"/>
      <c r="AI116" s="41"/>
      <c r="AJ116" s="41"/>
      <c r="AK116" s="41"/>
      <c r="AL116" s="43"/>
      <c r="AM116" s="44"/>
      <c r="AN116" s="43"/>
      <c r="AO116" s="44"/>
      <c r="AP116" s="45"/>
      <c r="AQ116" s="46"/>
      <c r="AR116" s="45"/>
      <c r="AS116" s="46"/>
      <c r="AT116" s="45"/>
      <c r="AU116" s="46"/>
      <c r="AX116" s="47">
        <v>1</v>
      </c>
      <c r="AY116" s="47"/>
      <c r="AZ116" s="48"/>
      <c r="BA116" s="47"/>
      <c r="BB116" s="48"/>
      <c r="BC116" s="47"/>
      <c r="BD116" s="49"/>
      <c r="BE116" s="49"/>
      <c r="BF116" s="49"/>
      <c r="BG116" t="str">
        <f t="shared" si="1"/>
        <v>Cognitiva</v>
      </c>
      <c r="BH116" s="3" t="str" cm="1">
        <f t="array" ref="BH116">IF(AE116=1, _xlfn.TEXTJOIN(" &amp; ", TRUE, _xlfn._xlws.FILTER($AG$2:$BC$2, AG116:BC116=1)), "")</f>
        <v>Marcatura dell'inferenza</v>
      </c>
    </row>
    <row r="117" spans="1:60" ht="16.8" customHeight="1" x14ac:dyDescent="0.3">
      <c r="A117" t="s">
        <v>319</v>
      </c>
      <c r="B117" t="s">
        <v>1461</v>
      </c>
      <c r="C117" t="s">
        <v>320</v>
      </c>
      <c r="D117">
        <v>2022</v>
      </c>
      <c r="E117" s="52" t="s">
        <v>1462</v>
      </c>
      <c r="F117">
        <v>1858970</v>
      </c>
      <c r="G117">
        <v>1863160</v>
      </c>
      <c r="H117" t="s">
        <v>321</v>
      </c>
      <c r="I117" t="s">
        <v>319</v>
      </c>
      <c r="J117" s="51">
        <v>2.2499999999999999E-2</v>
      </c>
      <c r="K117" t="s">
        <v>160</v>
      </c>
      <c r="L117" t="s">
        <v>322</v>
      </c>
      <c r="M117" t="s">
        <v>323</v>
      </c>
      <c r="N117" t="s">
        <v>324</v>
      </c>
      <c r="O117" t="s">
        <v>164</v>
      </c>
      <c r="P117" t="s">
        <v>165</v>
      </c>
      <c r="Q117" t="s">
        <v>179</v>
      </c>
      <c r="R117" t="s">
        <v>167</v>
      </c>
      <c r="S117" t="s">
        <v>168</v>
      </c>
      <c r="T117" t="s">
        <v>169</v>
      </c>
      <c r="U117" t="s">
        <v>229</v>
      </c>
      <c r="V117">
        <v>2</v>
      </c>
      <c r="W117" t="s">
        <v>170</v>
      </c>
      <c r="X117" t="s">
        <v>1463</v>
      </c>
      <c r="Y117" t="s">
        <v>153</v>
      </c>
      <c r="Z117" s="53" t="s">
        <v>1464</v>
      </c>
      <c r="AA117" s="41"/>
      <c r="AB117" s="41"/>
      <c r="AC117" s="41"/>
      <c r="AD117" s="41"/>
      <c r="AE117" s="41">
        <v>1</v>
      </c>
      <c r="AF117" s="41">
        <v>1</v>
      </c>
      <c r="AG117" s="41"/>
      <c r="AH117" s="41"/>
      <c r="AI117" s="41"/>
      <c r="AJ117" s="41"/>
      <c r="AK117" s="41"/>
      <c r="AL117" s="43"/>
      <c r="AM117" s="44"/>
      <c r="AN117" s="43"/>
      <c r="AO117" s="44"/>
      <c r="AP117" s="45"/>
      <c r="AQ117" s="46"/>
      <c r="AR117" s="45"/>
      <c r="AS117" s="46"/>
      <c r="AT117" s="45"/>
      <c r="AU117" s="46"/>
      <c r="AV117" s="9">
        <v>1</v>
      </c>
      <c r="AX117" s="47"/>
      <c r="AY117" s="47"/>
      <c r="AZ117" s="48"/>
      <c r="BA117" s="47"/>
      <c r="BB117" s="48"/>
      <c r="BC117" s="47"/>
      <c r="BD117" s="49"/>
      <c r="BE117" s="49"/>
      <c r="BF117" s="49"/>
      <c r="BG117" t="str">
        <f t="shared" si="1"/>
        <v>Metatestuale</v>
      </c>
      <c r="BH117" s="3" t="str" cm="1">
        <f t="array" ref="BH117">IF(AE117=1, _xlfn.TEXTJOIN(" &amp; ", TRUE, _xlfn._xlws.FILTER($AG$2:$BC$2, AG117:BC117=1)), "")</f>
        <v>Filler, riempimento dei tempi di formulazione</v>
      </c>
    </row>
    <row r="118" spans="1:60" ht="16.8" customHeight="1" x14ac:dyDescent="0.3">
      <c r="A118" t="s">
        <v>325</v>
      </c>
      <c r="B118" t="s">
        <v>1465</v>
      </c>
      <c r="C118" t="s">
        <v>326</v>
      </c>
      <c r="D118">
        <v>2022</v>
      </c>
      <c r="E118" s="52" t="s">
        <v>1466</v>
      </c>
      <c r="F118">
        <v>2069139</v>
      </c>
      <c r="G118">
        <v>2072920</v>
      </c>
      <c r="H118" t="s">
        <v>1467</v>
      </c>
      <c r="I118" t="s">
        <v>325</v>
      </c>
      <c r="J118" s="51">
        <v>2.4513888888888891E-2</v>
      </c>
      <c r="K118" t="s">
        <v>160</v>
      </c>
      <c r="L118" t="s">
        <v>327</v>
      </c>
      <c r="M118" t="s">
        <v>328</v>
      </c>
      <c r="N118" t="s">
        <v>143</v>
      </c>
      <c r="O118" t="s">
        <v>144</v>
      </c>
      <c r="P118" t="s">
        <v>165</v>
      </c>
      <c r="Q118" t="s">
        <v>146</v>
      </c>
      <c r="R118" t="s">
        <v>167</v>
      </c>
      <c r="S118" t="s">
        <v>168</v>
      </c>
      <c r="T118" t="s">
        <v>504</v>
      </c>
      <c r="U118" t="s">
        <v>229</v>
      </c>
      <c r="V118">
        <v>3</v>
      </c>
      <c r="W118" t="s">
        <v>170</v>
      </c>
      <c r="X118" t="s">
        <v>1468</v>
      </c>
      <c r="Y118" t="s">
        <v>153</v>
      </c>
      <c r="Z118" s="53" t="s">
        <v>1469</v>
      </c>
      <c r="AA118" s="41">
        <v>1</v>
      </c>
      <c r="AB118" s="41">
        <v>1</v>
      </c>
      <c r="AC118" s="41"/>
      <c r="AD118" s="41"/>
      <c r="AE118" s="41"/>
      <c r="AF118" s="41"/>
      <c r="AG118" s="41"/>
      <c r="AH118" s="41"/>
      <c r="AI118" s="41"/>
      <c r="AJ118" s="41"/>
      <c r="AK118" s="41"/>
      <c r="AL118" s="43"/>
      <c r="AM118" s="44"/>
      <c r="AN118" s="43"/>
      <c r="AO118" s="44"/>
      <c r="AP118" s="45"/>
      <c r="AQ118" s="46"/>
      <c r="AR118" s="45"/>
      <c r="AS118" s="46"/>
      <c r="AT118" s="45"/>
      <c r="AU118" s="46"/>
      <c r="AX118" s="47"/>
      <c r="AY118" s="47"/>
      <c r="AZ118" s="48"/>
      <c r="BA118" s="47"/>
      <c r="BB118" s="48"/>
      <c r="BC118" s="47"/>
      <c r="BD118" s="49"/>
      <c r="BE118" s="49"/>
      <c r="BF118" s="49"/>
      <c r="BG118" t="str">
        <f t="shared" si="1"/>
        <v/>
      </c>
      <c r="BH118" s="3" t="str" cm="1">
        <f t="array" ref="BH118">IF(AE118=1, _xlfn.TEXTJOIN(" &amp; ", TRUE, _xlfn._xlws.FILTER($AG$2:$BC$2, AG118:BC118=1)), "")</f>
        <v/>
      </c>
    </row>
    <row r="119" spans="1:60" ht="16.8" customHeight="1" x14ac:dyDescent="0.3">
      <c r="A119" t="s">
        <v>329</v>
      </c>
      <c r="B119" t="s">
        <v>1470</v>
      </c>
      <c r="C119" t="s">
        <v>331</v>
      </c>
      <c r="D119">
        <v>2019</v>
      </c>
      <c r="E119" s="52" t="s">
        <v>1471</v>
      </c>
      <c r="F119">
        <v>449665</v>
      </c>
      <c r="G119">
        <v>450998</v>
      </c>
      <c r="H119" t="s">
        <v>340</v>
      </c>
      <c r="I119" t="s">
        <v>329</v>
      </c>
      <c r="J119" s="51">
        <v>4.4074074074074071E-2</v>
      </c>
      <c r="K119" t="s">
        <v>160</v>
      </c>
      <c r="L119" t="s">
        <v>334</v>
      </c>
      <c r="M119" t="s">
        <v>335</v>
      </c>
      <c r="N119" t="s">
        <v>336</v>
      </c>
      <c r="O119" t="s">
        <v>164</v>
      </c>
      <c r="P119" t="s">
        <v>145</v>
      </c>
      <c r="Q119" t="s">
        <v>337</v>
      </c>
      <c r="R119" t="s">
        <v>167</v>
      </c>
      <c r="S119" t="s">
        <v>168</v>
      </c>
      <c r="T119" t="s">
        <v>149</v>
      </c>
      <c r="U119" t="s">
        <v>171</v>
      </c>
      <c r="V119">
        <v>5</v>
      </c>
      <c r="W119" t="s">
        <v>170</v>
      </c>
      <c r="X119" t="s">
        <v>1472</v>
      </c>
      <c r="Y119" t="s">
        <v>153</v>
      </c>
      <c r="Z119" s="53" t="s">
        <v>1473</v>
      </c>
      <c r="AA119">
        <v>1</v>
      </c>
      <c r="AB119" s="41">
        <v>1</v>
      </c>
      <c r="AC119" s="41"/>
      <c r="AD119" s="41"/>
      <c r="AE119" s="41"/>
      <c r="AF119" s="41"/>
      <c r="AG119" s="41"/>
      <c r="AH119" s="41"/>
      <c r="AI119" s="41"/>
      <c r="AJ119" s="41"/>
      <c r="AK119" s="41"/>
      <c r="AL119" s="43"/>
      <c r="AM119" s="44"/>
      <c r="AN119" s="43"/>
      <c r="AO119" s="44"/>
      <c r="AP119" s="45"/>
      <c r="AQ119" s="46"/>
      <c r="AR119" s="45"/>
      <c r="AS119" s="46"/>
      <c r="AT119" s="45"/>
      <c r="AU119" s="46"/>
      <c r="AX119" s="47"/>
      <c r="AY119" s="47"/>
      <c r="AZ119" s="48"/>
      <c r="BA119" s="47"/>
      <c r="BB119" s="48"/>
      <c r="BC119" s="47"/>
      <c r="BD119" s="49"/>
      <c r="BE119" s="49"/>
      <c r="BF119" s="49"/>
      <c r="BG119" t="str">
        <f t="shared" si="1"/>
        <v/>
      </c>
      <c r="BH119" s="3" t="str" cm="1">
        <f t="array" ref="BH119">IF(AE119=1, _xlfn.TEXTJOIN(" &amp; ", TRUE, _xlfn._xlws.FILTER($AG$2:$BC$2, AG119:BC119=1)), "")</f>
        <v/>
      </c>
    </row>
    <row r="120" spans="1:60" ht="16.8" customHeight="1" x14ac:dyDescent="0.3">
      <c r="A120" t="s">
        <v>329</v>
      </c>
      <c r="B120" t="s">
        <v>1474</v>
      </c>
      <c r="C120" t="s">
        <v>331</v>
      </c>
      <c r="D120">
        <v>2019</v>
      </c>
      <c r="E120" s="52" t="s">
        <v>1475</v>
      </c>
      <c r="F120">
        <v>601042</v>
      </c>
      <c r="G120">
        <v>604439</v>
      </c>
      <c r="H120" t="s">
        <v>1476</v>
      </c>
      <c r="I120" t="s">
        <v>329</v>
      </c>
      <c r="J120" s="51">
        <v>4.4074074074074071E-2</v>
      </c>
      <c r="K120" t="s">
        <v>160</v>
      </c>
      <c r="L120" t="s">
        <v>334</v>
      </c>
      <c r="M120" t="s">
        <v>335</v>
      </c>
      <c r="N120" t="s">
        <v>336</v>
      </c>
      <c r="O120" t="s">
        <v>164</v>
      </c>
      <c r="P120" t="s">
        <v>145</v>
      </c>
      <c r="Q120" t="s">
        <v>228</v>
      </c>
      <c r="R120" t="s">
        <v>167</v>
      </c>
      <c r="S120" t="s">
        <v>168</v>
      </c>
      <c r="T120" t="s">
        <v>149</v>
      </c>
      <c r="U120" t="s">
        <v>229</v>
      </c>
      <c r="V120">
        <v>5</v>
      </c>
      <c r="W120" t="s">
        <v>170</v>
      </c>
      <c r="X120" t="s">
        <v>1477</v>
      </c>
      <c r="Y120" t="s">
        <v>153</v>
      </c>
      <c r="Z120" s="53" t="s">
        <v>1478</v>
      </c>
      <c r="AA120" s="41">
        <v>1</v>
      </c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3"/>
      <c r="AM120" s="44"/>
      <c r="AN120" s="43"/>
      <c r="AO120" s="44"/>
      <c r="AP120" s="45"/>
      <c r="AQ120" s="46"/>
      <c r="AR120" s="45"/>
      <c r="AS120" s="46"/>
      <c r="AT120" s="45"/>
      <c r="AU120" s="46"/>
      <c r="AX120" s="47"/>
      <c r="AY120" s="47"/>
      <c r="AZ120" s="48"/>
      <c r="BA120" s="47"/>
      <c r="BB120" s="48"/>
      <c r="BC120" s="47"/>
      <c r="BD120" s="49"/>
      <c r="BE120" s="49"/>
      <c r="BF120" s="49"/>
      <c r="BG120" t="str">
        <f t="shared" si="1"/>
        <v/>
      </c>
      <c r="BH120" s="3" t="str" cm="1">
        <f t="array" ref="BH120">IF(AE120=1, _xlfn.TEXTJOIN(" &amp; ", TRUE, _xlfn._xlws.FILTER($AG$2:$BC$2, AG120:BC120=1)), "")</f>
        <v/>
      </c>
    </row>
    <row r="121" spans="1:60" ht="16.8" customHeight="1" x14ac:dyDescent="0.3">
      <c r="A121" t="s">
        <v>329</v>
      </c>
      <c r="B121" t="s">
        <v>1479</v>
      </c>
      <c r="C121" t="s">
        <v>331</v>
      </c>
      <c r="D121">
        <v>2019</v>
      </c>
      <c r="E121" s="52" t="s">
        <v>1480</v>
      </c>
      <c r="F121">
        <v>825115</v>
      </c>
      <c r="G121">
        <v>826709</v>
      </c>
      <c r="H121" t="s">
        <v>340</v>
      </c>
      <c r="I121" t="s">
        <v>329</v>
      </c>
      <c r="J121" s="51">
        <v>4.4074074074074071E-2</v>
      </c>
      <c r="K121" t="s">
        <v>160</v>
      </c>
      <c r="L121" t="s">
        <v>334</v>
      </c>
      <c r="M121" t="s">
        <v>335</v>
      </c>
      <c r="N121" t="s">
        <v>336</v>
      </c>
      <c r="O121" t="s">
        <v>164</v>
      </c>
      <c r="P121" t="s">
        <v>145</v>
      </c>
      <c r="Q121" t="s">
        <v>337</v>
      </c>
      <c r="R121" t="s">
        <v>167</v>
      </c>
      <c r="S121" t="s">
        <v>168</v>
      </c>
      <c r="T121" t="s">
        <v>149</v>
      </c>
      <c r="U121" t="s">
        <v>171</v>
      </c>
      <c r="V121">
        <v>5</v>
      </c>
      <c r="W121" t="s">
        <v>170</v>
      </c>
      <c r="X121" t="s">
        <v>1481</v>
      </c>
      <c r="Y121" t="s">
        <v>153</v>
      </c>
      <c r="Z121" s="53" t="s">
        <v>1482</v>
      </c>
      <c r="AA121" s="41">
        <v>1</v>
      </c>
      <c r="AB121" s="41"/>
      <c r="AC121" s="41">
        <v>1</v>
      </c>
      <c r="AD121" s="41"/>
      <c r="AE121" s="41"/>
      <c r="AF121" s="41"/>
      <c r="AG121" s="41"/>
      <c r="AH121" s="41"/>
      <c r="AI121" s="41"/>
      <c r="AJ121" s="41"/>
      <c r="AK121" s="41"/>
      <c r="AL121" s="43"/>
      <c r="AM121" s="44"/>
      <c r="AN121" s="43"/>
      <c r="AO121" s="44"/>
      <c r="AP121" s="45"/>
      <c r="AQ121" s="46"/>
      <c r="AR121" s="45"/>
      <c r="AS121" s="46"/>
      <c r="AT121" s="45"/>
      <c r="AU121" s="46"/>
      <c r="AX121" s="47"/>
      <c r="AY121" s="47"/>
      <c r="AZ121" s="48"/>
      <c r="BA121" s="47"/>
      <c r="BB121" s="48"/>
      <c r="BC121" s="47"/>
      <c r="BD121" s="49"/>
      <c r="BE121" s="49"/>
      <c r="BF121" s="49"/>
      <c r="BG121" t="str">
        <f t="shared" si="1"/>
        <v/>
      </c>
      <c r="BH121" s="3" t="str" cm="1">
        <f t="array" ref="BH121">IF(AE121=1, _xlfn.TEXTJOIN(" &amp; ", TRUE, _xlfn._xlws.FILTER($AG$2:$BC$2, AG121:BC121=1)), "")</f>
        <v/>
      </c>
    </row>
    <row r="122" spans="1:60" ht="16.8" customHeight="1" x14ac:dyDescent="0.3">
      <c r="A122" t="s">
        <v>329</v>
      </c>
      <c r="B122" t="s">
        <v>1483</v>
      </c>
      <c r="C122" t="s">
        <v>331</v>
      </c>
      <c r="D122">
        <v>2019</v>
      </c>
      <c r="E122" s="52" t="s">
        <v>1484</v>
      </c>
      <c r="F122">
        <v>857706</v>
      </c>
      <c r="G122">
        <v>862006</v>
      </c>
      <c r="H122" t="s">
        <v>333</v>
      </c>
      <c r="I122" t="s">
        <v>329</v>
      </c>
      <c r="J122" s="51">
        <v>4.4074074074074071E-2</v>
      </c>
      <c r="K122" t="s">
        <v>160</v>
      </c>
      <c r="L122" t="s">
        <v>334</v>
      </c>
      <c r="M122" t="s">
        <v>335</v>
      </c>
      <c r="N122" t="s">
        <v>336</v>
      </c>
      <c r="O122" t="s">
        <v>164</v>
      </c>
      <c r="P122" t="s">
        <v>145</v>
      </c>
      <c r="Q122" t="s">
        <v>337</v>
      </c>
      <c r="R122" t="s">
        <v>167</v>
      </c>
      <c r="S122" t="s">
        <v>168</v>
      </c>
      <c r="T122" t="s">
        <v>149</v>
      </c>
      <c r="U122" t="s">
        <v>171</v>
      </c>
      <c r="V122">
        <v>5</v>
      </c>
      <c r="W122" t="s">
        <v>170</v>
      </c>
      <c r="X122" t="s">
        <v>1485</v>
      </c>
      <c r="Y122" t="s">
        <v>153</v>
      </c>
      <c r="Z122" s="53" t="s">
        <v>1486</v>
      </c>
      <c r="AA122" s="41">
        <v>1</v>
      </c>
      <c r="AB122" s="41"/>
      <c r="AC122" s="41">
        <v>1</v>
      </c>
      <c r="AD122" s="41"/>
      <c r="AE122" s="41"/>
      <c r="AF122" s="41"/>
      <c r="AG122" s="41"/>
      <c r="AH122" s="41"/>
      <c r="AI122" s="41"/>
      <c r="AJ122" s="41"/>
      <c r="AK122" s="41"/>
      <c r="AL122" s="43"/>
      <c r="AM122" s="44"/>
      <c r="AN122" s="43"/>
      <c r="AO122" s="44"/>
      <c r="AP122" s="45"/>
      <c r="AQ122" s="46"/>
      <c r="AR122" s="45"/>
      <c r="AS122" s="46"/>
      <c r="AT122" s="45"/>
      <c r="AU122" s="46"/>
      <c r="AX122" s="47"/>
      <c r="AY122" s="47"/>
      <c r="AZ122" s="48"/>
      <c r="BA122" s="47"/>
      <c r="BB122" s="48"/>
      <c r="BC122" s="47"/>
      <c r="BD122" s="49"/>
      <c r="BE122" s="49"/>
      <c r="BF122" s="49"/>
      <c r="BG122" t="str">
        <f t="shared" si="1"/>
        <v/>
      </c>
      <c r="BH122" s="3" t="str" cm="1">
        <f t="array" ref="BH122">IF(AE122=1, _xlfn.TEXTJOIN(" &amp; ", TRUE, _xlfn._xlws.FILTER($AG$2:$BC$2, AG122:BC122=1)), "")</f>
        <v/>
      </c>
    </row>
    <row r="123" spans="1:60" ht="16.8" customHeight="1" x14ac:dyDescent="0.3">
      <c r="A123" t="s">
        <v>329</v>
      </c>
      <c r="B123" t="s">
        <v>330</v>
      </c>
      <c r="C123" t="s">
        <v>331</v>
      </c>
      <c r="D123">
        <v>2019</v>
      </c>
      <c r="E123" s="52" t="s">
        <v>332</v>
      </c>
      <c r="F123">
        <v>862040</v>
      </c>
      <c r="G123">
        <v>863582</v>
      </c>
      <c r="H123" t="s">
        <v>333</v>
      </c>
      <c r="I123" t="s">
        <v>329</v>
      </c>
      <c r="J123" s="51">
        <v>4.4074074074074071E-2</v>
      </c>
      <c r="K123" t="s">
        <v>160</v>
      </c>
      <c r="L123" t="s">
        <v>334</v>
      </c>
      <c r="M123" t="s">
        <v>335</v>
      </c>
      <c r="N123" t="s">
        <v>336</v>
      </c>
      <c r="O123" t="s">
        <v>164</v>
      </c>
      <c r="P123" t="s">
        <v>145</v>
      </c>
      <c r="Q123" t="s">
        <v>337</v>
      </c>
      <c r="R123" t="s">
        <v>167</v>
      </c>
      <c r="S123" t="s">
        <v>168</v>
      </c>
      <c r="T123" t="s">
        <v>149</v>
      </c>
      <c r="U123" t="s">
        <v>171</v>
      </c>
      <c r="V123">
        <v>5</v>
      </c>
      <c r="W123" t="s">
        <v>170</v>
      </c>
      <c r="X123" t="s">
        <v>338</v>
      </c>
      <c r="Y123" t="s">
        <v>153</v>
      </c>
      <c r="Z123" s="53" t="s">
        <v>339</v>
      </c>
      <c r="AA123" s="41">
        <v>1</v>
      </c>
      <c r="AB123" s="41"/>
      <c r="AC123" s="41">
        <v>1</v>
      </c>
      <c r="AD123" s="41"/>
      <c r="AE123" s="41"/>
      <c r="AF123" s="41"/>
      <c r="AG123" s="41"/>
      <c r="AH123" s="41"/>
      <c r="AI123" s="41"/>
      <c r="AJ123" s="41"/>
      <c r="AK123" s="41"/>
      <c r="AL123" s="43"/>
      <c r="AM123" s="44"/>
      <c r="AN123" s="43"/>
      <c r="AO123" s="44"/>
      <c r="AP123" s="45"/>
      <c r="AQ123" s="46"/>
      <c r="AR123" s="45"/>
      <c r="AS123" s="46"/>
      <c r="AT123" s="45"/>
      <c r="AU123" s="46"/>
      <c r="AX123" s="47"/>
      <c r="AY123" s="47"/>
      <c r="AZ123" s="48"/>
      <c r="BA123" s="47"/>
      <c r="BB123" s="48"/>
      <c r="BC123" s="47"/>
      <c r="BD123" s="49"/>
      <c r="BE123" s="49"/>
      <c r="BF123" s="49"/>
      <c r="BG123" t="str">
        <f t="shared" si="1"/>
        <v/>
      </c>
      <c r="BH123" s="3" t="str" cm="1">
        <f t="array" ref="BH123">IF(AE123=1, _xlfn.TEXTJOIN(" &amp; ", TRUE, _xlfn._xlws.FILTER($AG$2:$BC$2, AG123:BC123=1)), "")</f>
        <v/>
      </c>
    </row>
    <row r="124" spans="1:60" ht="16.8" customHeight="1" x14ac:dyDescent="0.3">
      <c r="A124" t="s">
        <v>329</v>
      </c>
      <c r="B124" t="s">
        <v>1487</v>
      </c>
      <c r="C124" t="s">
        <v>331</v>
      </c>
      <c r="D124">
        <v>2019</v>
      </c>
      <c r="E124" s="52" t="s">
        <v>1488</v>
      </c>
      <c r="F124">
        <v>1379955</v>
      </c>
      <c r="G124">
        <v>1384637</v>
      </c>
      <c r="H124" t="s">
        <v>340</v>
      </c>
      <c r="I124" t="s">
        <v>329</v>
      </c>
      <c r="J124" s="51">
        <v>4.4074074074074071E-2</v>
      </c>
      <c r="K124" t="s">
        <v>160</v>
      </c>
      <c r="L124" t="s">
        <v>334</v>
      </c>
      <c r="M124" t="s">
        <v>335</v>
      </c>
      <c r="N124" t="s">
        <v>336</v>
      </c>
      <c r="O124" t="s">
        <v>164</v>
      </c>
      <c r="P124" t="s">
        <v>145</v>
      </c>
      <c r="Q124" t="s">
        <v>337</v>
      </c>
      <c r="R124" t="s">
        <v>167</v>
      </c>
      <c r="S124" t="s">
        <v>168</v>
      </c>
      <c r="T124" t="s">
        <v>149</v>
      </c>
      <c r="U124" t="s">
        <v>171</v>
      </c>
      <c r="V124">
        <v>5</v>
      </c>
      <c r="W124" t="s">
        <v>170</v>
      </c>
      <c r="X124" t="s">
        <v>1489</v>
      </c>
      <c r="Y124" t="s">
        <v>153</v>
      </c>
      <c r="Z124" s="53" t="s">
        <v>1490</v>
      </c>
      <c r="AA124" s="41">
        <v>1</v>
      </c>
      <c r="AB124" s="41">
        <v>1</v>
      </c>
      <c r="AC124" s="41"/>
      <c r="AD124" s="41"/>
      <c r="AE124" s="41"/>
      <c r="AF124" s="41"/>
      <c r="AG124" s="41"/>
      <c r="AH124" s="41"/>
      <c r="AI124" s="41"/>
      <c r="AJ124" s="41"/>
      <c r="AK124" s="41"/>
      <c r="AL124" s="43"/>
      <c r="AM124" s="44"/>
      <c r="AN124" s="43"/>
      <c r="AO124" s="44"/>
      <c r="AP124" s="45"/>
      <c r="AQ124" s="46"/>
      <c r="AR124" s="45"/>
      <c r="AS124" s="46"/>
      <c r="AT124" s="45"/>
      <c r="AU124" s="46"/>
      <c r="AX124" s="47"/>
      <c r="AY124" s="47"/>
      <c r="AZ124" s="48"/>
      <c r="BA124" s="47"/>
      <c r="BB124" s="48"/>
      <c r="BC124" s="47"/>
      <c r="BD124" s="49"/>
      <c r="BE124" s="49"/>
      <c r="BF124" s="49"/>
      <c r="BG124" t="str">
        <f t="shared" si="1"/>
        <v/>
      </c>
      <c r="BH124" s="3" t="str" cm="1">
        <f t="array" ref="BH124">IF(AE124=1, _xlfn.TEXTJOIN(" &amp; ", TRUE, _xlfn._xlws.FILTER($AG$2:$BC$2, AG124:BC124=1)), "")</f>
        <v/>
      </c>
    </row>
    <row r="125" spans="1:60" ht="16.8" customHeight="1" x14ac:dyDescent="0.3">
      <c r="A125" t="s">
        <v>329</v>
      </c>
      <c r="B125" t="s">
        <v>1491</v>
      </c>
      <c r="C125" t="s">
        <v>331</v>
      </c>
      <c r="D125">
        <v>2019</v>
      </c>
      <c r="E125" s="52" t="s">
        <v>1492</v>
      </c>
      <c r="F125">
        <v>1398689</v>
      </c>
      <c r="G125">
        <v>1405073</v>
      </c>
      <c r="H125" t="s">
        <v>340</v>
      </c>
      <c r="I125" t="s">
        <v>329</v>
      </c>
      <c r="J125" s="51">
        <v>4.4074074074074071E-2</v>
      </c>
      <c r="K125" t="s">
        <v>160</v>
      </c>
      <c r="L125" t="s">
        <v>334</v>
      </c>
      <c r="M125" t="s">
        <v>335</v>
      </c>
      <c r="N125" t="s">
        <v>336</v>
      </c>
      <c r="O125" t="s">
        <v>164</v>
      </c>
      <c r="P125" t="s">
        <v>145</v>
      </c>
      <c r="Q125" t="s">
        <v>337</v>
      </c>
      <c r="R125" t="s">
        <v>167</v>
      </c>
      <c r="S125" t="s">
        <v>168</v>
      </c>
      <c r="T125" t="s">
        <v>149</v>
      </c>
      <c r="U125" t="s">
        <v>171</v>
      </c>
      <c r="V125">
        <v>5</v>
      </c>
      <c r="W125" t="s">
        <v>170</v>
      </c>
      <c r="X125" t="s">
        <v>1493</v>
      </c>
      <c r="Y125" t="s">
        <v>153</v>
      </c>
      <c r="Z125" s="53" t="s">
        <v>1494</v>
      </c>
      <c r="AA125" s="41"/>
      <c r="AB125" s="41"/>
      <c r="AC125" s="41"/>
      <c r="AD125" s="41"/>
      <c r="AE125" s="41">
        <v>1</v>
      </c>
      <c r="AF125" s="41"/>
      <c r="AG125" s="41"/>
      <c r="AH125" s="41">
        <v>1</v>
      </c>
      <c r="AI125" s="41"/>
      <c r="AJ125" s="41"/>
      <c r="AK125" s="41"/>
      <c r="AL125" s="43"/>
      <c r="AM125" s="44">
        <v>1</v>
      </c>
      <c r="AN125" s="43"/>
      <c r="AO125" s="44"/>
      <c r="AP125" s="45"/>
      <c r="AQ125" s="46"/>
      <c r="AR125" s="45"/>
      <c r="AS125" s="46"/>
      <c r="AT125" s="45"/>
      <c r="AU125" s="46"/>
      <c r="AW125" s="21">
        <v>1</v>
      </c>
      <c r="AX125" s="47"/>
      <c r="AY125" s="47"/>
      <c r="AZ125" s="48"/>
      <c r="BA125" s="47"/>
      <c r="BB125" s="48"/>
      <c r="BC125" s="47"/>
      <c r="BD125" s="49">
        <v>1</v>
      </c>
      <c r="BE125" s="49"/>
      <c r="BF125" s="49"/>
      <c r="BG125" t="str">
        <f t="shared" si="1"/>
        <v>Interazionale &amp; Metatestuale</v>
      </c>
      <c r="BH125" s="3" t="str" cm="1">
        <f t="array" ref="BH125">IF(AE125=1, _xlfn.TEXTJOIN(" &amp; ", TRUE, _xlfn._xlws.FILTER($AG$2:$BC$2, AG125:BC125=1)), "")</f>
        <v>Richiesta di accordo/conferma &amp; Marcatura della conoscenza condivisa &amp; General extenders e marche di generalizzazione</v>
      </c>
    </row>
    <row r="126" spans="1:60" ht="16.8" customHeight="1" x14ac:dyDescent="0.3">
      <c r="A126" t="s">
        <v>329</v>
      </c>
      <c r="B126" t="s">
        <v>1495</v>
      </c>
      <c r="C126" t="s">
        <v>331</v>
      </c>
      <c r="D126">
        <v>2019</v>
      </c>
      <c r="E126" s="52" t="s">
        <v>1496</v>
      </c>
      <c r="F126">
        <v>1857059</v>
      </c>
      <c r="G126">
        <v>1861255</v>
      </c>
      <c r="H126" t="s">
        <v>333</v>
      </c>
      <c r="I126" t="s">
        <v>329</v>
      </c>
      <c r="J126" s="51">
        <v>4.4074074074074071E-2</v>
      </c>
      <c r="K126" t="s">
        <v>160</v>
      </c>
      <c r="L126" t="s">
        <v>334</v>
      </c>
      <c r="M126" t="s">
        <v>335</v>
      </c>
      <c r="N126" t="s">
        <v>336</v>
      </c>
      <c r="O126" t="s">
        <v>164</v>
      </c>
      <c r="P126" t="s">
        <v>145</v>
      </c>
      <c r="Q126" t="s">
        <v>337</v>
      </c>
      <c r="R126" t="s">
        <v>167</v>
      </c>
      <c r="S126" t="s">
        <v>168</v>
      </c>
      <c r="T126" t="s">
        <v>149</v>
      </c>
      <c r="U126" t="s">
        <v>171</v>
      </c>
      <c r="V126">
        <v>5</v>
      </c>
      <c r="W126" t="s">
        <v>170</v>
      </c>
      <c r="X126" t="s">
        <v>1497</v>
      </c>
      <c r="Y126" t="s">
        <v>153</v>
      </c>
      <c r="Z126" s="53" t="s">
        <v>1498</v>
      </c>
      <c r="AA126" s="41"/>
      <c r="AB126" s="41"/>
      <c r="AC126" s="41"/>
      <c r="AD126" s="41"/>
      <c r="AE126" s="41">
        <v>1</v>
      </c>
      <c r="AF126" s="41"/>
      <c r="AG126" s="41"/>
      <c r="AH126" s="41"/>
      <c r="AI126" s="41"/>
      <c r="AJ126" s="41"/>
      <c r="AK126" s="41"/>
      <c r="AL126" s="43"/>
      <c r="AM126" s="44">
        <v>1</v>
      </c>
      <c r="AN126" s="43"/>
      <c r="AO126" s="44"/>
      <c r="AP126" s="45"/>
      <c r="AQ126" s="46"/>
      <c r="AR126" s="45"/>
      <c r="AS126" s="46"/>
      <c r="AT126" s="45"/>
      <c r="AU126" s="46"/>
      <c r="AW126" s="21">
        <v>1</v>
      </c>
      <c r="AX126" s="47"/>
      <c r="AY126" s="47"/>
      <c r="AZ126" s="48"/>
      <c r="BA126" s="47"/>
      <c r="BB126" s="48"/>
      <c r="BC126" s="47"/>
      <c r="BD126" s="49">
        <v>1</v>
      </c>
      <c r="BE126" s="49"/>
      <c r="BF126" s="49"/>
      <c r="BG126" t="str">
        <f t="shared" si="1"/>
        <v>Interazionale &amp; Metatestuale</v>
      </c>
      <c r="BH126" s="3" t="str" cm="1">
        <f t="array" ref="BH126">IF(AE126=1, _xlfn.TEXTJOIN(" &amp; ", TRUE, _xlfn._xlws.FILTER($AG$2:$BC$2, AG126:BC126=1)), "")</f>
        <v>Marcatura della conoscenza condivisa &amp; General extenders e marche di generalizzazione</v>
      </c>
    </row>
    <row r="127" spans="1:60" ht="16.8" customHeight="1" x14ac:dyDescent="0.3">
      <c r="A127" t="s">
        <v>329</v>
      </c>
      <c r="B127" t="s">
        <v>1499</v>
      </c>
      <c r="C127" t="s">
        <v>331</v>
      </c>
      <c r="D127">
        <v>2019</v>
      </c>
      <c r="E127" s="52" t="s">
        <v>1500</v>
      </c>
      <c r="F127">
        <v>2998836</v>
      </c>
      <c r="G127">
        <v>3002524</v>
      </c>
      <c r="H127" t="s">
        <v>340</v>
      </c>
      <c r="I127" t="s">
        <v>329</v>
      </c>
      <c r="J127" s="51">
        <v>4.4074074074074071E-2</v>
      </c>
      <c r="K127" t="s">
        <v>160</v>
      </c>
      <c r="L127" t="s">
        <v>334</v>
      </c>
      <c r="M127" t="s">
        <v>335</v>
      </c>
      <c r="N127" t="s">
        <v>336</v>
      </c>
      <c r="O127" t="s">
        <v>164</v>
      </c>
      <c r="P127" t="s">
        <v>145</v>
      </c>
      <c r="Q127" t="s">
        <v>337</v>
      </c>
      <c r="R127" t="s">
        <v>167</v>
      </c>
      <c r="S127" t="s">
        <v>168</v>
      </c>
      <c r="T127" t="s">
        <v>149</v>
      </c>
      <c r="U127" t="s">
        <v>171</v>
      </c>
      <c r="V127">
        <v>5</v>
      </c>
      <c r="W127" t="s">
        <v>170</v>
      </c>
      <c r="X127" t="s">
        <v>1501</v>
      </c>
      <c r="Y127" t="s">
        <v>153</v>
      </c>
      <c r="Z127" s="53" t="s">
        <v>1502</v>
      </c>
      <c r="AA127" s="41">
        <v>1</v>
      </c>
      <c r="AB127" s="41"/>
      <c r="AC127" s="41">
        <v>1</v>
      </c>
      <c r="AD127" s="41"/>
      <c r="AE127"/>
      <c r="AF127" s="41"/>
      <c r="AG127" s="41"/>
      <c r="AH127" s="41"/>
      <c r="AI127" s="41"/>
      <c r="AJ127" s="41"/>
      <c r="AK127" s="41"/>
      <c r="AL127" s="43"/>
      <c r="AM127" s="44"/>
      <c r="AN127" s="43"/>
      <c r="AO127" s="44"/>
      <c r="AP127" s="45"/>
      <c r="AQ127" s="46"/>
      <c r="AR127" s="45"/>
      <c r="AS127" s="46"/>
      <c r="AT127" s="45"/>
      <c r="AU127" s="46"/>
      <c r="AX127" s="47"/>
      <c r="AY127" s="47"/>
      <c r="AZ127" s="48"/>
      <c r="BA127" s="47"/>
      <c r="BB127" s="48"/>
      <c r="BC127" s="47"/>
      <c r="BD127" s="49"/>
      <c r="BE127" s="49"/>
      <c r="BF127" s="49"/>
      <c r="BG127" t="str">
        <f t="shared" si="1"/>
        <v/>
      </c>
      <c r="BH127" s="3" t="str" cm="1">
        <f t="array" ref="BH127">IF(AE127=1, _xlfn.TEXTJOIN(" &amp; ", TRUE, _xlfn._xlws.FILTER($AG$2:$BC$2, AG127:BC127=1)), "")</f>
        <v/>
      </c>
    </row>
    <row r="128" spans="1:60" ht="16.8" customHeight="1" x14ac:dyDescent="0.3">
      <c r="A128" t="s">
        <v>329</v>
      </c>
      <c r="B128" t="s">
        <v>1503</v>
      </c>
      <c r="C128" t="s">
        <v>331</v>
      </c>
      <c r="D128">
        <v>2019</v>
      </c>
      <c r="E128" s="52" t="s">
        <v>1504</v>
      </c>
      <c r="F128">
        <v>3086360</v>
      </c>
      <c r="G128">
        <v>3092355</v>
      </c>
      <c r="H128" t="s">
        <v>340</v>
      </c>
      <c r="I128" t="s">
        <v>329</v>
      </c>
      <c r="J128" s="51">
        <v>4.4074074074074071E-2</v>
      </c>
      <c r="K128" t="s">
        <v>160</v>
      </c>
      <c r="L128" t="s">
        <v>334</v>
      </c>
      <c r="M128" t="s">
        <v>335</v>
      </c>
      <c r="N128" t="s">
        <v>336</v>
      </c>
      <c r="O128" t="s">
        <v>164</v>
      </c>
      <c r="P128" t="s">
        <v>145</v>
      </c>
      <c r="Q128" t="s">
        <v>337</v>
      </c>
      <c r="R128" t="s">
        <v>167</v>
      </c>
      <c r="S128" t="s">
        <v>168</v>
      </c>
      <c r="T128" t="s">
        <v>149</v>
      </c>
      <c r="U128" t="s">
        <v>171</v>
      </c>
      <c r="V128">
        <v>5</v>
      </c>
      <c r="W128" t="s">
        <v>170</v>
      </c>
      <c r="X128" t="s">
        <v>1505</v>
      </c>
      <c r="Y128" t="s">
        <v>153</v>
      </c>
      <c r="Z128" s="53" t="s">
        <v>1506</v>
      </c>
      <c r="AA128" s="41">
        <v>1</v>
      </c>
      <c r="AB128" s="41"/>
      <c r="AC128" s="41">
        <v>1</v>
      </c>
      <c r="AD128" s="41"/>
      <c r="AE128"/>
      <c r="AF128" s="41"/>
      <c r="AG128" s="41"/>
      <c r="AH128" s="41"/>
      <c r="AI128" s="41"/>
      <c r="AJ128" s="41"/>
      <c r="AK128" s="41"/>
      <c r="AL128" s="43"/>
      <c r="AM128" s="44"/>
      <c r="AN128" s="43"/>
      <c r="AO128" s="44"/>
      <c r="AP128" s="45"/>
      <c r="AQ128" s="46"/>
      <c r="AR128" s="45"/>
      <c r="AS128" s="46"/>
      <c r="AT128" s="45"/>
      <c r="AU128" s="46"/>
      <c r="AX128" s="47"/>
      <c r="AY128" s="47"/>
      <c r="AZ128" s="48"/>
      <c r="BA128" s="47"/>
      <c r="BB128" s="48"/>
      <c r="BC128" s="47"/>
      <c r="BD128" s="49"/>
      <c r="BE128" s="49"/>
      <c r="BF128" s="49"/>
      <c r="BG128" t="str">
        <f t="shared" si="1"/>
        <v/>
      </c>
      <c r="BH128" s="3" t="str" cm="1">
        <f t="array" ref="BH128">IF(AE128=1, _xlfn.TEXTJOIN(" &amp; ", TRUE, _xlfn._xlws.FILTER($AG$2:$BC$2, AG128:BC128=1)), "")</f>
        <v/>
      </c>
    </row>
    <row r="129" spans="1:60" ht="16.8" customHeight="1" x14ac:dyDescent="0.3">
      <c r="A129" t="s">
        <v>329</v>
      </c>
      <c r="B129" t="s">
        <v>1507</v>
      </c>
      <c r="C129" t="s">
        <v>331</v>
      </c>
      <c r="D129">
        <v>2019</v>
      </c>
      <c r="E129" s="52" t="s">
        <v>1508</v>
      </c>
      <c r="F129">
        <v>3516666</v>
      </c>
      <c r="G129">
        <v>3518068</v>
      </c>
      <c r="H129" t="s">
        <v>340</v>
      </c>
      <c r="I129" t="s">
        <v>329</v>
      </c>
      <c r="J129" s="51">
        <v>4.4074074074074071E-2</v>
      </c>
      <c r="K129" t="s">
        <v>160</v>
      </c>
      <c r="L129" t="s">
        <v>334</v>
      </c>
      <c r="M129" t="s">
        <v>335</v>
      </c>
      <c r="N129" t="s">
        <v>336</v>
      </c>
      <c r="O129" t="s">
        <v>164</v>
      </c>
      <c r="P129" t="s">
        <v>145</v>
      </c>
      <c r="Q129" t="s">
        <v>337</v>
      </c>
      <c r="R129" t="s">
        <v>167</v>
      </c>
      <c r="S129" t="s">
        <v>168</v>
      </c>
      <c r="T129" t="s">
        <v>149</v>
      </c>
      <c r="U129" t="s">
        <v>171</v>
      </c>
      <c r="V129">
        <v>5</v>
      </c>
      <c r="W129" t="s">
        <v>170</v>
      </c>
      <c r="X129" t="s">
        <v>1509</v>
      </c>
      <c r="Y129" t="s">
        <v>153</v>
      </c>
      <c r="Z129" s="53" t="s">
        <v>1510</v>
      </c>
      <c r="AA129" s="41">
        <v>1</v>
      </c>
      <c r="AB129" s="41"/>
      <c r="AC129" s="41">
        <v>1</v>
      </c>
      <c r="AD129" s="41"/>
      <c r="AE129"/>
      <c r="AF129" s="41"/>
      <c r="AG129" s="41"/>
      <c r="AH129" s="41"/>
      <c r="AI129" s="41"/>
      <c r="AJ129" s="41"/>
      <c r="AK129" s="41"/>
      <c r="AL129" s="43"/>
      <c r="AM129" s="44"/>
      <c r="AN129" s="43"/>
      <c r="AO129" s="44"/>
      <c r="AP129" s="45"/>
      <c r="AQ129" s="46"/>
      <c r="AR129" s="45"/>
      <c r="AS129" s="46"/>
      <c r="AT129" s="45"/>
      <c r="AU129" s="46"/>
      <c r="AX129" s="47"/>
      <c r="AY129" s="47"/>
      <c r="AZ129" s="48"/>
      <c r="BA129" s="47"/>
      <c r="BB129" s="48"/>
      <c r="BC129" s="47"/>
      <c r="BD129" s="49"/>
      <c r="BE129" s="49"/>
      <c r="BF129" s="49"/>
      <c r="BG129" t="str">
        <f t="shared" si="1"/>
        <v/>
      </c>
      <c r="BH129" s="3" t="str" cm="1">
        <f t="array" ref="BH129">IF(AE129=1, _xlfn.TEXTJOIN(" &amp; ", TRUE, _xlfn._xlws.FILTER($AG$2:$BC$2, AG129:BC129=1)), "")</f>
        <v/>
      </c>
    </row>
    <row r="130" spans="1:60" ht="16.8" customHeight="1" x14ac:dyDescent="0.3">
      <c r="A130" t="s">
        <v>341</v>
      </c>
      <c r="B130" t="s">
        <v>342</v>
      </c>
      <c r="C130" t="s">
        <v>343</v>
      </c>
      <c r="D130" t="s">
        <v>204</v>
      </c>
      <c r="E130" s="52" t="s">
        <v>344</v>
      </c>
      <c r="F130">
        <v>2303835</v>
      </c>
      <c r="G130">
        <v>2307033</v>
      </c>
      <c r="H130" t="s">
        <v>345</v>
      </c>
      <c r="I130" t="s">
        <v>341</v>
      </c>
      <c r="J130" s="51">
        <v>4.7349537037037037E-2</v>
      </c>
      <c r="K130" t="s">
        <v>160</v>
      </c>
      <c r="L130" t="s">
        <v>346</v>
      </c>
      <c r="M130" t="s">
        <v>347</v>
      </c>
      <c r="N130" t="s">
        <v>324</v>
      </c>
      <c r="O130" t="s">
        <v>164</v>
      </c>
      <c r="P130" t="s">
        <v>145</v>
      </c>
      <c r="Q130" t="s">
        <v>228</v>
      </c>
      <c r="R130" t="s">
        <v>167</v>
      </c>
      <c r="S130" t="s">
        <v>168</v>
      </c>
      <c r="T130" t="s">
        <v>149</v>
      </c>
      <c r="U130" t="s">
        <v>349</v>
      </c>
      <c r="V130">
        <v>3</v>
      </c>
      <c r="W130" t="s">
        <v>348</v>
      </c>
      <c r="X130" t="s">
        <v>350</v>
      </c>
      <c r="Y130" t="s">
        <v>153</v>
      </c>
      <c r="Z130" s="53" t="s">
        <v>351</v>
      </c>
      <c r="AA130" s="41">
        <v>1</v>
      </c>
      <c r="AB130" s="41"/>
      <c r="AC130" s="41">
        <v>1</v>
      </c>
      <c r="AD130" s="41"/>
      <c r="AE130"/>
      <c r="AF130" s="41"/>
      <c r="AG130" s="41"/>
      <c r="AH130" s="41"/>
      <c r="AI130" s="41"/>
      <c r="AJ130" s="41"/>
      <c r="AK130" s="41"/>
      <c r="AL130" s="43"/>
      <c r="AM130" s="44"/>
      <c r="AN130" s="43"/>
      <c r="AO130" s="44"/>
      <c r="AP130" s="45"/>
      <c r="AQ130" s="46"/>
      <c r="AR130" s="45"/>
      <c r="AS130" s="46"/>
      <c r="AT130" s="45"/>
      <c r="AU130" s="46"/>
      <c r="AX130" s="47"/>
      <c r="AY130" s="47"/>
      <c r="AZ130" s="48"/>
      <c r="BA130" s="47"/>
      <c r="BB130" s="48"/>
      <c r="BC130" s="47"/>
      <c r="BD130" s="49"/>
      <c r="BE130" s="49"/>
      <c r="BF130" s="49"/>
      <c r="BG130" t="str">
        <f t="shared" si="1"/>
        <v/>
      </c>
      <c r="BH130" s="3" t="str" cm="1">
        <f t="array" ref="BH130">IF(AE130=1, _xlfn.TEXTJOIN(" &amp; ", TRUE, _xlfn._xlws.FILTER($AG$2:$BC$2, AG130:BC130=1)), "")</f>
        <v/>
      </c>
    </row>
    <row r="131" spans="1:60" ht="16.8" customHeight="1" x14ac:dyDescent="0.3">
      <c r="A131" t="s">
        <v>1511</v>
      </c>
      <c r="B131" t="s">
        <v>1512</v>
      </c>
      <c r="C131" t="s">
        <v>1513</v>
      </c>
      <c r="D131">
        <v>2023</v>
      </c>
      <c r="E131" s="52" t="s">
        <v>1514</v>
      </c>
      <c r="F131">
        <v>522813</v>
      </c>
      <c r="G131">
        <v>525560</v>
      </c>
      <c r="H131" t="s">
        <v>1515</v>
      </c>
      <c r="I131" t="s">
        <v>1511</v>
      </c>
      <c r="J131" s="51">
        <v>2.5601851851851851E-2</v>
      </c>
      <c r="K131" t="s">
        <v>160</v>
      </c>
      <c r="L131" t="s">
        <v>1516</v>
      </c>
      <c r="M131" t="s">
        <v>1517</v>
      </c>
      <c r="N131" t="s">
        <v>143</v>
      </c>
      <c r="O131" t="s">
        <v>164</v>
      </c>
      <c r="P131" t="s">
        <v>165</v>
      </c>
      <c r="Q131" t="s">
        <v>527</v>
      </c>
      <c r="R131" t="s">
        <v>167</v>
      </c>
      <c r="S131" t="s">
        <v>168</v>
      </c>
      <c r="T131" t="s">
        <v>1518</v>
      </c>
      <c r="U131" t="s">
        <v>183</v>
      </c>
      <c r="V131">
        <v>3</v>
      </c>
      <c r="W131" t="s">
        <v>170</v>
      </c>
      <c r="X131" t="s">
        <v>1519</v>
      </c>
      <c r="Y131" t="s">
        <v>153</v>
      </c>
      <c r="Z131" s="53" t="s">
        <v>1520</v>
      </c>
      <c r="AA131" s="41">
        <v>1</v>
      </c>
      <c r="AB131" s="41"/>
      <c r="AC131" s="41">
        <v>1</v>
      </c>
      <c r="AD131" s="41"/>
      <c r="AE131"/>
      <c r="AF131" s="41"/>
      <c r="AG131" s="41"/>
      <c r="AH131" s="41"/>
      <c r="AI131" s="41"/>
      <c r="AJ131" s="41"/>
      <c r="AK131" s="41"/>
      <c r="AL131" s="43"/>
      <c r="AM131" s="44"/>
      <c r="AN131" s="43"/>
      <c r="AO131" s="44"/>
      <c r="AP131" s="45"/>
      <c r="AQ131" s="46"/>
      <c r="AR131" s="45"/>
      <c r="AS131" s="46"/>
      <c r="AT131" s="45"/>
      <c r="AU131" s="46"/>
      <c r="AX131" s="47"/>
      <c r="AY131" s="47"/>
      <c r="AZ131" s="48"/>
      <c r="BA131" s="47"/>
      <c r="BB131" s="48"/>
      <c r="BC131" s="47"/>
      <c r="BD131" s="49"/>
      <c r="BE131" s="49"/>
      <c r="BF131" s="49"/>
      <c r="BG131" t="str">
        <f t="shared" si="1"/>
        <v/>
      </c>
      <c r="BH131" s="3" t="str" cm="1">
        <f t="array" ref="BH131">IF(AE131=1, _xlfn.TEXTJOIN(" &amp; ", TRUE, _xlfn._xlws.FILTER($AG$2:$BC$2, AG131:BC131=1)), "")</f>
        <v/>
      </c>
    </row>
    <row r="132" spans="1:60" ht="16.8" customHeight="1" x14ac:dyDescent="0.3">
      <c r="A132" t="s">
        <v>1511</v>
      </c>
      <c r="B132" t="s">
        <v>1521</v>
      </c>
      <c r="C132" t="s">
        <v>1513</v>
      </c>
      <c r="D132">
        <v>2023</v>
      </c>
      <c r="E132" s="52" t="s">
        <v>1522</v>
      </c>
      <c r="F132">
        <v>569923</v>
      </c>
      <c r="G132">
        <v>570604</v>
      </c>
      <c r="H132" t="s">
        <v>1523</v>
      </c>
      <c r="I132" t="s">
        <v>1511</v>
      </c>
      <c r="J132" s="51">
        <v>2.5601851851851851E-2</v>
      </c>
      <c r="K132" t="s">
        <v>160</v>
      </c>
      <c r="L132" t="s">
        <v>1516</v>
      </c>
      <c r="M132" t="s">
        <v>1517</v>
      </c>
      <c r="N132" t="s">
        <v>143</v>
      </c>
      <c r="O132" t="s">
        <v>164</v>
      </c>
      <c r="P132" t="s">
        <v>165</v>
      </c>
      <c r="Q132" t="s">
        <v>337</v>
      </c>
      <c r="R132" t="s">
        <v>167</v>
      </c>
      <c r="S132" t="s">
        <v>168</v>
      </c>
      <c r="T132" t="s">
        <v>658</v>
      </c>
      <c r="U132" t="s">
        <v>318</v>
      </c>
      <c r="V132">
        <v>3</v>
      </c>
      <c r="W132" t="s">
        <v>170</v>
      </c>
      <c r="X132" t="s">
        <v>1524</v>
      </c>
      <c r="Y132" t="s">
        <v>153</v>
      </c>
      <c r="Z132" s="53" t="s">
        <v>1525</v>
      </c>
      <c r="AA132" s="41">
        <v>1</v>
      </c>
      <c r="AB132" s="41"/>
      <c r="AC132" s="41"/>
      <c r="AD132" s="41">
        <v>1</v>
      </c>
      <c r="AE132" s="41"/>
      <c r="AF132" s="41"/>
      <c r="AG132" s="41"/>
      <c r="AH132" s="41"/>
      <c r="AI132" s="41"/>
      <c r="AJ132" s="41"/>
      <c r="AK132" s="41"/>
      <c r="AL132" s="43"/>
      <c r="AM132" s="44"/>
      <c r="AN132" s="43"/>
      <c r="AO132" s="44"/>
      <c r="AP132" s="45"/>
      <c r="AQ132" s="46"/>
      <c r="AR132" s="45"/>
      <c r="AS132" s="46"/>
      <c r="AT132" s="45"/>
      <c r="AU132" s="46"/>
      <c r="AX132" s="47"/>
      <c r="AY132" s="47"/>
      <c r="AZ132" s="48"/>
      <c r="BA132" s="47"/>
      <c r="BB132" s="48"/>
      <c r="BC132" s="47"/>
      <c r="BD132" s="49"/>
      <c r="BE132" s="49"/>
      <c r="BF132" s="49"/>
      <c r="BG132" t="str">
        <f t="shared" ref="BG132:BG195" si="2">IF(AE132=1,_xlfn.TEXTJOIN(" &amp; ", TRUE,
    IF(COUNTIF(AG132:AO132,1)&gt;0,"Interazionale",""),
    IF(COUNTIF(AP132:AW132,1)&gt;0,"Metatestuale",""),
    IF(COUNTIF(AX132:BC132,1)&gt;0,"Cognitiva","")
),"")</f>
        <v/>
      </c>
      <c r="BH132" s="3" t="str" cm="1">
        <f t="array" ref="BH132">IF(AE132=1, _xlfn.TEXTJOIN(" &amp; ", TRUE, _xlfn._xlws.FILTER($AG$2:$BC$2, AG132:BC132=1)), "")</f>
        <v/>
      </c>
    </row>
    <row r="133" spans="1:60" ht="16.8" customHeight="1" x14ac:dyDescent="0.3">
      <c r="A133" t="s">
        <v>1511</v>
      </c>
      <c r="B133" t="s">
        <v>1526</v>
      </c>
      <c r="C133" t="s">
        <v>1513</v>
      </c>
      <c r="D133">
        <v>2023</v>
      </c>
      <c r="E133" s="52" t="s">
        <v>1527</v>
      </c>
      <c r="F133">
        <v>849190</v>
      </c>
      <c r="G133">
        <v>850281</v>
      </c>
      <c r="H133" t="s">
        <v>1515</v>
      </c>
      <c r="I133" t="s">
        <v>1511</v>
      </c>
      <c r="J133" s="51">
        <v>2.5601851851851851E-2</v>
      </c>
      <c r="K133" t="s">
        <v>160</v>
      </c>
      <c r="L133" t="s">
        <v>1516</v>
      </c>
      <c r="M133" t="s">
        <v>1517</v>
      </c>
      <c r="N133" t="s">
        <v>143</v>
      </c>
      <c r="O133" t="s">
        <v>164</v>
      </c>
      <c r="P133" t="s">
        <v>165</v>
      </c>
      <c r="Q133" t="s">
        <v>527</v>
      </c>
      <c r="R133" t="s">
        <v>167</v>
      </c>
      <c r="S133" t="s">
        <v>168</v>
      </c>
      <c r="T133" t="s">
        <v>1518</v>
      </c>
      <c r="U133" t="s">
        <v>183</v>
      </c>
      <c r="V133">
        <v>3</v>
      </c>
      <c r="W133" t="s">
        <v>170</v>
      </c>
      <c r="X133" t="s">
        <v>1528</v>
      </c>
      <c r="Y133" t="s">
        <v>153</v>
      </c>
      <c r="Z133" s="53" t="s">
        <v>1529</v>
      </c>
      <c r="AA133" s="41">
        <v>1</v>
      </c>
      <c r="AB133" s="41"/>
      <c r="AC133" s="41">
        <v>1</v>
      </c>
      <c r="AD133" s="41"/>
      <c r="AE133"/>
      <c r="AF133" s="41"/>
      <c r="AG133" s="41"/>
      <c r="AH133" s="41"/>
      <c r="AI133" s="41"/>
      <c r="AJ133" s="41"/>
      <c r="AK133" s="41"/>
      <c r="AL133" s="43"/>
      <c r="AM133" s="44"/>
      <c r="AN133" s="43"/>
      <c r="AO133" s="44"/>
      <c r="AP133" s="45"/>
      <c r="AQ133" s="46"/>
      <c r="AR133" s="45"/>
      <c r="AS133" s="46"/>
      <c r="AT133" s="45"/>
      <c r="AU133" s="46"/>
      <c r="AX133" s="47"/>
      <c r="AY133" s="47"/>
      <c r="AZ133" s="48"/>
      <c r="BA133" s="47"/>
      <c r="BB133" s="48"/>
      <c r="BC133" s="47"/>
      <c r="BD133" s="49"/>
      <c r="BE133" s="49"/>
      <c r="BF133" s="49"/>
      <c r="BG133" t="str">
        <f t="shared" si="2"/>
        <v/>
      </c>
      <c r="BH133" s="3" t="str" cm="1">
        <f t="array" ref="BH133">IF(AE133=1, _xlfn.TEXTJOIN(" &amp; ", TRUE, _xlfn._xlws.FILTER($AG$2:$BC$2, AG133:BC133=1)), "")</f>
        <v/>
      </c>
    </row>
    <row r="134" spans="1:60" ht="16.8" customHeight="1" x14ac:dyDescent="0.3">
      <c r="A134" t="s">
        <v>1511</v>
      </c>
      <c r="B134" t="s">
        <v>1530</v>
      </c>
      <c r="C134" t="s">
        <v>1513</v>
      </c>
      <c r="D134">
        <v>2023</v>
      </c>
      <c r="E134" s="52" t="s">
        <v>1531</v>
      </c>
      <c r="F134">
        <v>957026</v>
      </c>
      <c r="G134">
        <v>958795</v>
      </c>
      <c r="H134" t="s">
        <v>1515</v>
      </c>
      <c r="I134" t="s">
        <v>1511</v>
      </c>
      <c r="J134" s="51">
        <v>2.5601851851851851E-2</v>
      </c>
      <c r="K134" t="s">
        <v>160</v>
      </c>
      <c r="L134" t="s">
        <v>1516</v>
      </c>
      <c r="M134" t="s">
        <v>1517</v>
      </c>
      <c r="N134" t="s">
        <v>143</v>
      </c>
      <c r="O134" t="s">
        <v>164</v>
      </c>
      <c r="P134" t="s">
        <v>165</v>
      </c>
      <c r="Q134" t="s">
        <v>527</v>
      </c>
      <c r="R134" t="s">
        <v>167</v>
      </c>
      <c r="S134" t="s">
        <v>168</v>
      </c>
      <c r="T134" t="s">
        <v>1518</v>
      </c>
      <c r="U134" t="s">
        <v>183</v>
      </c>
      <c r="V134">
        <v>3</v>
      </c>
      <c r="W134" t="s">
        <v>170</v>
      </c>
      <c r="X134" t="s">
        <v>1532</v>
      </c>
      <c r="Y134" t="s">
        <v>153</v>
      </c>
      <c r="Z134" s="53" t="s">
        <v>1533</v>
      </c>
      <c r="AA134" s="41"/>
      <c r="AB134"/>
      <c r="AC134" s="41"/>
      <c r="AD134" s="41"/>
      <c r="AE134" s="41">
        <v>1</v>
      </c>
      <c r="AF134" s="41">
        <v>1</v>
      </c>
      <c r="AG134" s="41"/>
      <c r="AH134" s="41"/>
      <c r="AI134" s="41"/>
      <c r="AJ134" s="41"/>
      <c r="AK134" s="41"/>
      <c r="AL134" s="43"/>
      <c r="AM134" s="44"/>
      <c r="AN134" s="43"/>
      <c r="AO134" s="44"/>
      <c r="AP134" s="45">
        <v>1</v>
      </c>
      <c r="AQ134" s="46"/>
      <c r="AR134" s="45"/>
      <c r="AS134" s="46"/>
      <c r="AT134" s="45"/>
      <c r="AU134" s="46"/>
      <c r="AX134" s="47"/>
      <c r="AY134" s="47"/>
      <c r="AZ134" s="48"/>
      <c r="BA134" s="47"/>
      <c r="BB134" s="48"/>
      <c r="BC134" s="47"/>
      <c r="BD134" s="49"/>
      <c r="BE134" s="49"/>
      <c r="BF134" s="49"/>
      <c r="BG134" t="str">
        <f t="shared" si="2"/>
        <v>Metatestuale</v>
      </c>
      <c r="BH134" s="3" t="str" cm="1">
        <f t="array" ref="BH134">IF(AE134=1, _xlfn.TEXTJOIN(" &amp; ", TRUE, _xlfn._xlws.FILTER($AG$2:$BC$2, AG134:BC134=1)), "")</f>
        <v>Gestione del topic: introduzione o ripresa di topic</v>
      </c>
    </row>
    <row r="135" spans="1:60" ht="16.8" customHeight="1" x14ac:dyDescent="0.3">
      <c r="A135" t="s">
        <v>1511</v>
      </c>
      <c r="B135" t="s">
        <v>1534</v>
      </c>
      <c r="C135" t="s">
        <v>1513</v>
      </c>
      <c r="D135">
        <v>2023</v>
      </c>
      <c r="E135" s="52" t="s">
        <v>1535</v>
      </c>
      <c r="F135">
        <v>1692441</v>
      </c>
      <c r="G135">
        <v>1694040</v>
      </c>
      <c r="H135" t="s">
        <v>1515</v>
      </c>
      <c r="I135" t="s">
        <v>1511</v>
      </c>
      <c r="J135" s="51">
        <v>2.5601851851851851E-2</v>
      </c>
      <c r="K135" t="s">
        <v>160</v>
      </c>
      <c r="L135" t="s">
        <v>1516</v>
      </c>
      <c r="M135" t="s">
        <v>1517</v>
      </c>
      <c r="N135" t="s">
        <v>143</v>
      </c>
      <c r="O135" t="s">
        <v>164</v>
      </c>
      <c r="P135" t="s">
        <v>165</v>
      </c>
      <c r="Q135" t="s">
        <v>527</v>
      </c>
      <c r="R135" t="s">
        <v>167</v>
      </c>
      <c r="S135" t="s">
        <v>168</v>
      </c>
      <c r="T135" t="s">
        <v>1518</v>
      </c>
      <c r="U135" t="s">
        <v>183</v>
      </c>
      <c r="V135">
        <v>3</v>
      </c>
      <c r="W135" t="s">
        <v>170</v>
      </c>
      <c r="X135" t="s">
        <v>1536</v>
      </c>
      <c r="Y135" t="s">
        <v>153</v>
      </c>
      <c r="Z135" s="53" t="s">
        <v>1537</v>
      </c>
      <c r="AA135" s="41">
        <v>1</v>
      </c>
      <c r="AB135" s="41"/>
      <c r="AC135" s="41">
        <v>1</v>
      </c>
      <c r="AD135" s="41"/>
      <c r="AE135" s="41"/>
      <c r="AF135" s="41"/>
      <c r="AG135" s="41"/>
      <c r="AH135" s="41"/>
      <c r="AI135" s="41"/>
      <c r="AJ135" s="41"/>
      <c r="AK135" s="41"/>
      <c r="AL135" s="43"/>
      <c r="AM135" s="44"/>
      <c r="AN135" s="43"/>
      <c r="AO135" s="44"/>
      <c r="AP135" s="45"/>
      <c r="AQ135" s="46"/>
      <c r="AR135" s="45"/>
      <c r="AS135" s="46"/>
      <c r="AT135" s="45"/>
      <c r="AU135" s="46"/>
      <c r="AX135" s="47"/>
      <c r="AY135" s="47"/>
      <c r="AZ135" s="48"/>
      <c r="BA135" s="47"/>
      <c r="BB135" s="48"/>
      <c r="BC135" s="47"/>
      <c r="BD135" s="49"/>
      <c r="BE135" s="49"/>
      <c r="BF135" s="49"/>
      <c r="BG135" t="str">
        <f t="shared" si="2"/>
        <v/>
      </c>
      <c r="BH135" s="3" t="str" cm="1">
        <f t="array" ref="BH135">IF(AE135=1, _xlfn.TEXTJOIN(" &amp; ", TRUE, _xlfn._xlws.FILTER($AG$2:$BC$2, AG135:BC135=1)), "")</f>
        <v/>
      </c>
    </row>
    <row r="136" spans="1:60" ht="16.8" customHeight="1" x14ac:dyDescent="0.3">
      <c r="A136" t="s">
        <v>1538</v>
      </c>
      <c r="B136" t="s">
        <v>1539</v>
      </c>
      <c r="C136" t="s">
        <v>1540</v>
      </c>
      <c r="D136">
        <v>2020</v>
      </c>
      <c r="E136" s="52" t="s">
        <v>1541</v>
      </c>
      <c r="F136">
        <v>614650</v>
      </c>
      <c r="G136">
        <v>615980</v>
      </c>
      <c r="H136" t="s">
        <v>1542</v>
      </c>
      <c r="I136" t="s">
        <v>1538</v>
      </c>
      <c r="J136" s="51">
        <v>2.7025462962962963E-2</v>
      </c>
      <c r="K136" t="s">
        <v>140</v>
      </c>
      <c r="L136" t="s">
        <v>1543</v>
      </c>
      <c r="M136" t="s">
        <v>1544</v>
      </c>
      <c r="N136" t="s">
        <v>143</v>
      </c>
      <c r="O136" t="s">
        <v>144</v>
      </c>
      <c r="P136" t="s">
        <v>657</v>
      </c>
      <c r="Q136" t="s">
        <v>146</v>
      </c>
      <c r="R136" t="s">
        <v>147</v>
      </c>
      <c r="S136" t="s">
        <v>148</v>
      </c>
      <c r="T136" t="s">
        <v>658</v>
      </c>
      <c r="U136" t="s">
        <v>151</v>
      </c>
      <c r="V136">
        <v>4</v>
      </c>
      <c r="W136" t="s">
        <v>269</v>
      </c>
      <c r="X136" t="s">
        <v>1545</v>
      </c>
      <c r="Y136" t="s">
        <v>153</v>
      </c>
      <c r="Z136" s="53" t="s">
        <v>1546</v>
      </c>
      <c r="AA136" s="41">
        <v>1</v>
      </c>
      <c r="AB136"/>
      <c r="AC136" s="41"/>
      <c r="AD136" s="41"/>
      <c r="AE136" s="41"/>
      <c r="AF136" s="41"/>
      <c r="AG136" s="41"/>
      <c r="AH136" s="41"/>
      <c r="AI136" s="41"/>
      <c r="AJ136" s="41"/>
      <c r="AK136" s="41"/>
      <c r="AL136" s="43"/>
      <c r="AM136" s="44"/>
      <c r="AN136" s="43"/>
      <c r="AO136" s="44"/>
      <c r="AP136" s="45"/>
      <c r="AQ136" s="46"/>
      <c r="AR136" s="45"/>
      <c r="AS136" s="46"/>
      <c r="AT136" s="45"/>
      <c r="AU136" s="46"/>
      <c r="AX136" s="47"/>
      <c r="AY136" s="47"/>
      <c r="AZ136" s="48"/>
      <c r="BA136" s="47"/>
      <c r="BB136" s="48"/>
      <c r="BC136" s="47"/>
      <c r="BD136" s="49"/>
      <c r="BE136" s="49"/>
      <c r="BF136" s="49"/>
      <c r="BG136" t="str">
        <f t="shared" si="2"/>
        <v/>
      </c>
      <c r="BH136" s="3" t="str" cm="1">
        <f t="array" ref="BH136">IF(AE136=1, _xlfn.TEXTJOIN(" &amp; ", TRUE, _xlfn._xlws.FILTER($AG$2:$BC$2, AG136:BC136=1)), "")</f>
        <v/>
      </c>
    </row>
    <row r="137" spans="1:60" ht="16.8" customHeight="1" x14ac:dyDescent="0.3">
      <c r="A137" t="s">
        <v>1538</v>
      </c>
      <c r="B137" t="s">
        <v>1547</v>
      </c>
      <c r="C137" t="s">
        <v>1540</v>
      </c>
      <c r="D137">
        <v>2020</v>
      </c>
      <c r="E137" s="52" t="s">
        <v>1548</v>
      </c>
      <c r="F137">
        <v>1076030</v>
      </c>
      <c r="G137">
        <v>1077560</v>
      </c>
      <c r="H137" t="s">
        <v>1549</v>
      </c>
      <c r="I137" t="s">
        <v>1538</v>
      </c>
      <c r="J137" s="51">
        <v>2.7025462962962963E-2</v>
      </c>
      <c r="K137" t="s">
        <v>140</v>
      </c>
      <c r="L137" t="s">
        <v>1543</v>
      </c>
      <c r="M137" t="s">
        <v>1544</v>
      </c>
      <c r="N137" t="s">
        <v>143</v>
      </c>
      <c r="O137" t="s">
        <v>144</v>
      </c>
      <c r="P137" t="s">
        <v>657</v>
      </c>
      <c r="Q137" t="s">
        <v>146</v>
      </c>
      <c r="R137" t="s">
        <v>147</v>
      </c>
      <c r="S137" t="s">
        <v>148</v>
      </c>
      <c r="T137" t="s">
        <v>658</v>
      </c>
      <c r="U137" t="s">
        <v>151</v>
      </c>
      <c r="V137">
        <v>4</v>
      </c>
      <c r="W137" t="s">
        <v>269</v>
      </c>
      <c r="X137" t="s">
        <v>1550</v>
      </c>
      <c r="Y137" t="s">
        <v>153</v>
      </c>
      <c r="Z137" s="53" t="s">
        <v>1551</v>
      </c>
      <c r="AA137" s="41">
        <v>1</v>
      </c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3"/>
      <c r="AM137" s="44"/>
      <c r="AN137" s="43"/>
      <c r="AO137" s="44"/>
      <c r="AP137" s="45"/>
      <c r="AQ137" s="46"/>
      <c r="AR137" s="45"/>
      <c r="AS137" s="46"/>
      <c r="AT137" s="45"/>
      <c r="AU137" s="46"/>
      <c r="AX137" s="47"/>
      <c r="AY137" s="47"/>
      <c r="AZ137" s="48"/>
      <c r="BA137" s="47"/>
      <c r="BB137" s="48"/>
      <c r="BC137" s="47"/>
      <c r="BD137" s="49"/>
      <c r="BE137" s="49"/>
      <c r="BF137" s="49"/>
      <c r="BG137" t="str">
        <f t="shared" si="2"/>
        <v/>
      </c>
      <c r="BH137" s="3" t="str" cm="1">
        <f t="array" ref="BH137">IF(AE137=1, _xlfn.TEXTJOIN(" &amp; ", TRUE, _xlfn._xlws.FILTER($AG$2:$BC$2, AG137:BC137=1)), "")</f>
        <v/>
      </c>
    </row>
    <row r="138" spans="1:60" ht="16.8" customHeight="1" x14ac:dyDescent="0.3">
      <c r="A138" t="s">
        <v>1538</v>
      </c>
      <c r="B138" t="s">
        <v>1552</v>
      </c>
      <c r="C138" t="s">
        <v>1540</v>
      </c>
      <c r="D138">
        <v>2020</v>
      </c>
      <c r="E138" s="52" t="s">
        <v>1553</v>
      </c>
      <c r="F138">
        <v>1458540</v>
      </c>
      <c r="G138">
        <v>1459900</v>
      </c>
      <c r="H138" t="s">
        <v>1549</v>
      </c>
      <c r="I138" t="s">
        <v>1538</v>
      </c>
      <c r="J138" s="51">
        <v>2.7025462962962963E-2</v>
      </c>
      <c r="K138" t="s">
        <v>140</v>
      </c>
      <c r="L138" t="s">
        <v>1543</v>
      </c>
      <c r="M138" t="s">
        <v>1544</v>
      </c>
      <c r="N138" t="s">
        <v>143</v>
      </c>
      <c r="O138" t="s">
        <v>144</v>
      </c>
      <c r="P138" t="s">
        <v>657</v>
      </c>
      <c r="Q138" t="s">
        <v>146</v>
      </c>
      <c r="R138" t="s">
        <v>147</v>
      </c>
      <c r="S138" t="s">
        <v>148</v>
      </c>
      <c r="T138" t="s">
        <v>658</v>
      </c>
      <c r="U138" t="s">
        <v>151</v>
      </c>
      <c r="V138">
        <v>4</v>
      </c>
      <c r="W138" t="s">
        <v>269</v>
      </c>
      <c r="X138" t="s">
        <v>1554</v>
      </c>
      <c r="Y138" t="s">
        <v>153</v>
      </c>
      <c r="Z138" s="53" t="s">
        <v>1555</v>
      </c>
      <c r="AA138" s="41">
        <v>1</v>
      </c>
      <c r="AB138" s="41"/>
      <c r="AC138" s="41"/>
      <c r="AD138" s="41">
        <v>1</v>
      </c>
      <c r="AE138" s="41"/>
      <c r="AF138" s="41"/>
      <c r="AG138" s="41"/>
      <c r="AH138" s="41"/>
      <c r="AI138" s="41"/>
      <c r="AJ138" s="41"/>
      <c r="AK138" s="41"/>
      <c r="AL138" s="43"/>
      <c r="AM138" s="44"/>
      <c r="AN138" s="43"/>
      <c r="AO138" s="44"/>
      <c r="AP138" s="45"/>
      <c r="AQ138" s="46"/>
      <c r="AR138" s="45"/>
      <c r="AS138" s="46"/>
      <c r="AT138" s="45"/>
      <c r="AU138" s="46"/>
      <c r="AX138" s="47"/>
      <c r="AY138" s="47"/>
      <c r="AZ138" s="48"/>
      <c r="BA138" s="47"/>
      <c r="BB138" s="48"/>
      <c r="BC138" s="47"/>
      <c r="BD138" s="49"/>
      <c r="BE138" s="49"/>
      <c r="BF138" s="49"/>
      <c r="BG138" t="str">
        <f t="shared" si="2"/>
        <v/>
      </c>
      <c r="BH138" s="3" t="str" cm="1">
        <f t="array" ref="BH138">IF(AE138=1, _xlfn.TEXTJOIN(" &amp; ", TRUE, _xlfn._xlws.FILTER($AG$2:$BC$2, AG138:BC138=1)), "")</f>
        <v/>
      </c>
    </row>
    <row r="139" spans="1:60" ht="16.8" customHeight="1" x14ac:dyDescent="0.3">
      <c r="A139" t="s">
        <v>352</v>
      </c>
      <c r="B139" t="s">
        <v>1557</v>
      </c>
      <c r="C139" t="s">
        <v>353</v>
      </c>
      <c r="D139">
        <v>2021</v>
      </c>
      <c r="E139" s="52" t="s">
        <v>1558</v>
      </c>
      <c r="F139">
        <v>591260</v>
      </c>
      <c r="G139">
        <v>592493</v>
      </c>
      <c r="H139" t="s">
        <v>354</v>
      </c>
      <c r="I139" t="s">
        <v>352</v>
      </c>
      <c r="J139" s="51">
        <v>5.2141203703703703E-2</v>
      </c>
      <c r="K139" t="s">
        <v>160</v>
      </c>
      <c r="L139" t="s">
        <v>355</v>
      </c>
      <c r="M139" t="s">
        <v>356</v>
      </c>
      <c r="N139" t="s">
        <v>227</v>
      </c>
      <c r="O139" t="s">
        <v>164</v>
      </c>
      <c r="P139" t="s">
        <v>165</v>
      </c>
      <c r="Q139" t="s">
        <v>179</v>
      </c>
      <c r="R139" t="s">
        <v>167</v>
      </c>
      <c r="S139" t="s">
        <v>168</v>
      </c>
      <c r="T139" t="s">
        <v>169</v>
      </c>
      <c r="U139" t="s">
        <v>318</v>
      </c>
      <c r="V139">
        <v>3</v>
      </c>
      <c r="W139" t="s">
        <v>170</v>
      </c>
      <c r="X139" t="s">
        <v>1559</v>
      </c>
      <c r="Y139" t="s">
        <v>153</v>
      </c>
      <c r="Z139" s="53" t="s">
        <v>1560</v>
      </c>
      <c r="AA139" s="41">
        <v>1</v>
      </c>
      <c r="AB139" s="41"/>
      <c r="AC139" s="41"/>
      <c r="AD139" s="41">
        <v>1</v>
      </c>
      <c r="AE139" s="41"/>
      <c r="AF139" s="41"/>
      <c r="AG139" s="41"/>
      <c r="AH139" s="41"/>
      <c r="AI139" s="41"/>
      <c r="AJ139" s="41"/>
      <c r="AK139" s="41"/>
      <c r="AL139" s="43"/>
      <c r="AM139" s="44"/>
      <c r="AN139" s="43"/>
      <c r="AO139" s="44"/>
      <c r="AP139" s="45"/>
      <c r="AQ139" s="46"/>
      <c r="AR139" s="45"/>
      <c r="AS139" s="46"/>
      <c r="AT139" s="45"/>
      <c r="AU139" s="46"/>
      <c r="AX139" s="47"/>
      <c r="AY139" s="47"/>
      <c r="AZ139" s="48"/>
      <c r="BA139" s="47"/>
      <c r="BB139" s="48"/>
      <c r="BC139" s="47"/>
      <c r="BD139" s="49"/>
      <c r="BE139" s="49"/>
      <c r="BF139" s="49"/>
      <c r="BG139" t="str">
        <f t="shared" si="2"/>
        <v/>
      </c>
      <c r="BH139" s="3" t="str" cm="1">
        <f t="array" ref="BH139">IF(AE139=1, _xlfn.TEXTJOIN(" &amp; ", TRUE, _xlfn._xlws.FILTER($AG$2:$BC$2, AG139:BC139=1)), "")</f>
        <v/>
      </c>
    </row>
    <row r="140" spans="1:60" ht="16.8" customHeight="1" x14ac:dyDescent="0.3">
      <c r="A140" t="s">
        <v>352</v>
      </c>
      <c r="B140" t="s">
        <v>1561</v>
      </c>
      <c r="C140" t="s">
        <v>353</v>
      </c>
      <c r="D140">
        <v>2021</v>
      </c>
      <c r="E140" s="52" t="s">
        <v>1562</v>
      </c>
      <c r="F140">
        <v>774496</v>
      </c>
      <c r="G140">
        <v>775304</v>
      </c>
      <c r="H140" t="s">
        <v>1556</v>
      </c>
      <c r="I140" t="s">
        <v>352</v>
      </c>
      <c r="J140" s="51">
        <v>5.2141203703703703E-2</v>
      </c>
      <c r="K140" t="s">
        <v>160</v>
      </c>
      <c r="L140" t="s">
        <v>355</v>
      </c>
      <c r="M140" t="s">
        <v>356</v>
      </c>
      <c r="N140" t="s">
        <v>227</v>
      </c>
      <c r="O140" t="s">
        <v>144</v>
      </c>
      <c r="P140" t="s">
        <v>165</v>
      </c>
      <c r="Q140" t="s">
        <v>179</v>
      </c>
      <c r="R140" t="s">
        <v>167</v>
      </c>
      <c r="S140" t="s">
        <v>168</v>
      </c>
      <c r="T140" t="s">
        <v>169</v>
      </c>
      <c r="U140" t="s">
        <v>198</v>
      </c>
      <c r="V140">
        <v>3</v>
      </c>
      <c r="W140" t="s">
        <v>170</v>
      </c>
      <c r="X140" t="s">
        <v>1563</v>
      </c>
      <c r="Y140" t="s">
        <v>153</v>
      </c>
      <c r="Z140" s="53" t="s">
        <v>1564</v>
      </c>
      <c r="AA140" s="41"/>
      <c r="AB140" s="41"/>
      <c r="AC140" s="41"/>
      <c r="AD140" s="41"/>
      <c r="AE140">
        <v>1</v>
      </c>
      <c r="AF140" s="41"/>
      <c r="AG140" s="41"/>
      <c r="AH140" s="41"/>
      <c r="AI140" s="41"/>
      <c r="AJ140" s="41"/>
      <c r="AK140" s="41"/>
      <c r="AL140" s="43"/>
      <c r="AM140" s="44">
        <v>1</v>
      </c>
      <c r="AN140" s="43"/>
      <c r="AO140" s="44"/>
      <c r="AP140" s="45"/>
      <c r="AQ140" s="46"/>
      <c r="AR140" s="45"/>
      <c r="AS140" s="46"/>
      <c r="AT140" s="45"/>
      <c r="AU140" s="46"/>
      <c r="AX140" s="47"/>
      <c r="AY140" s="47"/>
      <c r="AZ140" s="48"/>
      <c r="BA140" s="47"/>
      <c r="BB140" s="48"/>
      <c r="BC140" s="47"/>
      <c r="BD140" s="49"/>
      <c r="BE140" s="49"/>
      <c r="BF140" s="49"/>
      <c r="BG140" t="str">
        <f t="shared" si="2"/>
        <v>Interazionale</v>
      </c>
      <c r="BH140" s="3" t="str" cm="1">
        <f t="array" ref="BH140">IF(AE140=1, _xlfn.TEXTJOIN(" &amp; ", TRUE, _xlfn._xlws.FILTER($AG$2:$BC$2, AG140:BC140=1)), "")</f>
        <v>Marcatura della conoscenza condivisa</v>
      </c>
    </row>
    <row r="141" spans="1:60" ht="16.8" customHeight="1" x14ac:dyDescent="0.3">
      <c r="A141" t="s">
        <v>352</v>
      </c>
      <c r="B141" t="s">
        <v>1565</v>
      </c>
      <c r="C141" t="s">
        <v>353</v>
      </c>
      <c r="D141">
        <v>2021</v>
      </c>
      <c r="E141" s="52" t="s">
        <v>1566</v>
      </c>
      <c r="F141">
        <v>1367694</v>
      </c>
      <c r="G141">
        <v>1371285</v>
      </c>
      <c r="H141" t="s">
        <v>354</v>
      </c>
      <c r="I141" t="s">
        <v>352</v>
      </c>
      <c r="J141" s="51">
        <v>5.2141203703703703E-2</v>
      </c>
      <c r="K141" t="s">
        <v>160</v>
      </c>
      <c r="L141" t="s">
        <v>355</v>
      </c>
      <c r="M141" t="s">
        <v>356</v>
      </c>
      <c r="N141" t="s">
        <v>227</v>
      </c>
      <c r="O141" t="s">
        <v>164</v>
      </c>
      <c r="P141" t="s">
        <v>165</v>
      </c>
      <c r="Q141" t="s">
        <v>179</v>
      </c>
      <c r="R141" t="s">
        <v>167</v>
      </c>
      <c r="S141" t="s">
        <v>168</v>
      </c>
      <c r="T141" t="s">
        <v>169</v>
      </c>
      <c r="U141" t="s">
        <v>318</v>
      </c>
      <c r="V141">
        <v>3</v>
      </c>
      <c r="W141" t="s">
        <v>170</v>
      </c>
      <c r="X141" t="s">
        <v>1567</v>
      </c>
      <c r="Y141" t="s">
        <v>153</v>
      </c>
      <c r="Z141" s="53" t="s">
        <v>1568</v>
      </c>
      <c r="AA141" s="41"/>
      <c r="AB141"/>
      <c r="AC141" s="41"/>
      <c r="AD141" s="41"/>
      <c r="AE141" s="41">
        <v>1</v>
      </c>
      <c r="AF141" s="41">
        <v>1</v>
      </c>
      <c r="AG141" s="41"/>
      <c r="AH141" s="41"/>
      <c r="AI141" s="41"/>
      <c r="AJ141" s="41"/>
      <c r="AK141" s="41"/>
      <c r="AL141" s="43"/>
      <c r="AM141" s="44"/>
      <c r="AN141" s="43"/>
      <c r="AO141" s="44"/>
      <c r="AP141" s="45"/>
      <c r="AQ141" s="46"/>
      <c r="AR141" s="45"/>
      <c r="AS141" s="46"/>
      <c r="AT141" s="45"/>
      <c r="AU141" s="46"/>
      <c r="AV141" s="9">
        <v>1</v>
      </c>
      <c r="AX141" s="47"/>
      <c r="AY141" s="47"/>
      <c r="AZ141" s="48"/>
      <c r="BA141" s="47"/>
      <c r="BB141" s="48"/>
      <c r="BC141" s="47"/>
      <c r="BD141" s="49"/>
      <c r="BE141" s="49"/>
      <c r="BF141" s="49"/>
      <c r="BG141" t="str">
        <f t="shared" si="2"/>
        <v>Metatestuale</v>
      </c>
      <c r="BH141" s="3" t="str" cm="1">
        <f t="array" ref="BH141">IF(AE141=1, _xlfn.TEXTJOIN(" &amp; ", TRUE, _xlfn._xlws.FILTER($AG$2:$BC$2, AG141:BC141=1)), "")</f>
        <v>Filler, riempimento dei tempi di formulazione</v>
      </c>
    </row>
    <row r="142" spans="1:60" ht="16.8" customHeight="1" x14ac:dyDescent="0.3">
      <c r="A142" t="s">
        <v>352</v>
      </c>
      <c r="B142" t="s">
        <v>1569</v>
      </c>
      <c r="C142" t="s">
        <v>353</v>
      </c>
      <c r="D142">
        <v>2021</v>
      </c>
      <c r="E142" s="52" t="s">
        <v>1570</v>
      </c>
      <c r="F142">
        <v>1580004</v>
      </c>
      <c r="G142">
        <v>1581382</v>
      </c>
      <c r="H142" t="s">
        <v>1556</v>
      </c>
      <c r="I142" t="s">
        <v>352</v>
      </c>
      <c r="J142" s="51">
        <v>5.2141203703703703E-2</v>
      </c>
      <c r="K142" t="s">
        <v>160</v>
      </c>
      <c r="L142" t="s">
        <v>355</v>
      </c>
      <c r="M142" t="s">
        <v>356</v>
      </c>
      <c r="N142" t="s">
        <v>227</v>
      </c>
      <c r="O142" t="s">
        <v>144</v>
      </c>
      <c r="P142" t="s">
        <v>165</v>
      </c>
      <c r="Q142" t="s">
        <v>179</v>
      </c>
      <c r="R142" t="s">
        <v>167</v>
      </c>
      <c r="S142" t="s">
        <v>168</v>
      </c>
      <c r="T142" t="s">
        <v>169</v>
      </c>
      <c r="U142" t="s">
        <v>198</v>
      </c>
      <c r="V142">
        <v>3</v>
      </c>
      <c r="W142" t="s">
        <v>170</v>
      </c>
      <c r="X142" t="s">
        <v>1571</v>
      </c>
      <c r="Y142" t="s">
        <v>153</v>
      </c>
      <c r="Z142" s="53" t="s">
        <v>1572</v>
      </c>
      <c r="AA142" s="41">
        <v>1</v>
      </c>
      <c r="AB142" s="41"/>
      <c r="AC142" s="41"/>
      <c r="AD142" s="41">
        <v>1</v>
      </c>
      <c r="AE142"/>
      <c r="AF142" s="41"/>
      <c r="AG142" s="41"/>
      <c r="AH142" s="41"/>
      <c r="AI142" s="41"/>
      <c r="AJ142" s="41"/>
      <c r="AK142" s="41"/>
      <c r="AL142" s="43"/>
      <c r="AM142" s="44"/>
      <c r="AN142" s="43"/>
      <c r="AO142" s="44"/>
      <c r="AP142" s="45"/>
      <c r="AQ142" s="46"/>
      <c r="AR142" s="45"/>
      <c r="AS142" s="46"/>
      <c r="AT142" s="45"/>
      <c r="AU142" s="46"/>
      <c r="AX142" s="47"/>
      <c r="AY142" s="47"/>
      <c r="AZ142" s="48"/>
      <c r="BA142" s="47"/>
      <c r="BB142" s="48"/>
      <c r="BC142" s="47"/>
      <c r="BD142" s="49"/>
      <c r="BE142" s="49"/>
      <c r="BF142" s="49"/>
      <c r="BG142" t="str">
        <f t="shared" si="2"/>
        <v/>
      </c>
      <c r="BH142" s="3" t="str" cm="1">
        <f t="array" ref="BH142">IF(AE142=1, _xlfn.TEXTJOIN(" &amp; ", TRUE, _xlfn._xlws.FILTER($AG$2:$BC$2, AG142:BC142=1)), "")</f>
        <v/>
      </c>
    </row>
    <row r="143" spans="1:60" ht="16.8" customHeight="1" x14ac:dyDescent="0.3">
      <c r="A143" t="s">
        <v>352</v>
      </c>
      <c r="B143" t="s">
        <v>1573</v>
      </c>
      <c r="C143" t="s">
        <v>353</v>
      </c>
      <c r="D143">
        <v>2021</v>
      </c>
      <c r="E143" s="52" t="s">
        <v>1574</v>
      </c>
      <c r="F143">
        <v>2008806</v>
      </c>
      <c r="G143">
        <v>2016500</v>
      </c>
      <c r="H143" t="s">
        <v>354</v>
      </c>
      <c r="I143" t="s">
        <v>352</v>
      </c>
      <c r="J143" s="51">
        <v>5.2141203703703703E-2</v>
      </c>
      <c r="K143" t="s">
        <v>160</v>
      </c>
      <c r="L143" t="s">
        <v>355</v>
      </c>
      <c r="M143" t="s">
        <v>356</v>
      </c>
      <c r="N143" t="s">
        <v>227</v>
      </c>
      <c r="O143" t="s">
        <v>164</v>
      </c>
      <c r="P143" t="s">
        <v>165</v>
      </c>
      <c r="Q143" t="s">
        <v>179</v>
      </c>
      <c r="R143" t="s">
        <v>167</v>
      </c>
      <c r="S143" t="s">
        <v>168</v>
      </c>
      <c r="T143" t="s">
        <v>169</v>
      </c>
      <c r="U143" t="s">
        <v>318</v>
      </c>
      <c r="V143">
        <v>3</v>
      </c>
      <c r="W143" t="s">
        <v>170</v>
      </c>
      <c r="X143" t="s">
        <v>1575</v>
      </c>
      <c r="Y143" t="s">
        <v>153</v>
      </c>
      <c r="Z143" s="53" t="s">
        <v>1576</v>
      </c>
      <c r="AA143" s="41">
        <v>1</v>
      </c>
      <c r="AB143"/>
      <c r="AC143" s="41"/>
      <c r="AD143" s="41">
        <v>1</v>
      </c>
      <c r="AE143" s="41"/>
      <c r="AF143" s="41"/>
      <c r="AG143" s="41"/>
      <c r="AH143" s="41"/>
      <c r="AI143" s="41"/>
      <c r="AJ143" s="41"/>
      <c r="AK143" s="41"/>
      <c r="AL143" s="43"/>
      <c r="AM143" s="44"/>
      <c r="AN143" s="43"/>
      <c r="AO143" s="44"/>
      <c r="AP143" s="45"/>
      <c r="AQ143" s="46"/>
      <c r="AR143" s="45"/>
      <c r="AS143" s="46"/>
      <c r="AT143" s="45"/>
      <c r="AU143" s="46"/>
      <c r="AX143" s="47"/>
      <c r="AY143" s="47"/>
      <c r="AZ143" s="48"/>
      <c r="BA143" s="47"/>
      <c r="BB143" s="48"/>
      <c r="BC143" s="47"/>
      <c r="BD143" s="49"/>
      <c r="BE143" s="49"/>
      <c r="BF143" s="49"/>
      <c r="BG143" t="str">
        <f t="shared" si="2"/>
        <v/>
      </c>
      <c r="BH143" s="3" t="str" cm="1">
        <f t="array" ref="BH143">IF(AE143=1, _xlfn.TEXTJOIN(" &amp; ", TRUE, _xlfn._xlws.FILTER($AG$2:$BC$2, AG143:BC143=1)), "")</f>
        <v/>
      </c>
    </row>
    <row r="144" spans="1:60" ht="16.8" customHeight="1" x14ac:dyDescent="0.3">
      <c r="A144" t="s">
        <v>352</v>
      </c>
      <c r="B144" t="s">
        <v>1577</v>
      </c>
      <c r="C144" t="s">
        <v>353</v>
      </c>
      <c r="D144">
        <v>2021</v>
      </c>
      <c r="E144" s="52" t="s">
        <v>1578</v>
      </c>
      <c r="F144">
        <v>2551000</v>
      </c>
      <c r="G144">
        <v>2555828</v>
      </c>
      <c r="H144" t="s">
        <v>250</v>
      </c>
      <c r="I144" t="s">
        <v>352</v>
      </c>
      <c r="J144" s="51">
        <v>5.2141203703703703E-2</v>
      </c>
      <c r="K144" t="s">
        <v>160</v>
      </c>
      <c r="L144" t="s">
        <v>355</v>
      </c>
      <c r="M144" t="s">
        <v>356</v>
      </c>
      <c r="N144" t="s">
        <v>143</v>
      </c>
      <c r="O144" t="s">
        <v>144</v>
      </c>
      <c r="P144" t="s">
        <v>165</v>
      </c>
      <c r="Q144" t="s">
        <v>146</v>
      </c>
      <c r="R144" t="s">
        <v>167</v>
      </c>
      <c r="S144" t="s">
        <v>168</v>
      </c>
      <c r="T144" t="s">
        <v>169</v>
      </c>
      <c r="U144" t="s">
        <v>151</v>
      </c>
      <c r="V144">
        <v>3</v>
      </c>
      <c r="W144" t="s">
        <v>170</v>
      </c>
      <c r="X144" t="s">
        <v>1579</v>
      </c>
      <c r="Y144" t="s">
        <v>153</v>
      </c>
      <c r="Z144" s="53" t="s">
        <v>1580</v>
      </c>
      <c r="AA144" s="41"/>
      <c r="AB144" s="41"/>
      <c r="AC144" s="41"/>
      <c r="AD144" s="41"/>
      <c r="AE144" s="41">
        <v>1</v>
      </c>
      <c r="AF144" s="41"/>
      <c r="AG144" s="41"/>
      <c r="AH144" s="41"/>
      <c r="AI144" s="41"/>
      <c r="AJ144" s="41"/>
      <c r="AK144" s="41"/>
      <c r="AL144" s="43"/>
      <c r="AM144" s="44">
        <v>1</v>
      </c>
      <c r="AN144" s="43"/>
      <c r="AO144" s="44"/>
      <c r="AP144" s="45"/>
      <c r="AQ144" s="46"/>
      <c r="AR144" s="45"/>
      <c r="AS144" s="46"/>
      <c r="AT144" s="45"/>
      <c r="AU144" s="46">
        <v>1</v>
      </c>
      <c r="AX144" s="47"/>
      <c r="AY144" s="47"/>
      <c r="AZ144" s="48"/>
      <c r="BA144" s="47"/>
      <c r="BB144" s="48"/>
      <c r="BC144" s="47"/>
      <c r="BD144" s="49"/>
      <c r="BE144" s="49"/>
      <c r="BF144" s="49"/>
      <c r="BG144" t="str">
        <f t="shared" si="2"/>
        <v>Interazionale &amp; Metatestuale</v>
      </c>
      <c r="BH144" s="3" t="str" cm="1">
        <f t="array" ref="BH144">IF(AE144=1, _xlfn.TEXTJOIN(" &amp; ", TRUE, _xlfn._xlws.FILTER($AG$2:$BC$2, AG144:BC144=1)), "")</f>
        <v>Marcatura della conoscenza condivisa &amp; Esemplificazione</v>
      </c>
    </row>
    <row r="145" spans="1:60" ht="16.8" customHeight="1" x14ac:dyDescent="0.3">
      <c r="A145" t="s">
        <v>352</v>
      </c>
      <c r="B145" t="s">
        <v>1581</v>
      </c>
      <c r="C145" t="s">
        <v>353</v>
      </c>
      <c r="D145">
        <v>2021</v>
      </c>
      <c r="E145" s="52" t="s">
        <v>1582</v>
      </c>
      <c r="F145">
        <v>3504297</v>
      </c>
      <c r="G145">
        <v>3508100</v>
      </c>
      <c r="H145" t="s">
        <v>354</v>
      </c>
      <c r="I145" t="s">
        <v>352</v>
      </c>
      <c r="J145" s="51">
        <v>5.2141203703703703E-2</v>
      </c>
      <c r="K145" t="s">
        <v>160</v>
      </c>
      <c r="L145" t="s">
        <v>355</v>
      </c>
      <c r="M145" t="s">
        <v>356</v>
      </c>
      <c r="N145" t="s">
        <v>227</v>
      </c>
      <c r="O145" t="s">
        <v>164</v>
      </c>
      <c r="P145" t="s">
        <v>165</v>
      </c>
      <c r="Q145" t="s">
        <v>179</v>
      </c>
      <c r="R145" t="s">
        <v>167</v>
      </c>
      <c r="S145" t="s">
        <v>168</v>
      </c>
      <c r="T145" t="s">
        <v>169</v>
      </c>
      <c r="U145" t="s">
        <v>318</v>
      </c>
      <c r="V145">
        <v>3</v>
      </c>
      <c r="W145" t="s">
        <v>170</v>
      </c>
      <c r="X145" t="s">
        <v>1583</v>
      </c>
      <c r="Y145" t="s">
        <v>153</v>
      </c>
      <c r="Z145" s="53" t="s">
        <v>1584</v>
      </c>
      <c r="AA145" s="41">
        <v>1</v>
      </c>
      <c r="AB145" s="41"/>
      <c r="AC145" s="41">
        <v>1</v>
      </c>
      <c r="AD145" s="41"/>
      <c r="AE145" s="41"/>
      <c r="AF145" s="41"/>
      <c r="AG145" s="41"/>
      <c r="AH145" s="41"/>
      <c r="AI145" s="41"/>
      <c r="AJ145" s="41"/>
      <c r="AK145" s="41"/>
      <c r="AL145" s="43"/>
      <c r="AM145" s="44"/>
      <c r="AN145" s="43"/>
      <c r="AO145" s="44"/>
      <c r="AP145" s="45"/>
      <c r="AQ145" s="46"/>
      <c r="AR145" s="45"/>
      <c r="AS145" s="46"/>
      <c r="AT145" s="45"/>
      <c r="AU145" s="46"/>
      <c r="AX145" s="47"/>
      <c r="AY145" s="47"/>
      <c r="AZ145" s="48"/>
      <c r="BA145" s="47"/>
      <c r="BB145" s="48"/>
      <c r="BC145" s="47"/>
      <c r="BD145" s="49"/>
      <c r="BE145" s="49"/>
      <c r="BF145" s="49"/>
      <c r="BG145" t="str">
        <f t="shared" si="2"/>
        <v/>
      </c>
      <c r="BH145" s="3" t="str" cm="1">
        <f t="array" ref="BH145">IF(AE145=1, _xlfn.TEXTJOIN(" &amp; ", TRUE, _xlfn._xlws.FILTER($AG$2:$BC$2, AG145:BC145=1)), "")</f>
        <v/>
      </c>
    </row>
    <row r="146" spans="1:60" ht="16.8" customHeight="1" x14ac:dyDescent="0.3">
      <c r="A146" t="s">
        <v>352</v>
      </c>
      <c r="B146" t="s">
        <v>1585</v>
      </c>
      <c r="C146" t="s">
        <v>353</v>
      </c>
      <c r="D146">
        <v>2021</v>
      </c>
      <c r="E146" s="52" t="s">
        <v>1586</v>
      </c>
      <c r="F146">
        <v>3693281</v>
      </c>
      <c r="G146">
        <v>3693852</v>
      </c>
      <c r="H146" t="s">
        <v>354</v>
      </c>
      <c r="I146" t="s">
        <v>352</v>
      </c>
      <c r="J146" s="51">
        <v>5.2141203703703703E-2</v>
      </c>
      <c r="K146" t="s">
        <v>160</v>
      </c>
      <c r="L146" t="s">
        <v>355</v>
      </c>
      <c r="M146" t="s">
        <v>356</v>
      </c>
      <c r="N146" t="s">
        <v>227</v>
      </c>
      <c r="O146" t="s">
        <v>164</v>
      </c>
      <c r="P146" t="s">
        <v>165</v>
      </c>
      <c r="Q146" t="s">
        <v>179</v>
      </c>
      <c r="R146" t="s">
        <v>167</v>
      </c>
      <c r="S146" t="s">
        <v>168</v>
      </c>
      <c r="T146" t="s">
        <v>169</v>
      </c>
      <c r="U146" t="s">
        <v>318</v>
      </c>
      <c r="V146">
        <v>3</v>
      </c>
      <c r="W146" t="s">
        <v>170</v>
      </c>
      <c r="X146" t="s">
        <v>1587</v>
      </c>
      <c r="Y146" t="s">
        <v>153</v>
      </c>
      <c r="Z146" s="53" t="s">
        <v>1588</v>
      </c>
      <c r="AA146"/>
      <c r="AB146"/>
      <c r="AC146" s="41"/>
      <c r="AD146" s="41"/>
      <c r="AE146" s="41">
        <v>1</v>
      </c>
      <c r="AF146" s="41"/>
      <c r="AG146" s="41"/>
      <c r="AH146" s="41">
        <v>1</v>
      </c>
      <c r="AI146" s="41"/>
      <c r="AJ146" s="41"/>
      <c r="AK146" s="41"/>
      <c r="AL146" s="43"/>
      <c r="AM146" s="44"/>
      <c r="AN146" s="43"/>
      <c r="AO146" s="44"/>
      <c r="AP146" s="45"/>
      <c r="AQ146" s="46"/>
      <c r="AR146" s="45"/>
      <c r="AS146" s="46"/>
      <c r="AT146" s="45"/>
      <c r="AU146" s="46"/>
      <c r="AX146" s="47"/>
      <c r="AY146" s="47"/>
      <c r="AZ146" s="48"/>
      <c r="BA146" s="47"/>
      <c r="BB146" s="48"/>
      <c r="BC146" s="47"/>
      <c r="BD146" s="49"/>
      <c r="BE146" s="49"/>
      <c r="BF146" s="49"/>
      <c r="BG146" t="str">
        <f t="shared" si="2"/>
        <v>Interazionale</v>
      </c>
      <c r="BH146" s="3" t="str" cm="1">
        <f t="array" ref="BH146">IF(AE146=1, _xlfn.TEXTJOIN(" &amp; ", TRUE, _xlfn._xlws.FILTER($AG$2:$BC$2, AG146:BC146=1)), "")</f>
        <v>Richiesta di accordo/conferma</v>
      </c>
    </row>
    <row r="147" spans="1:60" ht="1.8" customHeight="1" x14ac:dyDescent="0.3">
      <c r="A147" t="s">
        <v>352</v>
      </c>
      <c r="B147" t="s">
        <v>1589</v>
      </c>
      <c r="C147" t="s">
        <v>353</v>
      </c>
      <c r="D147">
        <v>2021</v>
      </c>
      <c r="E147" s="52" t="s">
        <v>1590</v>
      </c>
      <c r="F147">
        <v>4226366</v>
      </c>
      <c r="G147">
        <v>4233500</v>
      </c>
      <c r="H147" t="s">
        <v>354</v>
      </c>
      <c r="I147" t="s">
        <v>352</v>
      </c>
      <c r="J147" s="51">
        <v>5.2141203703703703E-2</v>
      </c>
      <c r="K147" t="s">
        <v>160</v>
      </c>
      <c r="L147" t="s">
        <v>355</v>
      </c>
      <c r="M147" t="s">
        <v>356</v>
      </c>
      <c r="N147" t="s">
        <v>227</v>
      </c>
      <c r="O147" t="s">
        <v>164</v>
      </c>
      <c r="P147" t="s">
        <v>165</v>
      </c>
      <c r="Q147" t="s">
        <v>179</v>
      </c>
      <c r="R147" t="s">
        <v>167</v>
      </c>
      <c r="S147" t="s">
        <v>168</v>
      </c>
      <c r="T147" t="s">
        <v>169</v>
      </c>
      <c r="U147" t="s">
        <v>318</v>
      </c>
      <c r="V147">
        <v>3</v>
      </c>
      <c r="W147" t="s">
        <v>170</v>
      </c>
      <c r="X147" t="s">
        <v>1591</v>
      </c>
      <c r="Y147" t="s">
        <v>153</v>
      </c>
      <c r="Z147" s="53" t="s">
        <v>1592</v>
      </c>
      <c r="AA147">
        <v>1</v>
      </c>
      <c r="AB147">
        <v>1</v>
      </c>
      <c r="AC147" s="41"/>
      <c r="AD147" s="41"/>
      <c r="AE147" s="41"/>
      <c r="AF147" s="41"/>
      <c r="AG147" s="41"/>
      <c r="AH147" s="41"/>
      <c r="AI147" s="41"/>
      <c r="AJ147" s="41"/>
      <c r="AK147" s="41"/>
      <c r="AL147" s="43"/>
      <c r="AM147" s="44"/>
      <c r="AN147" s="43"/>
      <c r="AO147" s="44"/>
      <c r="AP147" s="45"/>
      <c r="AQ147" s="46"/>
      <c r="AR147" s="45"/>
      <c r="AS147" s="46"/>
      <c r="AT147" s="45"/>
      <c r="AU147" s="46"/>
      <c r="AX147" s="47"/>
      <c r="AY147" s="47"/>
      <c r="AZ147" s="48"/>
      <c r="BA147" s="47"/>
      <c r="BB147" s="48"/>
      <c r="BC147" s="47"/>
      <c r="BD147" s="49"/>
      <c r="BE147" s="49"/>
      <c r="BF147" s="49"/>
      <c r="BG147" t="str">
        <f t="shared" si="2"/>
        <v/>
      </c>
      <c r="BH147" s="3" t="str" cm="1">
        <f t="array" ref="BH147">IF(AE147=1, _xlfn.TEXTJOIN(" &amp; ", TRUE, _xlfn._xlws.FILTER($AG$2:$BC$2, AG147:BC147=1)), "")</f>
        <v/>
      </c>
    </row>
    <row r="148" spans="1:60" x14ac:dyDescent="0.3">
      <c r="A148" t="s">
        <v>352</v>
      </c>
      <c r="B148" t="s">
        <v>1593</v>
      </c>
      <c r="C148" t="s">
        <v>353</v>
      </c>
      <c r="D148">
        <v>2021</v>
      </c>
      <c r="E148" s="52" t="s">
        <v>1594</v>
      </c>
      <c r="F148">
        <v>4240241</v>
      </c>
      <c r="G148">
        <v>4248800</v>
      </c>
      <c r="H148" t="s">
        <v>354</v>
      </c>
      <c r="I148" t="s">
        <v>352</v>
      </c>
      <c r="J148" s="51">
        <v>5.2141203703703703E-2</v>
      </c>
      <c r="K148" t="s">
        <v>160</v>
      </c>
      <c r="L148" t="s">
        <v>355</v>
      </c>
      <c r="M148" t="s">
        <v>356</v>
      </c>
      <c r="N148" t="s">
        <v>227</v>
      </c>
      <c r="O148" t="s">
        <v>164</v>
      </c>
      <c r="P148" t="s">
        <v>165</v>
      </c>
      <c r="Q148" t="s">
        <v>179</v>
      </c>
      <c r="R148" t="s">
        <v>167</v>
      </c>
      <c r="S148" t="s">
        <v>168</v>
      </c>
      <c r="T148" t="s">
        <v>169</v>
      </c>
      <c r="U148" t="s">
        <v>318</v>
      </c>
      <c r="V148">
        <v>3</v>
      </c>
      <c r="W148" t="s">
        <v>170</v>
      </c>
      <c r="X148" t="s">
        <v>1595</v>
      </c>
      <c r="Y148" t="s">
        <v>153</v>
      </c>
      <c r="Z148" s="53" t="s">
        <v>1596</v>
      </c>
      <c r="AA148"/>
      <c r="AB148"/>
      <c r="AC148" s="41"/>
      <c r="AD148" s="41"/>
      <c r="AE148" s="41">
        <v>1</v>
      </c>
      <c r="AF148" s="41"/>
      <c r="AG148" s="41"/>
      <c r="AH148" s="41"/>
      <c r="AI148" s="41"/>
      <c r="AJ148" s="41"/>
      <c r="AK148" s="41"/>
      <c r="AL148" s="43"/>
      <c r="AM148" s="44">
        <v>1</v>
      </c>
      <c r="AN148" s="43"/>
      <c r="AO148" s="44"/>
      <c r="AP148" s="45"/>
      <c r="AQ148" s="46"/>
      <c r="AR148" s="45"/>
      <c r="AS148" s="46"/>
      <c r="AT148" s="45"/>
      <c r="AU148" s="46">
        <v>1</v>
      </c>
      <c r="AX148" s="47"/>
      <c r="AY148" s="47"/>
      <c r="AZ148" s="48"/>
      <c r="BA148" s="47"/>
      <c r="BB148" s="48"/>
      <c r="BC148" s="47"/>
      <c r="BD148" s="49">
        <v>1</v>
      </c>
      <c r="BE148" s="49"/>
      <c r="BF148" s="49"/>
      <c r="BG148" t="str">
        <f t="shared" si="2"/>
        <v>Interazionale &amp; Metatestuale</v>
      </c>
      <c r="BH148" s="3" t="str" cm="1">
        <f t="array" ref="BH148">IF(AE148=1, _xlfn.TEXTJOIN(" &amp; ", TRUE, _xlfn._xlws.FILTER($AG$2:$BC$2, AG148:BC148=1)), "")</f>
        <v>Marcatura della conoscenza condivisa &amp; Esemplificazione</v>
      </c>
    </row>
    <row r="149" spans="1:60" x14ac:dyDescent="0.3">
      <c r="A149" t="s">
        <v>357</v>
      </c>
      <c r="B149" t="s">
        <v>1597</v>
      </c>
      <c r="C149" t="s">
        <v>358</v>
      </c>
      <c r="D149" t="s">
        <v>204</v>
      </c>
      <c r="E149" s="52" t="s">
        <v>1598</v>
      </c>
      <c r="F149">
        <v>713044</v>
      </c>
      <c r="G149">
        <v>716698</v>
      </c>
      <c r="H149" t="s">
        <v>1599</v>
      </c>
      <c r="I149" t="s">
        <v>357</v>
      </c>
      <c r="J149" s="51">
        <v>2.417824074074074E-2</v>
      </c>
      <c r="K149" t="s">
        <v>140</v>
      </c>
      <c r="L149" t="s">
        <v>361</v>
      </c>
      <c r="M149" t="s">
        <v>362</v>
      </c>
      <c r="N149" t="s">
        <v>143</v>
      </c>
      <c r="O149" t="s">
        <v>164</v>
      </c>
      <c r="P149" t="s">
        <v>145</v>
      </c>
      <c r="Q149" t="s">
        <v>146</v>
      </c>
      <c r="R149" t="s">
        <v>147</v>
      </c>
      <c r="S149" t="s">
        <v>148</v>
      </c>
      <c r="T149" t="s">
        <v>149</v>
      </c>
      <c r="U149" t="s">
        <v>151</v>
      </c>
      <c r="V149">
        <v>4</v>
      </c>
      <c r="W149" t="s">
        <v>150</v>
      </c>
      <c r="X149" t="s">
        <v>1600</v>
      </c>
      <c r="Y149" t="s">
        <v>153</v>
      </c>
      <c r="Z149" s="53" t="s">
        <v>1601</v>
      </c>
      <c r="AA149">
        <v>1</v>
      </c>
      <c r="AB149"/>
      <c r="AC149" s="41"/>
      <c r="AD149" s="41">
        <v>1</v>
      </c>
      <c r="AE149" s="41"/>
      <c r="AF149" s="41"/>
      <c r="AG149" s="41"/>
      <c r="AH149" s="41"/>
      <c r="AI149" s="41"/>
      <c r="AJ149" s="41"/>
      <c r="AK149" s="41"/>
      <c r="AL149" s="43"/>
      <c r="AM149" s="44"/>
      <c r="AN149" s="43"/>
      <c r="AO149" s="44"/>
      <c r="AP149" s="45"/>
      <c r="AQ149" s="46"/>
      <c r="AR149" s="45"/>
      <c r="AS149" s="46"/>
      <c r="AT149" s="45"/>
      <c r="AU149" s="46"/>
      <c r="AX149" s="47"/>
      <c r="AY149" s="47"/>
      <c r="AZ149" s="48"/>
      <c r="BA149" s="47"/>
      <c r="BB149" s="48"/>
      <c r="BC149" s="47"/>
      <c r="BD149" s="49"/>
      <c r="BE149" s="49"/>
      <c r="BF149" s="49"/>
      <c r="BG149" t="str">
        <f t="shared" si="2"/>
        <v/>
      </c>
      <c r="BH149" s="3" t="str" cm="1">
        <f t="array" ref="BH149">IF(AE149=1, _xlfn.TEXTJOIN(" &amp; ", TRUE, _xlfn._xlws.FILTER($AG$2:$BC$2, AG149:BC149=1)), "")</f>
        <v/>
      </c>
    </row>
    <row r="150" spans="1:60" x14ac:dyDescent="0.3">
      <c r="A150" t="s">
        <v>357</v>
      </c>
      <c r="B150" t="s">
        <v>1602</v>
      </c>
      <c r="C150" t="s">
        <v>358</v>
      </c>
      <c r="D150" t="s">
        <v>204</v>
      </c>
      <c r="E150" s="52" t="s">
        <v>1603</v>
      </c>
      <c r="F150">
        <v>930330</v>
      </c>
      <c r="G150">
        <v>931785</v>
      </c>
      <c r="H150" t="s">
        <v>1604</v>
      </c>
      <c r="I150" t="s">
        <v>357</v>
      </c>
      <c r="J150" s="51">
        <v>2.417824074074074E-2</v>
      </c>
      <c r="K150" t="s">
        <v>140</v>
      </c>
      <c r="L150" t="s">
        <v>361</v>
      </c>
      <c r="M150" t="s">
        <v>362</v>
      </c>
      <c r="N150" t="s">
        <v>143</v>
      </c>
      <c r="O150" t="s">
        <v>164</v>
      </c>
      <c r="P150" t="s">
        <v>145</v>
      </c>
      <c r="Q150" t="s">
        <v>146</v>
      </c>
      <c r="R150" t="s">
        <v>147</v>
      </c>
      <c r="S150" t="s">
        <v>148</v>
      </c>
      <c r="T150" t="s">
        <v>149</v>
      </c>
      <c r="U150" t="s">
        <v>151</v>
      </c>
      <c r="V150">
        <v>4</v>
      </c>
      <c r="W150" t="s">
        <v>150</v>
      </c>
      <c r="X150" t="s">
        <v>1605</v>
      </c>
      <c r="Y150" t="s">
        <v>153</v>
      </c>
      <c r="Z150" s="53" t="s">
        <v>1606</v>
      </c>
      <c r="AA150">
        <v>1</v>
      </c>
      <c r="AB150"/>
      <c r="AC150" s="41">
        <v>1</v>
      </c>
      <c r="AD150" s="41"/>
      <c r="AE150" s="41"/>
      <c r="AF150" s="41"/>
      <c r="AG150" s="41"/>
      <c r="AH150" s="41"/>
      <c r="AI150" s="41"/>
      <c r="AJ150" s="41"/>
      <c r="AK150" s="41"/>
      <c r="AL150" s="43"/>
      <c r="AM150" s="44"/>
      <c r="AN150" s="43"/>
      <c r="AO150" s="44"/>
      <c r="AP150" s="45"/>
      <c r="AQ150" s="46"/>
      <c r="AR150" s="45"/>
      <c r="AS150" s="46"/>
      <c r="AT150" s="45"/>
      <c r="AU150" s="46"/>
      <c r="AX150" s="47"/>
      <c r="AY150" s="47"/>
      <c r="AZ150" s="48"/>
      <c r="BA150" s="47"/>
      <c r="BB150" s="48"/>
      <c r="BC150" s="47"/>
      <c r="BD150" s="49"/>
      <c r="BE150" s="49"/>
      <c r="BF150" s="49"/>
      <c r="BG150" t="str">
        <f t="shared" si="2"/>
        <v/>
      </c>
      <c r="BH150" s="3" t="str" cm="1">
        <f t="array" ref="BH150">IF(AE150=1, _xlfn.TEXTJOIN(" &amp; ", TRUE, _xlfn._xlws.FILTER($AG$2:$BC$2, AG150:BC150=1)), "")</f>
        <v/>
      </c>
    </row>
    <row r="151" spans="1:60" x14ac:dyDescent="0.3">
      <c r="A151" t="s">
        <v>357</v>
      </c>
      <c r="B151" t="s">
        <v>1607</v>
      </c>
      <c r="C151" t="s">
        <v>358</v>
      </c>
      <c r="D151" t="s">
        <v>204</v>
      </c>
      <c r="E151" s="52" t="s">
        <v>1608</v>
      </c>
      <c r="F151">
        <v>1127317</v>
      </c>
      <c r="G151">
        <v>1131001</v>
      </c>
      <c r="H151" t="s">
        <v>1599</v>
      </c>
      <c r="I151" t="s">
        <v>357</v>
      </c>
      <c r="J151" s="51">
        <v>2.417824074074074E-2</v>
      </c>
      <c r="K151" t="s">
        <v>140</v>
      </c>
      <c r="L151" t="s">
        <v>361</v>
      </c>
      <c r="M151" t="s">
        <v>362</v>
      </c>
      <c r="N151" t="s">
        <v>143</v>
      </c>
      <c r="O151" t="s">
        <v>164</v>
      </c>
      <c r="P151" t="s">
        <v>145</v>
      </c>
      <c r="Q151" t="s">
        <v>146</v>
      </c>
      <c r="R151" t="s">
        <v>147</v>
      </c>
      <c r="S151" t="s">
        <v>148</v>
      </c>
      <c r="T151" t="s">
        <v>149</v>
      </c>
      <c r="U151" t="s">
        <v>151</v>
      </c>
      <c r="V151">
        <v>4</v>
      </c>
      <c r="W151" t="s">
        <v>150</v>
      </c>
      <c r="X151" t="s">
        <v>1609</v>
      </c>
      <c r="Y151" t="s">
        <v>153</v>
      </c>
      <c r="Z151" s="53" t="s">
        <v>1610</v>
      </c>
      <c r="AA151">
        <v>1</v>
      </c>
      <c r="AB151"/>
      <c r="AC151" s="41">
        <v>1</v>
      </c>
      <c r="AD151" s="41"/>
      <c r="AE151" s="41"/>
      <c r="AF151" s="41"/>
      <c r="AG151" s="41"/>
      <c r="AH151" s="41"/>
      <c r="AI151" s="41"/>
      <c r="AJ151" s="41"/>
      <c r="AK151" s="41"/>
      <c r="AL151" s="43"/>
      <c r="AM151" s="44"/>
      <c r="AN151" s="43"/>
      <c r="AO151" s="44"/>
      <c r="AP151" s="45"/>
      <c r="AQ151" s="46"/>
      <c r="AR151" s="45"/>
      <c r="AS151" s="46"/>
      <c r="AT151" s="45"/>
      <c r="AU151" s="46"/>
      <c r="AX151" s="47"/>
      <c r="AY151" s="47"/>
      <c r="AZ151" s="48"/>
      <c r="BA151" s="47"/>
      <c r="BB151" s="48"/>
      <c r="BC151" s="47"/>
      <c r="BD151" s="49"/>
      <c r="BE151" s="49"/>
      <c r="BF151" s="49"/>
      <c r="BG151" t="str">
        <f t="shared" si="2"/>
        <v/>
      </c>
      <c r="BH151" s="3" t="str" cm="1">
        <f t="array" ref="BH151">IF(AE151=1, _xlfn.TEXTJOIN(" &amp; ", TRUE, _xlfn._xlws.FILTER($AG$2:$BC$2, AG151:BC151=1)), "")</f>
        <v/>
      </c>
    </row>
    <row r="152" spans="1:60" x14ac:dyDescent="0.3">
      <c r="A152" t="s">
        <v>357</v>
      </c>
      <c r="B152" t="s">
        <v>1611</v>
      </c>
      <c r="C152" t="s">
        <v>358</v>
      </c>
      <c r="D152" t="s">
        <v>204</v>
      </c>
      <c r="E152" s="52" t="s">
        <v>1612</v>
      </c>
      <c r="F152">
        <v>1146354</v>
      </c>
      <c r="G152">
        <v>1151233</v>
      </c>
      <c r="H152" t="s">
        <v>1613</v>
      </c>
      <c r="I152" t="s">
        <v>357</v>
      </c>
      <c r="J152" s="51">
        <v>2.417824074074074E-2</v>
      </c>
      <c r="K152" t="s">
        <v>140</v>
      </c>
      <c r="L152" t="s">
        <v>361</v>
      </c>
      <c r="M152" t="s">
        <v>362</v>
      </c>
      <c r="N152" t="s">
        <v>143</v>
      </c>
      <c r="O152" t="s">
        <v>164</v>
      </c>
      <c r="P152" t="s">
        <v>145</v>
      </c>
      <c r="Q152" t="s">
        <v>146</v>
      </c>
      <c r="R152" t="s">
        <v>147</v>
      </c>
      <c r="S152" t="s">
        <v>148</v>
      </c>
      <c r="T152" t="s">
        <v>149</v>
      </c>
      <c r="U152" t="s">
        <v>151</v>
      </c>
      <c r="V152">
        <v>4</v>
      </c>
      <c r="W152" t="s">
        <v>150</v>
      </c>
      <c r="X152" t="s">
        <v>1614</v>
      </c>
      <c r="Y152" t="s">
        <v>153</v>
      </c>
      <c r="Z152" s="53" t="s">
        <v>1615</v>
      </c>
      <c r="AA152">
        <v>1</v>
      </c>
      <c r="AB152"/>
      <c r="AC152" s="41"/>
      <c r="AD152" s="41"/>
      <c r="AE152" s="41"/>
      <c r="AF152" s="41"/>
      <c r="AG152" s="41"/>
      <c r="AH152" s="41"/>
      <c r="AI152" s="41"/>
      <c r="AJ152" s="41"/>
      <c r="AK152" s="41"/>
      <c r="AL152" s="43"/>
      <c r="AM152" s="44"/>
      <c r="AN152" s="43"/>
      <c r="AO152" s="44"/>
      <c r="AP152" s="45"/>
      <c r="AQ152" s="46"/>
      <c r="AR152" s="45"/>
      <c r="AS152" s="46"/>
      <c r="AT152" s="45"/>
      <c r="AU152" s="46"/>
      <c r="AX152" s="47"/>
      <c r="AY152" s="47"/>
      <c r="AZ152" s="48"/>
      <c r="BA152" s="47"/>
      <c r="BB152" s="48"/>
      <c r="BC152" s="47"/>
      <c r="BD152" s="49"/>
      <c r="BE152" s="49"/>
      <c r="BF152" s="49"/>
      <c r="BG152" t="str">
        <f t="shared" si="2"/>
        <v/>
      </c>
      <c r="BH152" s="3" t="str" cm="1">
        <f t="array" ref="BH152">IF(AE152=1, _xlfn.TEXTJOIN(" &amp; ", TRUE, _xlfn._xlws.FILTER($AG$2:$BC$2, AG152:BC152=1)), "")</f>
        <v/>
      </c>
    </row>
    <row r="153" spans="1:60" x14ac:dyDescent="0.3">
      <c r="A153" t="s">
        <v>357</v>
      </c>
      <c r="B153" t="s">
        <v>1616</v>
      </c>
      <c r="C153" t="s">
        <v>358</v>
      </c>
      <c r="D153" t="s">
        <v>204</v>
      </c>
      <c r="E153" s="52" t="s">
        <v>1617</v>
      </c>
      <c r="F153">
        <v>1484861</v>
      </c>
      <c r="G153">
        <v>1489816</v>
      </c>
      <c r="H153" t="s">
        <v>1604</v>
      </c>
      <c r="I153" t="s">
        <v>357</v>
      </c>
      <c r="J153" s="51">
        <v>2.417824074074074E-2</v>
      </c>
      <c r="K153" t="s">
        <v>140</v>
      </c>
      <c r="L153" t="s">
        <v>361</v>
      </c>
      <c r="M153" t="s">
        <v>362</v>
      </c>
      <c r="N153" t="s">
        <v>143</v>
      </c>
      <c r="O153" t="s">
        <v>164</v>
      </c>
      <c r="P153" t="s">
        <v>145</v>
      </c>
      <c r="Q153" t="s">
        <v>146</v>
      </c>
      <c r="R153" t="s">
        <v>147</v>
      </c>
      <c r="S153" t="s">
        <v>148</v>
      </c>
      <c r="T153" t="s">
        <v>149</v>
      </c>
      <c r="U153" t="s">
        <v>151</v>
      </c>
      <c r="V153">
        <v>4</v>
      </c>
      <c r="W153" t="s">
        <v>150</v>
      </c>
      <c r="X153" t="s">
        <v>1618</v>
      </c>
      <c r="Y153" t="s">
        <v>153</v>
      </c>
      <c r="Z153" s="53" t="s">
        <v>1619</v>
      </c>
      <c r="AA153">
        <v>1</v>
      </c>
      <c r="AB153"/>
      <c r="AC153">
        <v>1</v>
      </c>
      <c r="AD153"/>
      <c r="AE153"/>
      <c r="AF153"/>
      <c r="BG153" t="str">
        <f t="shared" si="2"/>
        <v/>
      </c>
      <c r="BH153" s="3" t="str" cm="1">
        <f t="array" ref="BH153">IF(AE153=1, _xlfn.TEXTJOIN(" &amp; ", TRUE, _xlfn._xlws.FILTER($AG$2:$BC$2, AG153:BC153=1)), "")</f>
        <v/>
      </c>
    </row>
    <row r="154" spans="1:60" x14ac:dyDescent="0.3">
      <c r="A154" t="s">
        <v>357</v>
      </c>
      <c r="B154" t="s">
        <v>1620</v>
      </c>
      <c r="C154" t="s">
        <v>358</v>
      </c>
      <c r="D154" t="s">
        <v>204</v>
      </c>
      <c r="E154" s="52" t="s">
        <v>1621</v>
      </c>
      <c r="F154">
        <v>1613645</v>
      </c>
      <c r="G154">
        <v>1614740</v>
      </c>
      <c r="H154" t="s">
        <v>1599</v>
      </c>
      <c r="I154" t="s">
        <v>357</v>
      </c>
      <c r="J154" s="51">
        <v>2.417824074074074E-2</v>
      </c>
      <c r="K154" t="s">
        <v>140</v>
      </c>
      <c r="L154" t="s">
        <v>361</v>
      </c>
      <c r="M154" t="s">
        <v>362</v>
      </c>
      <c r="N154" t="s">
        <v>143</v>
      </c>
      <c r="O154" t="s">
        <v>164</v>
      </c>
      <c r="P154" t="s">
        <v>145</v>
      </c>
      <c r="Q154" t="s">
        <v>146</v>
      </c>
      <c r="R154" t="s">
        <v>147</v>
      </c>
      <c r="S154" t="s">
        <v>148</v>
      </c>
      <c r="T154" t="s">
        <v>149</v>
      </c>
      <c r="U154" t="s">
        <v>151</v>
      </c>
      <c r="V154">
        <v>4</v>
      </c>
      <c r="W154" t="s">
        <v>150</v>
      </c>
      <c r="X154" t="s">
        <v>1622</v>
      </c>
      <c r="Y154" t="s">
        <v>153</v>
      </c>
      <c r="Z154" s="53" t="s">
        <v>1623</v>
      </c>
      <c r="AA154">
        <v>1</v>
      </c>
      <c r="AB154">
        <v>1</v>
      </c>
      <c r="AC154"/>
      <c r="AD154"/>
      <c r="AE154"/>
      <c r="AF154"/>
      <c r="BG154" t="str">
        <f t="shared" si="2"/>
        <v/>
      </c>
      <c r="BH154" s="3" t="str" cm="1">
        <f t="array" ref="BH154">IF(AE154=1, _xlfn.TEXTJOIN(" &amp; ", TRUE, _xlfn._xlws.FILTER($AG$2:$BC$2, AG154:BC154=1)), "")</f>
        <v/>
      </c>
    </row>
    <row r="155" spans="1:60" x14ac:dyDescent="0.3">
      <c r="A155" t="s">
        <v>357</v>
      </c>
      <c r="B155" t="s">
        <v>1624</v>
      </c>
      <c r="C155" t="s">
        <v>358</v>
      </c>
      <c r="D155" t="s">
        <v>204</v>
      </c>
      <c r="E155" s="52" t="s">
        <v>359</v>
      </c>
      <c r="F155">
        <v>1784790</v>
      </c>
      <c r="G155">
        <v>1786880</v>
      </c>
      <c r="H155" t="s">
        <v>360</v>
      </c>
      <c r="I155" t="s">
        <v>357</v>
      </c>
      <c r="J155" s="51">
        <v>2.417824074074074E-2</v>
      </c>
      <c r="K155" t="s">
        <v>140</v>
      </c>
      <c r="L155" t="s">
        <v>361</v>
      </c>
      <c r="M155" t="s">
        <v>362</v>
      </c>
      <c r="N155" t="s">
        <v>360</v>
      </c>
      <c r="O155" t="s">
        <v>360</v>
      </c>
      <c r="P155" t="s">
        <v>145</v>
      </c>
      <c r="Q155" t="s">
        <v>360</v>
      </c>
      <c r="R155" t="s">
        <v>147</v>
      </c>
      <c r="S155" t="s">
        <v>148</v>
      </c>
      <c r="T155" t="s">
        <v>360</v>
      </c>
      <c r="U155" t="s">
        <v>360</v>
      </c>
      <c r="V155">
        <v>4</v>
      </c>
      <c r="W155" t="s">
        <v>150</v>
      </c>
      <c r="X155" t="s">
        <v>1625</v>
      </c>
      <c r="Y155" t="s">
        <v>153</v>
      </c>
      <c r="Z155" s="53" t="s">
        <v>1626</v>
      </c>
      <c r="AA155">
        <v>1</v>
      </c>
      <c r="AB155">
        <v>1</v>
      </c>
      <c r="AC155"/>
      <c r="AD155"/>
      <c r="AE155"/>
      <c r="AF155"/>
      <c r="BG155" t="str">
        <f t="shared" si="2"/>
        <v/>
      </c>
      <c r="BH155" s="3" t="str" cm="1">
        <f t="array" ref="BH155">IF(AE155=1, _xlfn.TEXTJOIN(" &amp; ", TRUE, _xlfn._xlws.FILTER($AG$2:$BC$2, AG155:BC155=1)), "")</f>
        <v/>
      </c>
    </row>
    <row r="156" spans="1:60" x14ac:dyDescent="0.3">
      <c r="A156" t="s">
        <v>1627</v>
      </c>
      <c r="B156" t="s">
        <v>1632</v>
      </c>
      <c r="C156" t="s">
        <v>1628</v>
      </c>
      <c r="D156">
        <v>2021</v>
      </c>
      <c r="E156" s="52" t="s">
        <v>1633</v>
      </c>
      <c r="F156">
        <v>423440</v>
      </c>
      <c r="G156">
        <v>426100</v>
      </c>
      <c r="H156" t="s">
        <v>1629</v>
      </c>
      <c r="I156" t="s">
        <v>1627</v>
      </c>
      <c r="J156" s="51">
        <v>2.2129629629629631E-2</v>
      </c>
      <c r="K156" t="s">
        <v>160</v>
      </c>
      <c r="L156" t="s">
        <v>1630</v>
      </c>
      <c r="M156" t="s">
        <v>1631</v>
      </c>
      <c r="N156" t="s">
        <v>336</v>
      </c>
      <c r="O156" t="s">
        <v>144</v>
      </c>
      <c r="P156" t="s">
        <v>165</v>
      </c>
      <c r="Q156" t="s">
        <v>166</v>
      </c>
      <c r="R156" t="s">
        <v>167</v>
      </c>
      <c r="S156" t="s">
        <v>168</v>
      </c>
      <c r="T156" t="s">
        <v>169</v>
      </c>
      <c r="U156" t="s">
        <v>229</v>
      </c>
      <c r="V156">
        <v>2</v>
      </c>
      <c r="W156" t="s">
        <v>170</v>
      </c>
      <c r="X156" t="s">
        <v>1634</v>
      </c>
      <c r="Y156" t="s">
        <v>153</v>
      </c>
      <c r="Z156" s="53" t="s">
        <v>1635</v>
      </c>
      <c r="AA156">
        <v>1</v>
      </c>
      <c r="AB156"/>
      <c r="AC156">
        <v>1</v>
      </c>
      <c r="AD156"/>
      <c r="AE156"/>
      <c r="AF156"/>
      <c r="BG156" t="str">
        <f t="shared" si="2"/>
        <v/>
      </c>
      <c r="BH156" s="3" t="str" cm="1">
        <f t="array" ref="BH156">IF(AE156=1, _xlfn.TEXTJOIN(" &amp; ", TRUE, _xlfn._xlws.FILTER($AG$2:$BC$2, AG156:BC156=1)), "")</f>
        <v/>
      </c>
    </row>
    <row r="157" spans="1:60" x14ac:dyDescent="0.3">
      <c r="A157" t="s">
        <v>1627</v>
      </c>
      <c r="B157" t="s">
        <v>1636</v>
      </c>
      <c r="C157" t="s">
        <v>1628</v>
      </c>
      <c r="D157">
        <v>2021</v>
      </c>
      <c r="E157" s="52" t="s">
        <v>1637</v>
      </c>
      <c r="F157">
        <v>529510</v>
      </c>
      <c r="G157">
        <v>532558</v>
      </c>
      <c r="H157" t="s">
        <v>1629</v>
      </c>
      <c r="I157" t="s">
        <v>1627</v>
      </c>
      <c r="J157" s="51">
        <v>2.2129629629629631E-2</v>
      </c>
      <c r="K157" t="s">
        <v>160</v>
      </c>
      <c r="L157" t="s">
        <v>1630</v>
      </c>
      <c r="M157" t="s">
        <v>1631</v>
      </c>
      <c r="N157" t="s">
        <v>336</v>
      </c>
      <c r="O157" t="s">
        <v>144</v>
      </c>
      <c r="P157" t="s">
        <v>165</v>
      </c>
      <c r="Q157" t="s">
        <v>166</v>
      </c>
      <c r="R157" t="s">
        <v>167</v>
      </c>
      <c r="S157" t="s">
        <v>168</v>
      </c>
      <c r="T157" t="s">
        <v>169</v>
      </c>
      <c r="U157" t="s">
        <v>229</v>
      </c>
      <c r="V157">
        <v>2</v>
      </c>
      <c r="W157" t="s">
        <v>170</v>
      </c>
      <c r="X157" t="s">
        <v>1638</v>
      </c>
      <c r="Y157" t="s">
        <v>153</v>
      </c>
      <c r="Z157" s="53" t="s">
        <v>1639</v>
      </c>
      <c r="AA157">
        <v>1</v>
      </c>
      <c r="AB157"/>
      <c r="AC157"/>
      <c r="AD157">
        <v>1</v>
      </c>
      <c r="AE157"/>
      <c r="AF157"/>
      <c r="BG157" t="str">
        <f t="shared" si="2"/>
        <v/>
      </c>
      <c r="BH157" s="3" t="str" cm="1">
        <f t="array" ref="BH157">IF(AE157=1, _xlfn.TEXTJOIN(" &amp; ", TRUE, _xlfn._xlws.FILTER($AG$2:$BC$2, AG157:BC157=1)), "")</f>
        <v/>
      </c>
    </row>
    <row r="158" spans="1:60" x14ac:dyDescent="0.3">
      <c r="A158" t="s">
        <v>1627</v>
      </c>
      <c r="B158" t="s">
        <v>1640</v>
      </c>
      <c r="C158" t="s">
        <v>1628</v>
      </c>
      <c r="D158">
        <v>2021</v>
      </c>
      <c r="E158" s="52" t="s">
        <v>1641</v>
      </c>
      <c r="F158">
        <v>1682410</v>
      </c>
      <c r="G158">
        <v>1685130</v>
      </c>
      <c r="H158" t="s">
        <v>1629</v>
      </c>
      <c r="I158" t="s">
        <v>1627</v>
      </c>
      <c r="J158" s="51">
        <v>2.2129629629629631E-2</v>
      </c>
      <c r="K158" t="s">
        <v>160</v>
      </c>
      <c r="L158" t="s">
        <v>1630</v>
      </c>
      <c r="M158" t="s">
        <v>1631</v>
      </c>
      <c r="N158" t="s">
        <v>336</v>
      </c>
      <c r="O158" t="s">
        <v>144</v>
      </c>
      <c r="P158" t="s">
        <v>165</v>
      </c>
      <c r="Q158" t="s">
        <v>166</v>
      </c>
      <c r="R158" t="s">
        <v>167</v>
      </c>
      <c r="S158" t="s">
        <v>168</v>
      </c>
      <c r="T158" t="s">
        <v>169</v>
      </c>
      <c r="U158" t="s">
        <v>229</v>
      </c>
      <c r="V158">
        <v>2</v>
      </c>
      <c r="W158" t="s">
        <v>170</v>
      </c>
      <c r="X158" t="s">
        <v>1642</v>
      </c>
      <c r="Y158" t="s">
        <v>153</v>
      </c>
      <c r="Z158" s="53" t="s">
        <v>1643</v>
      </c>
      <c r="AA158">
        <v>1</v>
      </c>
      <c r="AB158">
        <v>1</v>
      </c>
      <c r="AC158"/>
      <c r="AD158"/>
      <c r="AE158"/>
      <c r="AF158"/>
      <c r="BG158" t="str">
        <f t="shared" si="2"/>
        <v/>
      </c>
      <c r="BH158" s="3" t="str" cm="1">
        <f t="array" ref="BH158">IF(AE158=1, _xlfn.TEXTJOIN(" &amp; ", TRUE, _xlfn._xlws.FILTER($AG$2:$BC$2, AG158:BC158=1)), "")</f>
        <v/>
      </c>
    </row>
    <row r="159" spans="1:60" x14ac:dyDescent="0.3">
      <c r="A159" t="s">
        <v>1644</v>
      </c>
      <c r="B159" t="s">
        <v>1645</v>
      </c>
      <c r="C159" t="s">
        <v>1646</v>
      </c>
      <c r="D159">
        <v>2019</v>
      </c>
      <c r="E159" s="52" t="s">
        <v>1647</v>
      </c>
      <c r="F159">
        <v>1736777</v>
      </c>
      <c r="G159">
        <v>1738587</v>
      </c>
      <c r="H159" t="s">
        <v>1648</v>
      </c>
      <c r="I159" t="s">
        <v>1644</v>
      </c>
      <c r="J159" s="51">
        <v>3.1620370370370368E-2</v>
      </c>
      <c r="K159" t="s">
        <v>160</v>
      </c>
      <c r="L159" t="s">
        <v>1649</v>
      </c>
      <c r="M159" t="s">
        <v>1650</v>
      </c>
      <c r="N159" t="s">
        <v>286</v>
      </c>
      <c r="O159" t="s">
        <v>144</v>
      </c>
      <c r="P159" t="s">
        <v>145</v>
      </c>
      <c r="Q159" t="s">
        <v>146</v>
      </c>
      <c r="R159" t="s">
        <v>167</v>
      </c>
      <c r="S159" t="s">
        <v>148</v>
      </c>
      <c r="T159" t="s">
        <v>149</v>
      </c>
      <c r="U159" t="s">
        <v>151</v>
      </c>
      <c r="V159">
        <v>2</v>
      </c>
      <c r="W159" t="s">
        <v>170</v>
      </c>
      <c r="X159" t="s">
        <v>1651</v>
      </c>
      <c r="Y159" t="s">
        <v>153</v>
      </c>
      <c r="Z159" s="53" t="s">
        <v>1652</v>
      </c>
      <c r="AA159">
        <v>1</v>
      </c>
      <c r="AB159"/>
      <c r="AC159"/>
      <c r="AD159"/>
      <c r="AE159"/>
      <c r="AF159"/>
      <c r="BG159" t="str">
        <f t="shared" si="2"/>
        <v/>
      </c>
      <c r="BH159" s="3" t="str" cm="1">
        <f t="array" ref="BH159">IF(AE159=1, _xlfn.TEXTJOIN(" &amp; ", TRUE, _xlfn._xlws.FILTER($AG$2:$BC$2, AG159:BC159=1)), "")</f>
        <v/>
      </c>
    </row>
    <row r="160" spans="1:60" x14ac:dyDescent="0.3">
      <c r="A160" t="s">
        <v>1644</v>
      </c>
      <c r="B160" t="s">
        <v>1653</v>
      </c>
      <c r="C160" t="s">
        <v>1646</v>
      </c>
      <c r="D160">
        <v>2019</v>
      </c>
      <c r="E160" s="52" t="s">
        <v>1654</v>
      </c>
      <c r="F160">
        <v>2545064</v>
      </c>
      <c r="G160">
        <v>2549768</v>
      </c>
      <c r="H160" t="s">
        <v>1648</v>
      </c>
      <c r="I160" t="s">
        <v>1644</v>
      </c>
      <c r="J160" s="51">
        <v>3.1620370370370368E-2</v>
      </c>
      <c r="K160" t="s">
        <v>160</v>
      </c>
      <c r="L160" t="s">
        <v>1649</v>
      </c>
      <c r="M160" t="s">
        <v>1650</v>
      </c>
      <c r="N160" t="s">
        <v>286</v>
      </c>
      <c r="O160" t="s">
        <v>144</v>
      </c>
      <c r="P160" t="s">
        <v>145</v>
      </c>
      <c r="Q160" t="s">
        <v>146</v>
      </c>
      <c r="R160" t="s">
        <v>167</v>
      </c>
      <c r="S160" t="s">
        <v>148</v>
      </c>
      <c r="T160" t="s">
        <v>149</v>
      </c>
      <c r="U160" t="s">
        <v>151</v>
      </c>
      <c r="V160">
        <v>2</v>
      </c>
      <c r="W160" t="s">
        <v>170</v>
      </c>
      <c r="X160" t="s">
        <v>1655</v>
      </c>
      <c r="Y160" t="s">
        <v>153</v>
      </c>
      <c r="Z160" s="53" t="s">
        <v>1656</v>
      </c>
      <c r="AA160">
        <v>1</v>
      </c>
      <c r="AB160"/>
      <c r="AC160">
        <v>1</v>
      </c>
      <c r="AD160"/>
      <c r="AE160"/>
      <c r="AF160"/>
      <c r="BG160" t="str">
        <f t="shared" si="2"/>
        <v/>
      </c>
      <c r="BH160" s="3" t="str" cm="1">
        <f t="array" ref="BH160">IF(AE160=1, _xlfn.TEXTJOIN(" &amp; ", TRUE, _xlfn._xlws.FILTER($AG$2:$BC$2, AG160:BC160=1)), "")</f>
        <v/>
      </c>
    </row>
    <row r="161" spans="1:60" x14ac:dyDescent="0.3">
      <c r="A161" t="s">
        <v>366</v>
      </c>
      <c r="B161" t="s">
        <v>367</v>
      </c>
      <c r="C161" t="s">
        <v>368</v>
      </c>
      <c r="D161" t="s">
        <v>204</v>
      </c>
      <c r="E161" s="52" t="s">
        <v>369</v>
      </c>
      <c r="F161">
        <v>497648</v>
      </c>
      <c r="G161">
        <v>504517</v>
      </c>
      <c r="H161" t="s">
        <v>370</v>
      </c>
      <c r="I161" t="s">
        <v>366</v>
      </c>
      <c r="J161" s="51">
        <v>5.4560185185185184E-2</v>
      </c>
      <c r="K161" t="s">
        <v>140</v>
      </c>
      <c r="L161" t="s">
        <v>371</v>
      </c>
      <c r="M161" t="s">
        <v>372</v>
      </c>
      <c r="N161" t="s">
        <v>143</v>
      </c>
      <c r="O161" t="s">
        <v>144</v>
      </c>
      <c r="P161" t="s">
        <v>165</v>
      </c>
      <c r="Q161" t="s">
        <v>146</v>
      </c>
      <c r="R161" t="s">
        <v>147</v>
      </c>
      <c r="S161" t="s">
        <v>148</v>
      </c>
      <c r="T161" t="s">
        <v>373</v>
      </c>
      <c r="U161" t="s">
        <v>151</v>
      </c>
      <c r="V161">
        <v>4</v>
      </c>
      <c r="W161" t="s">
        <v>150</v>
      </c>
      <c r="X161" t="s">
        <v>374</v>
      </c>
      <c r="Y161" t="s">
        <v>153</v>
      </c>
      <c r="Z161" s="53" t="s">
        <v>375</v>
      </c>
      <c r="AA161">
        <v>1</v>
      </c>
      <c r="AB161">
        <v>1</v>
      </c>
      <c r="AC161"/>
      <c r="AD161"/>
      <c r="AE161"/>
      <c r="AF161"/>
      <c r="BG161" t="str">
        <f t="shared" si="2"/>
        <v/>
      </c>
      <c r="BH161" s="3" t="str" cm="1">
        <f t="array" ref="BH161">IF(AE161=1, _xlfn.TEXTJOIN(" &amp; ", TRUE, _xlfn._xlws.FILTER($AG$2:$BC$2, AG161:BC161=1)), "")</f>
        <v/>
      </c>
    </row>
    <row r="162" spans="1:60" x14ac:dyDescent="0.3">
      <c r="A162" t="s">
        <v>366</v>
      </c>
      <c r="B162" t="s">
        <v>1657</v>
      </c>
      <c r="C162" t="s">
        <v>368</v>
      </c>
      <c r="D162" t="s">
        <v>204</v>
      </c>
      <c r="E162" s="52" t="s">
        <v>1658</v>
      </c>
      <c r="F162">
        <v>2098385</v>
      </c>
      <c r="G162">
        <v>2099162</v>
      </c>
      <c r="H162" t="s">
        <v>1659</v>
      </c>
      <c r="I162" t="s">
        <v>366</v>
      </c>
      <c r="J162" s="51">
        <v>5.4560185185185184E-2</v>
      </c>
      <c r="K162" t="s">
        <v>140</v>
      </c>
      <c r="L162" t="s">
        <v>371</v>
      </c>
      <c r="M162" t="s">
        <v>372</v>
      </c>
      <c r="N162" t="s">
        <v>143</v>
      </c>
      <c r="O162" t="s">
        <v>144</v>
      </c>
      <c r="P162" t="s">
        <v>165</v>
      </c>
      <c r="Q162" t="s">
        <v>146</v>
      </c>
      <c r="R162" t="s">
        <v>147</v>
      </c>
      <c r="S162" t="s">
        <v>148</v>
      </c>
      <c r="T162" t="s">
        <v>169</v>
      </c>
      <c r="U162" t="s">
        <v>151</v>
      </c>
      <c r="V162">
        <v>4</v>
      </c>
      <c r="W162" t="s">
        <v>150</v>
      </c>
      <c r="X162" t="s">
        <v>1660</v>
      </c>
      <c r="Y162" t="s">
        <v>153</v>
      </c>
      <c r="Z162" s="53" t="s">
        <v>1661</v>
      </c>
      <c r="AA162">
        <v>1</v>
      </c>
      <c r="AB162"/>
      <c r="AC162">
        <v>1</v>
      </c>
      <c r="AD162"/>
      <c r="AE162"/>
      <c r="AF162"/>
      <c r="BG162" t="str">
        <f t="shared" si="2"/>
        <v/>
      </c>
      <c r="BH162" s="3" t="str" cm="1">
        <f t="array" ref="BH162">IF(AE162=1, _xlfn.TEXTJOIN(" &amp; ", TRUE, _xlfn._xlws.FILTER($AG$2:$BC$2, AG162:BC162=1)), "")</f>
        <v/>
      </c>
    </row>
    <row r="163" spans="1:60" x14ac:dyDescent="0.3">
      <c r="A163" t="s">
        <v>366</v>
      </c>
      <c r="B163" t="s">
        <v>1662</v>
      </c>
      <c r="C163" t="s">
        <v>368</v>
      </c>
      <c r="D163" t="s">
        <v>204</v>
      </c>
      <c r="E163" s="52" t="s">
        <v>1663</v>
      </c>
      <c r="F163">
        <v>2276262</v>
      </c>
      <c r="G163">
        <v>2278508</v>
      </c>
      <c r="H163" t="s">
        <v>1664</v>
      </c>
      <c r="I163" t="s">
        <v>366</v>
      </c>
      <c r="J163" s="51">
        <v>5.4560185185185184E-2</v>
      </c>
      <c r="K163" t="s">
        <v>140</v>
      </c>
      <c r="L163" t="s">
        <v>371</v>
      </c>
      <c r="M163" t="s">
        <v>372</v>
      </c>
      <c r="N163" t="s">
        <v>143</v>
      </c>
      <c r="O163" t="s">
        <v>144</v>
      </c>
      <c r="P163" t="s">
        <v>165</v>
      </c>
      <c r="Q163" t="s">
        <v>146</v>
      </c>
      <c r="R163" t="s">
        <v>147</v>
      </c>
      <c r="S163" t="s">
        <v>148</v>
      </c>
      <c r="T163" t="s">
        <v>169</v>
      </c>
      <c r="U163" t="s">
        <v>151</v>
      </c>
      <c r="V163">
        <v>4</v>
      </c>
      <c r="W163" t="s">
        <v>150</v>
      </c>
      <c r="X163" t="s">
        <v>1665</v>
      </c>
      <c r="Y163" t="s">
        <v>153</v>
      </c>
      <c r="Z163" s="53" t="s">
        <v>1666</v>
      </c>
      <c r="AA163">
        <v>1</v>
      </c>
      <c r="AB163"/>
      <c r="AC163"/>
      <c r="AD163">
        <v>1</v>
      </c>
      <c r="AE163"/>
      <c r="AF163"/>
      <c r="BG163" t="str">
        <f t="shared" si="2"/>
        <v/>
      </c>
      <c r="BH163" s="3" t="str" cm="1">
        <f t="array" ref="BH163">IF(AE163=1, _xlfn.TEXTJOIN(" &amp; ", TRUE, _xlfn._xlws.FILTER($AG$2:$BC$2, AG163:BC163=1)), "")</f>
        <v/>
      </c>
    </row>
    <row r="164" spans="1:60" x14ac:dyDescent="0.3">
      <c r="A164" t="s">
        <v>366</v>
      </c>
      <c r="B164" t="s">
        <v>1667</v>
      </c>
      <c r="C164" t="s">
        <v>368</v>
      </c>
      <c r="D164" t="s">
        <v>204</v>
      </c>
      <c r="E164" s="52" t="s">
        <v>1668</v>
      </c>
      <c r="F164">
        <v>3467903</v>
      </c>
      <c r="G164">
        <v>3469776</v>
      </c>
      <c r="H164" t="s">
        <v>1669</v>
      </c>
      <c r="I164" t="s">
        <v>366</v>
      </c>
      <c r="J164" s="51">
        <v>5.4560185185185184E-2</v>
      </c>
      <c r="K164" t="s">
        <v>140</v>
      </c>
      <c r="L164" t="s">
        <v>371</v>
      </c>
      <c r="M164" t="s">
        <v>372</v>
      </c>
      <c r="N164" t="s">
        <v>143</v>
      </c>
      <c r="O164" t="s">
        <v>144</v>
      </c>
      <c r="P164" t="s">
        <v>165</v>
      </c>
      <c r="Q164" t="s">
        <v>146</v>
      </c>
      <c r="R164" t="s">
        <v>147</v>
      </c>
      <c r="S164" t="s">
        <v>148</v>
      </c>
      <c r="T164" t="s">
        <v>666</v>
      </c>
      <c r="U164" t="s">
        <v>151</v>
      </c>
      <c r="V164">
        <v>4</v>
      </c>
      <c r="W164" t="s">
        <v>150</v>
      </c>
      <c r="X164" t="s">
        <v>1670</v>
      </c>
      <c r="Y164" t="s">
        <v>153</v>
      </c>
      <c r="Z164" s="53" t="s">
        <v>1671</v>
      </c>
      <c r="AA164">
        <v>1</v>
      </c>
      <c r="AB164"/>
      <c r="AC164">
        <v>1</v>
      </c>
      <c r="AD164"/>
      <c r="AE164"/>
      <c r="AF164"/>
      <c r="BG164" t="str">
        <f t="shared" si="2"/>
        <v/>
      </c>
      <c r="BH164" s="3" t="str" cm="1">
        <f t="array" ref="BH164">IF(AE164=1, _xlfn.TEXTJOIN(" &amp; ", TRUE, _xlfn._xlws.FILTER($AG$2:$BC$2, AG164:BC164=1)), "")</f>
        <v/>
      </c>
    </row>
    <row r="165" spans="1:60" x14ac:dyDescent="0.3">
      <c r="A165" t="s">
        <v>376</v>
      </c>
      <c r="B165" t="s">
        <v>1672</v>
      </c>
      <c r="C165" t="s">
        <v>377</v>
      </c>
      <c r="D165">
        <v>2021</v>
      </c>
      <c r="E165" s="52" t="s">
        <v>1673</v>
      </c>
      <c r="F165">
        <v>388650</v>
      </c>
      <c r="G165">
        <v>390141</v>
      </c>
      <c r="H165" t="s">
        <v>378</v>
      </c>
      <c r="I165" t="s">
        <v>376</v>
      </c>
      <c r="J165" s="51">
        <v>2.2407407407407407E-2</v>
      </c>
      <c r="K165" t="s">
        <v>140</v>
      </c>
      <c r="L165" t="s">
        <v>379</v>
      </c>
      <c r="M165" t="s">
        <v>380</v>
      </c>
      <c r="N165" t="s">
        <v>381</v>
      </c>
      <c r="O165" t="s">
        <v>144</v>
      </c>
      <c r="P165" t="s">
        <v>115</v>
      </c>
      <c r="Q165" t="s">
        <v>166</v>
      </c>
      <c r="R165" t="s">
        <v>147</v>
      </c>
      <c r="S165" t="s">
        <v>148</v>
      </c>
      <c r="T165" t="s">
        <v>189</v>
      </c>
      <c r="U165" t="s">
        <v>171</v>
      </c>
      <c r="V165">
        <v>3</v>
      </c>
      <c r="W165" t="s">
        <v>269</v>
      </c>
      <c r="X165" t="s">
        <v>1674</v>
      </c>
      <c r="Y165" t="s">
        <v>153</v>
      </c>
      <c r="Z165" s="53" t="s">
        <v>1675</v>
      </c>
      <c r="AA165">
        <v>1</v>
      </c>
      <c r="AB165">
        <v>1</v>
      </c>
      <c r="AC165"/>
      <c r="AD165"/>
      <c r="AE165"/>
      <c r="AF165"/>
      <c r="BG165" t="str">
        <f t="shared" si="2"/>
        <v/>
      </c>
      <c r="BH165" s="3" t="str" cm="1">
        <f t="array" ref="BH165">IF(AE165=1, _xlfn.TEXTJOIN(" &amp; ", TRUE, _xlfn._xlws.FILTER($AG$2:$BC$2, AG165:BC165=1)), "")</f>
        <v/>
      </c>
    </row>
    <row r="166" spans="1:60" x14ac:dyDescent="0.3">
      <c r="A166" t="s">
        <v>376</v>
      </c>
      <c r="B166" t="s">
        <v>1676</v>
      </c>
      <c r="C166" t="s">
        <v>377</v>
      </c>
      <c r="D166">
        <v>2021</v>
      </c>
      <c r="E166" s="52" t="s">
        <v>1677</v>
      </c>
      <c r="F166">
        <v>598263</v>
      </c>
      <c r="G166">
        <v>600565</v>
      </c>
      <c r="H166" t="s">
        <v>1678</v>
      </c>
      <c r="I166" t="s">
        <v>376</v>
      </c>
      <c r="J166" s="51">
        <v>2.2407407407407407E-2</v>
      </c>
      <c r="K166" t="s">
        <v>140</v>
      </c>
      <c r="L166" t="s">
        <v>379</v>
      </c>
      <c r="M166" t="s">
        <v>380</v>
      </c>
      <c r="N166" t="s">
        <v>143</v>
      </c>
      <c r="O166" t="s">
        <v>164</v>
      </c>
      <c r="P166" t="s">
        <v>115</v>
      </c>
      <c r="Q166" t="s">
        <v>146</v>
      </c>
      <c r="R166" t="s">
        <v>147</v>
      </c>
      <c r="S166" t="s">
        <v>148</v>
      </c>
      <c r="T166" t="s">
        <v>491</v>
      </c>
      <c r="U166" t="s">
        <v>151</v>
      </c>
      <c r="V166">
        <v>3</v>
      </c>
      <c r="W166" t="s">
        <v>269</v>
      </c>
      <c r="X166" t="s">
        <v>1679</v>
      </c>
      <c r="Y166" t="s">
        <v>153</v>
      </c>
      <c r="Z166" s="53" t="s">
        <v>1680</v>
      </c>
      <c r="AA166">
        <v>1</v>
      </c>
      <c r="AB166">
        <v>1</v>
      </c>
      <c r="AC166"/>
      <c r="AD166"/>
      <c r="AE166"/>
      <c r="AF166"/>
      <c r="BG166" t="str">
        <f t="shared" si="2"/>
        <v/>
      </c>
      <c r="BH166" s="3" t="str" cm="1">
        <f t="array" ref="BH166">IF(AE166=1, _xlfn.TEXTJOIN(" &amp; ", TRUE, _xlfn._xlws.FILTER($AG$2:$BC$2, AG166:BC166=1)), "")</f>
        <v/>
      </c>
    </row>
    <row r="167" spans="1:60" x14ac:dyDescent="0.3">
      <c r="A167" t="s">
        <v>376</v>
      </c>
      <c r="B167" t="s">
        <v>1681</v>
      </c>
      <c r="C167" t="s">
        <v>377</v>
      </c>
      <c r="D167">
        <v>2021</v>
      </c>
      <c r="E167" s="52" t="s">
        <v>1682</v>
      </c>
      <c r="F167">
        <v>1101220</v>
      </c>
      <c r="G167">
        <v>1103818</v>
      </c>
      <c r="H167" t="s">
        <v>1683</v>
      </c>
      <c r="I167" t="s">
        <v>376</v>
      </c>
      <c r="J167" s="51">
        <v>2.2407407407407407E-2</v>
      </c>
      <c r="K167" t="s">
        <v>140</v>
      </c>
      <c r="L167" t="s">
        <v>379</v>
      </c>
      <c r="M167" t="s">
        <v>380</v>
      </c>
      <c r="N167" t="s">
        <v>381</v>
      </c>
      <c r="O167" t="s">
        <v>164</v>
      </c>
      <c r="P167" t="s">
        <v>115</v>
      </c>
      <c r="Q167" t="s">
        <v>481</v>
      </c>
      <c r="R167" t="s">
        <v>147</v>
      </c>
      <c r="S167" t="s">
        <v>148</v>
      </c>
      <c r="T167" t="s">
        <v>491</v>
      </c>
      <c r="U167" t="s">
        <v>318</v>
      </c>
      <c r="V167">
        <v>3</v>
      </c>
      <c r="W167" t="s">
        <v>269</v>
      </c>
      <c r="X167" t="s">
        <v>1684</v>
      </c>
      <c r="Y167" t="s">
        <v>153</v>
      </c>
      <c r="Z167" s="53" t="s">
        <v>1685</v>
      </c>
      <c r="AA167">
        <v>1</v>
      </c>
      <c r="AB167">
        <v>1</v>
      </c>
      <c r="AC167"/>
      <c r="AD167"/>
      <c r="AE167"/>
      <c r="AF167"/>
      <c r="BG167" t="str">
        <f t="shared" si="2"/>
        <v/>
      </c>
      <c r="BH167" s="3" t="str" cm="1">
        <f t="array" ref="BH167">IF(AE167=1, _xlfn.TEXTJOIN(" &amp; ", TRUE, _xlfn._xlws.FILTER($AG$2:$BC$2, AG167:BC167=1)), "")</f>
        <v/>
      </c>
    </row>
    <row r="168" spans="1:60" x14ac:dyDescent="0.3">
      <c r="A168" t="s">
        <v>376</v>
      </c>
      <c r="B168" t="s">
        <v>1686</v>
      </c>
      <c r="C168" t="s">
        <v>377</v>
      </c>
      <c r="D168">
        <v>2021</v>
      </c>
      <c r="E168" s="52" t="s">
        <v>1687</v>
      </c>
      <c r="F168">
        <v>1363535</v>
      </c>
      <c r="G168">
        <v>1365397</v>
      </c>
      <c r="H168" t="s">
        <v>1683</v>
      </c>
      <c r="I168" t="s">
        <v>376</v>
      </c>
      <c r="J168" s="51">
        <v>2.2407407407407407E-2</v>
      </c>
      <c r="K168" t="s">
        <v>140</v>
      </c>
      <c r="L168" t="s">
        <v>379</v>
      </c>
      <c r="M168" t="s">
        <v>380</v>
      </c>
      <c r="N168" t="s">
        <v>381</v>
      </c>
      <c r="O168" t="s">
        <v>164</v>
      </c>
      <c r="P168" t="s">
        <v>115</v>
      </c>
      <c r="Q168" t="s">
        <v>481</v>
      </c>
      <c r="R168" t="s">
        <v>147</v>
      </c>
      <c r="S168" t="s">
        <v>148</v>
      </c>
      <c r="T168" t="s">
        <v>491</v>
      </c>
      <c r="U168" t="s">
        <v>318</v>
      </c>
      <c r="V168">
        <v>3</v>
      </c>
      <c r="W168" t="s">
        <v>269</v>
      </c>
      <c r="X168" t="s">
        <v>1688</v>
      </c>
      <c r="Y168" t="s">
        <v>153</v>
      </c>
      <c r="Z168" s="53" t="s">
        <v>1689</v>
      </c>
      <c r="AA168">
        <v>1</v>
      </c>
      <c r="AB168">
        <v>1</v>
      </c>
      <c r="AC168"/>
      <c r="AD168"/>
      <c r="AE168"/>
      <c r="AF168"/>
      <c r="BG168" t="str">
        <f t="shared" si="2"/>
        <v/>
      </c>
      <c r="BH168" s="3" t="str" cm="1">
        <f t="array" ref="BH168">IF(AE168=1, _xlfn.TEXTJOIN(" &amp; ", TRUE, _xlfn._xlws.FILTER($AG$2:$BC$2, AG168:BC168=1)), "")</f>
        <v/>
      </c>
    </row>
    <row r="169" spans="1:60" x14ac:dyDescent="0.3">
      <c r="A169" t="s">
        <v>1690</v>
      </c>
      <c r="B169" t="s">
        <v>1695</v>
      </c>
      <c r="C169" t="s">
        <v>1691</v>
      </c>
      <c r="D169">
        <v>2022</v>
      </c>
      <c r="E169" s="52" t="s">
        <v>1696</v>
      </c>
      <c r="F169">
        <v>1212023</v>
      </c>
      <c r="G169">
        <v>1215348</v>
      </c>
      <c r="H169" t="s">
        <v>1692</v>
      </c>
      <c r="I169" t="s">
        <v>1690</v>
      </c>
      <c r="J169" s="51">
        <v>2.7210648148148147E-2</v>
      </c>
      <c r="K169" t="s">
        <v>160</v>
      </c>
      <c r="L169" t="s">
        <v>1693</v>
      </c>
      <c r="M169" t="s">
        <v>1694</v>
      </c>
      <c r="N169" t="s">
        <v>143</v>
      </c>
      <c r="O169" t="s">
        <v>164</v>
      </c>
      <c r="P169" t="s">
        <v>165</v>
      </c>
      <c r="Q169" t="s">
        <v>527</v>
      </c>
      <c r="R169" t="s">
        <v>167</v>
      </c>
      <c r="S169" t="s">
        <v>168</v>
      </c>
      <c r="T169" t="s">
        <v>169</v>
      </c>
      <c r="U169" t="s">
        <v>171</v>
      </c>
      <c r="V169">
        <v>3</v>
      </c>
      <c r="W169" t="s">
        <v>170</v>
      </c>
      <c r="X169" t="s">
        <v>1697</v>
      </c>
      <c r="Y169" t="s">
        <v>153</v>
      </c>
      <c r="Z169" s="53" t="s">
        <v>1698</v>
      </c>
      <c r="AA169"/>
      <c r="AB169"/>
      <c r="AC169"/>
      <c r="AD169"/>
      <c r="AE169">
        <v>1</v>
      </c>
      <c r="AF169">
        <v>1</v>
      </c>
      <c r="AM169" s="7">
        <v>1</v>
      </c>
      <c r="AU169" s="21">
        <v>1</v>
      </c>
      <c r="BD169" s="3">
        <v>1</v>
      </c>
      <c r="BG169" t="str">
        <f t="shared" si="2"/>
        <v>Interazionale &amp; Metatestuale</v>
      </c>
      <c r="BH169" s="3" t="str" cm="1">
        <f t="array" ref="BH169">IF(AE169=1, _xlfn.TEXTJOIN(" &amp; ", TRUE, _xlfn._xlws.FILTER($AG$2:$BC$2, AG169:BC169=1)), "")</f>
        <v>Marcatura della conoscenza condivisa &amp; Esemplificazione</v>
      </c>
    </row>
    <row r="170" spans="1:60" x14ac:dyDescent="0.3">
      <c r="A170" t="s">
        <v>1690</v>
      </c>
      <c r="B170" t="s">
        <v>1699</v>
      </c>
      <c r="C170" t="s">
        <v>1691</v>
      </c>
      <c r="D170">
        <v>2022</v>
      </c>
      <c r="E170" s="52" t="s">
        <v>1700</v>
      </c>
      <c r="F170">
        <v>1215918</v>
      </c>
      <c r="G170">
        <v>1221992</v>
      </c>
      <c r="H170" t="s">
        <v>1692</v>
      </c>
      <c r="I170" t="s">
        <v>1690</v>
      </c>
      <c r="J170" s="51">
        <v>2.7210648148148147E-2</v>
      </c>
      <c r="K170" t="s">
        <v>160</v>
      </c>
      <c r="L170" t="s">
        <v>1693</v>
      </c>
      <c r="M170" t="s">
        <v>1694</v>
      </c>
      <c r="N170" t="s">
        <v>143</v>
      </c>
      <c r="O170" t="s">
        <v>164</v>
      </c>
      <c r="P170" t="s">
        <v>165</v>
      </c>
      <c r="Q170" t="s">
        <v>527</v>
      </c>
      <c r="R170" t="s">
        <v>167</v>
      </c>
      <c r="S170" t="s">
        <v>168</v>
      </c>
      <c r="T170" t="s">
        <v>169</v>
      </c>
      <c r="U170" t="s">
        <v>171</v>
      </c>
      <c r="V170">
        <v>3</v>
      </c>
      <c r="W170" t="s">
        <v>170</v>
      </c>
      <c r="X170" t="s">
        <v>1701</v>
      </c>
      <c r="Y170" t="s">
        <v>153</v>
      </c>
      <c r="Z170" s="53" t="s">
        <v>1702</v>
      </c>
      <c r="AA170">
        <v>1</v>
      </c>
      <c r="AB170">
        <v>1</v>
      </c>
      <c r="AC170"/>
      <c r="AD170"/>
      <c r="AE170"/>
      <c r="AF170"/>
      <c r="BG170" t="str">
        <f t="shared" si="2"/>
        <v/>
      </c>
      <c r="BH170" s="3" t="str" cm="1">
        <f t="array" ref="BH170">IF(AE170=1, _xlfn.TEXTJOIN(" &amp; ", TRUE, _xlfn._xlws.FILTER($AG$2:$BC$2, AG170:BC170=1)), "")</f>
        <v/>
      </c>
    </row>
    <row r="171" spans="1:60" x14ac:dyDescent="0.3">
      <c r="A171" t="s">
        <v>1690</v>
      </c>
      <c r="B171" t="s">
        <v>1703</v>
      </c>
      <c r="C171" t="s">
        <v>1691</v>
      </c>
      <c r="D171">
        <v>2022</v>
      </c>
      <c r="E171" s="52" t="s">
        <v>1700</v>
      </c>
      <c r="F171">
        <v>1215918</v>
      </c>
      <c r="G171">
        <v>1221992</v>
      </c>
      <c r="H171" t="s">
        <v>1692</v>
      </c>
      <c r="I171" t="s">
        <v>1690</v>
      </c>
      <c r="J171" s="51">
        <v>2.7210648148148147E-2</v>
      </c>
      <c r="K171" t="s">
        <v>160</v>
      </c>
      <c r="L171" t="s">
        <v>1693</v>
      </c>
      <c r="M171" t="s">
        <v>1694</v>
      </c>
      <c r="N171" t="s">
        <v>143</v>
      </c>
      <c r="O171" t="s">
        <v>164</v>
      </c>
      <c r="P171" t="s">
        <v>165</v>
      </c>
      <c r="Q171" t="s">
        <v>527</v>
      </c>
      <c r="R171" t="s">
        <v>167</v>
      </c>
      <c r="S171" t="s">
        <v>168</v>
      </c>
      <c r="T171" t="s">
        <v>169</v>
      </c>
      <c r="U171" t="s">
        <v>171</v>
      </c>
      <c r="V171">
        <v>3</v>
      </c>
      <c r="W171" t="s">
        <v>170</v>
      </c>
      <c r="X171" t="s">
        <v>1704</v>
      </c>
      <c r="Y171" t="s">
        <v>153</v>
      </c>
      <c r="Z171" s="53" t="s">
        <v>1705</v>
      </c>
      <c r="AA171">
        <v>1</v>
      </c>
      <c r="AB171">
        <v>1</v>
      </c>
      <c r="AC171"/>
      <c r="AD171"/>
      <c r="AE171"/>
      <c r="AF171"/>
      <c r="BG171" t="str">
        <f t="shared" si="2"/>
        <v/>
      </c>
      <c r="BH171" s="3" t="str" cm="1">
        <f t="array" ref="BH171">IF(AE171=1, _xlfn.TEXTJOIN(" &amp; ", TRUE, _xlfn._xlws.FILTER($AG$2:$BC$2, AG171:BC171=1)), "")</f>
        <v/>
      </c>
    </row>
    <row r="172" spans="1:60" x14ac:dyDescent="0.3">
      <c r="A172" t="s">
        <v>1690</v>
      </c>
      <c r="B172" t="s">
        <v>1706</v>
      </c>
      <c r="C172" t="s">
        <v>1691</v>
      </c>
      <c r="D172">
        <v>2022</v>
      </c>
      <c r="E172" s="52" t="s">
        <v>1707</v>
      </c>
      <c r="F172">
        <v>1727041</v>
      </c>
      <c r="G172">
        <v>1728329</v>
      </c>
      <c r="H172" t="s">
        <v>1692</v>
      </c>
      <c r="I172" t="s">
        <v>1690</v>
      </c>
      <c r="J172" s="51">
        <v>2.7210648148148147E-2</v>
      </c>
      <c r="K172" t="s">
        <v>160</v>
      </c>
      <c r="L172" t="s">
        <v>1693</v>
      </c>
      <c r="M172" t="s">
        <v>1694</v>
      </c>
      <c r="N172" t="s">
        <v>143</v>
      </c>
      <c r="O172" t="s">
        <v>164</v>
      </c>
      <c r="P172" t="s">
        <v>165</v>
      </c>
      <c r="Q172" t="s">
        <v>527</v>
      </c>
      <c r="R172" t="s">
        <v>167</v>
      </c>
      <c r="S172" t="s">
        <v>168</v>
      </c>
      <c r="T172" t="s">
        <v>169</v>
      </c>
      <c r="U172" t="s">
        <v>171</v>
      </c>
      <c r="V172">
        <v>3</v>
      </c>
      <c r="W172" t="s">
        <v>170</v>
      </c>
      <c r="X172" t="s">
        <v>1708</v>
      </c>
      <c r="Y172" t="s">
        <v>153</v>
      </c>
      <c r="Z172" s="53" t="s">
        <v>1709</v>
      </c>
      <c r="AA172"/>
      <c r="AB172"/>
      <c r="AC172"/>
      <c r="AD172"/>
      <c r="AE172">
        <v>1</v>
      </c>
      <c r="AF172"/>
      <c r="AL172" s="8">
        <v>1</v>
      </c>
      <c r="BG172" t="str">
        <f t="shared" si="2"/>
        <v>Interazionale</v>
      </c>
      <c r="BH172" s="3" t="str" cm="1">
        <f t="array" ref="BH172">IF(AE172=1, _xlfn.TEXTJOIN(" &amp; ", TRUE, _xlfn._xlws.FILTER($AG$2:$BC$2, AG172:BC172=1)), "")</f>
        <v>Cessione del turno</v>
      </c>
    </row>
    <row r="173" spans="1:60" x14ac:dyDescent="0.3">
      <c r="A173" t="s">
        <v>1690</v>
      </c>
      <c r="B173" t="s">
        <v>1710</v>
      </c>
      <c r="C173" t="s">
        <v>1691</v>
      </c>
      <c r="D173">
        <v>2022</v>
      </c>
      <c r="E173" s="52" t="s">
        <v>1711</v>
      </c>
      <c r="F173">
        <v>1756880</v>
      </c>
      <c r="G173">
        <v>1760964</v>
      </c>
      <c r="H173" t="s">
        <v>1692</v>
      </c>
      <c r="I173" t="s">
        <v>1690</v>
      </c>
      <c r="J173" s="51">
        <v>2.7210648148148147E-2</v>
      </c>
      <c r="K173" t="s">
        <v>160</v>
      </c>
      <c r="L173" t="s">
        <v>1693</v>
      </c>
      <c r="M173" t="s">
        <v>1694</v>
      </c>
      <c r="N173" t="s">
        <v>143</v>
      </c>
      <c r="O173" t="s">
        <v>164</v>
      </c>
      <c r="P173" t="s">
        <v>165</v>
      </c>
      <c r="Q173" t="s">
        <v>527</v>
      </c>
      <c r="R173" t="s">
        <v>167</v>
      </c>
      <c r="S173" t="s">
        <v>168</v>
      </c>
      <c r="T173" t="s">
        <v>169</v>
      </c>
      <c r="U173" t="s">
        <v>171</v>
      </c>
      <c r="V173">
        <v>3</v>
      </c>
      <c r="W173" t="s">
        <v>170</v>
      </c>
      <c r="X173" t="s">
        <v>1712</v>
      </c>
      <c r="Y173" t="s">
        <v>153</v>
      </c>
      <c r="Z173" s="53" t="s">
        <v>1713</v>
      </c>
      <c r="AA173">
        <v>1</v>
      </c>
      <c r="AB173">
        <v>1</v>
      </c>
      <c r="AC173"/>
      <c r="AD173"/>
      <c r="AE173"/>
      <c r="AF173"/>
      <c r="BG173" t="str">
        <f t="shared" si="2"/>
        <v/>
      </c>
      <c r="BH173" s="3" t="str" cm="1">
        <f t="array" ref="BH173">IF(AE173=1, _xlfn.TEXTJOIN(" &amp; ", TRUE, _xlfn._xlws.FILTER($AG$2:$BC$2, AG173:BC173=1)), "")</f>
        <v/>
      </c>
    </row>
    <row r="174" spans="1:60" x14ac:dyDescent="0.3">
      <c r="A174" t="s">
        <v>1690</v>
      </c>
      <c r="B174" t="s">
        <v>1714</v>
      </c>
      <c r="C174" t="s">
        <v>1691</v>
      </c>
      <c r="D174">
        <v>2022</v>
      </c>
      <c r="E174" s="52" t="s">
        <v>1715</v>
      </c>
      <c r="F174">
        <v>1903989</v>
      </c>
      <c r="G174">
        <v>1908544</v>
      </c>
      <c r="H174" t="s">
        <v>1692</v>
      </c>
      <c r="I174" t="s">
        <v>1690</v>
      </c>
      <c r="J174" s="51">
        <v>2.7210648148148147E-2</v>
      </c>
      <c r="K174" t="s">
        <v>160</v>
      </c>
      <c r="L174" t="s">
        <v>1693</v>
      </c>
      <c r="M174" t="s">
        <v>1694</v>
      </c>
      <c r="N174" t="s">
        <v>143</v>
      </c>
      <c r="O174" t="s">
        <v>164</v>
      </c>
      <c r="P174" t="s">
        <v>165</v>
      </c>
      <c r="Q174" t="s">
        <v>527</v>
      </c>
      <c r="R174" t="s">
        <v>167</v>
      </c>
      <c r="S174" t="s">
        <v>168</v>
      </c>
      <c r="T174" t="s">
        <v>169</v>
      </c>
      <c r="U174" t="s">
        <v>171</v>
      </c>
      <c r="V174">
        <v>3</v>
      </c>
      <c r="W174" t="s">
        <v>170</v>
      </c>
      <c r="X174" t="s">
        <v>1716</v>
      </c>
      <c r="Y174" t="s">
        <v>153</v>
      </c>
      <c r="Z174" s="53" t="s">
        <v>1717</v>
      </c>
      <c r="AA174"/>
      <c r="AB174"/>
      <c r="AC174"/>
      <c r="AD174"/>
      <c r="AE174">
        <v>1</v>
      </c>
      <c r="AF174"/>
      <c r="AM174" s="7">
        <v>1</v>
      </c>
      <c r="BG174" t="str">
        <f t="shared" si="2"/>
        <v>Interazionale</v>
      </c>
      <c r="BH174" s="3" t="str" cm="1">
        <f t="array" ref="BH174">IF(AE174=1, _xlfn.TEXTJOIN(" &amp; ", TRUE, _xlfn._xlws.FILTER($AG$2:$BC$2, AG174:BC174=1)), "")</f>
        <v>Marcatura della conoscenza condivisa</v>
      </c>
    </row>
    <row r="175" spans="1:60" x14ac:dyDescent="0.3">
      <c r="A175" t="s">
        <v>1690</v>
      </c>
      <c r="B175" t="s">
        <v>1718</v>
      </c>
      <c r="C175" t="s">
        <v>1691</v>
      </c>
      <c r="D175">
        <v>2022</v>
      </c>
      <c r="E175" s="52" t="s">
        <v>1719</v>
      </c>
      <c r="F175">
        <v>2135915</v>
      </c>
      <c r="G175">
        <v>2140525</v>
      </c>
      <c r="H175" t="s">
        <v>1692</v>
      </c>
      <c r="I175" t="s">
        <v>1690</v>
      </c>
      <c r="J175" s="51">
        <v>2.7210648148148147E-2</v>
      </c>
      <c r="K175" t="s">
        <v>160</v>
      </c>
      <c r="L175" t="s">
        <v>1693</v>
      </c>
      <c r="M175" t="s">
        <v>1694</v>
      </c>
      <c r="N175" t="s">
        <v>143</v>
      </c>
      <c r="O175" t="s">
        <v>164</v>
      </c>
      <c r="P175" t="s">
        <v>165</v>
      </c>
      <c r="Q175" t="s">
        <v>527</v>
      </c>
      <c r="R175" t="s">
        <v>167</v>
      </c>
      <c r="S175" t="s">
        <v>168</v>
      </c>
      <c r="T175" t="s">
        <v>169</v>
      </c>
      <c r="U175" t="s">
        <v>171</v>
      </c>
      <c r="V175">
        <v>3</v>
      </c>
      <c r="W175" t="s">
        <v>170</v>
      </c>
      <c r="X175" t="s">
        <v>1720</v>
      </c>
      <c r="Y175" t="s">
        <v>153</v>
      </c>
      <c r="Z175" s="53" t="s">
        <v>1721</v>
      </c>
      <c r="AA175"/>
      <c r="AB175"/>
      <c r="AC175"/>
      <c r="AD175"/>
      <c r="AE175">
        <v>1</v>
      </c>
      <c r="AF175">
        <v>1</v>
      </c>
      <c r="AM175" s="7">
        <v>1</v>
      </c>
      <c r="AP175" s="9">
        <v>1</v>
      </c>
      <c r="BD175" s="3">
        <v>1</v>
      </c>
      <c r="BG175" t="str">
        <f t="shared" si="2"/>
        <v>Interazionale &amp; Metatestuale</v>
      </c>
      <c r="BH175" s="3" t="str" cm="1">
        <f t="array" ref="BH175">IF(AE175=1, _xlfn.TEXTJOIN(" &amp; ", TRUE, _xlfn._xlws.FILTER($AG$2:$BC$2, AG175:BC175=1)), "")</f>
        <v>Marcatura della conoscenza condivisa &amp; Gestione del topic: introduzione o ripresa di topic</v>
      </c>
    </row>
    <row r="176" spans="1:60" x14ac:dyDescent="0.3">
      <c r="A176" t="s">
        <v>1690</v>
      </c>
      <c r="B176" t="s">
        <v>1722</v>
      </c>
      <c r="C176" t="s">
        <v>1691</v>
      </c>
      <c r="D176">
        <v>2022</v>
      </c>
      <c r="E176" s="52" t="s">
        <v>1723</v>
      </c>
      <c r="F176">
        <v>2161979</v>
      </c>
      <c r="G176">
        <v>2163239</v>
      </c>
      <c r="H176" t="s">
        <v>1692</v>
      </c>
      <c r="I176" t="s">
        <v>1690</v>
      </c>
      <c r="J176" s="51">
        <v>2.7210648148148147E-2</v>
      </c>
      <c r="K176" t="s">
        <v>160</v>
      </c>
      <c r="L176" t="s">
        <v>1693</v>
      </c>
      <c r="M176" t="s">
        <v>1694</v>
      </c>
      <c r="N176" t="s">
        <v>143</v>
      </c>
      <c r="O176" t="s">
        <v>164</v>
      </c>
      <c r="P176" t="s">
        <v>165</v>
      </c>
      <c r="Q176" t="s">
        <v>527</v>
      </c>
      <c r="R176" t="s">
        <v>167</v>
      </c>
      <c r="S176" t="s">
        <v>168</v>
      </c>
      <c r="T176" t="s">
        <v>169</v>
      </c>
      <c r="U176" t="s">
        <v>171</v>
      </c>
      <c r="V176">
        <v>3</v>
      </c>
      <c r="W176" t="s">
        <v>170</v>
      </c>
      <c r="X176" t="s">
        <v>1724</v>
      </c>
      <c r="Y176" t="s">
        <v>153</v>
      </c>
      <c r="Z176" s="53" t="s">
        <v>1725</v>
      </c>
      <c r="AA176"/>
      <c r="AB176"/>
      <c r="AC176"/>
      <c r="AD176"/>
      <c r="AE176">
        <v>1</v>
      </c>
      <c r="AF176">
        <v>1</v>
      </c>
      <c r="AV176" s="9">
        <v>1</v>
      </c>
      <c r="BG176" t="str">
        <f t="shared" si="2"/>
        <v>Metatestuale</v>
      </c>
      <c r="BH176" s="3" t="str" cm="1">
        <f t="array" ref="BH176">IF(AE176=1, _xlfn.TEXTJOIN(" &amp; ", TRUE, _xlfn._xlws.FILTER($AG$2:$BC$2, AG176:BC176=1)), "")</f>
        <v>Filler, riempimento dei tempi di formulazione</v>
      </c>
    </row>
    <row r="177" spans="1:60" x14ac:dyDescent="0.3">
      <c r="A177" t="s">
        <v>382</v>
      </c>
      <c r="B177" t="s">
        <v>1726</v>
      </c>
      <c r="C177" t="s">
        <v>384</v>
      </c>
      <c r="D177">
        <v>2022</v>
      </c>
      <c r="E177" s="52" t="s">
        <v>1727</v>
      </c>
      <c r="F177">
        <v>1283540</v>
      </c>
      <c r="G177">
        <v>1293614</v>
      </c>
      <c r="H177" t="s">
        <v>386</v>
      </c>
      <c r="I177" t="s">
        <v>382</v>
      </c>
      <c r="J177" s="51">
        <v>4.732638888888889E-2</v>
      </c>
      <c r="K177" t="s">
        <v>160</v>
      </c>
      <c r="L177" t="s">
        <v>387</v>
      </c>
      <c r="M177" t="s">
        <v>388</v>
      </c>
      <c r="N177" t="s">
        <v>178</v>
      </c>
      <c r="O177" t="s">
        <v>144</v>
      </c>
      <c r="P177" t="s">
        <v>165</v>
      </c>
      <c r="Q177" t="s">
        <v>179</v>
      </c>
      <c r="R177" t="s">
        <v>167</v>
      </c>
      <c r="S177" t="s">
        <v>168</v>
      </c>
      <c r="T177" t="s">
        <v>169</v>
      </c>
      <c r="U177" t="s">
        <v>171</v>
      </c>
      <c r="V177">
        <v>2</v>
      </c>
      <c r="W177" t="s">
        <v>170</v>
      </c>
      <c r="X177" t="s">
        <v>1728</v>
      </c>
      <c r="Y177" t="s">
        <v>153</v>
      </c>
      <c r="Z177" s="53" t="s">
        <v>1729</v>
      </c>
      <c r="AA177">
        <v>1</v>
      </c>
      <c r="AB177"/>
      <c r="AC177">
        <v>1</v>
      </c>
      <c r="AD177"/>
      <c r="AE177"/>
      <c r="AF177"/>
      <c r="BG177" t="str">
        <f t="shared" si="2"/>
        <v/>
      </c>
      <c r="BH177" s="3" t="str" cm="1">
        <f t="array" ref="BH177">IF(AE177=1, _xlfn.TEXTJOIN(" &amp; ", TRUE, _xlfn._xlws.FILTER($AG$2:$BC$2, AG177:BC177=1)), "")</f>
        <v/>
      </c>
    </row>
    <row r="178" spans="1:60" x14ac:dyDescent="0.3">
      <c r="A178" t="s">
        <v>382</v>
      </c>
      <c r="B178" t="s">
        <v>1730</v>
      </c>
      <c r="C178" t="s">
        <v>384</v>
      </c>
      <c r="D178">
        <v>2022</v>
      </c>
      <c r="E178" s="52" t="s">
        <v>1731</v>
      </c>
      <c r="F178">
        <v>1550280</v>
      </c>
      <c r="G178">
        <v>1554191</v>
      </c>
      <c r="H178" t="s">
        <v>386</v>
      </c>
      <c r="I178" t="s">
        <v>382</v>
      </c>
      <c r="J178" s="51">
        <v>4.732638888888889E-2</v>
      </c>
      <c r="K178" t="s">
        <v>160</v>
      </c>
      <c r="L178" t="s">
        <v>387</v>
      </c>
      <c r="M178" t="s">
        <v>388</v>
      </c>
      <c r="N178" t="s">
        <v>178</v>
      </c>
      <c r="O178" t="s">
        <v>144</v>
      </c>
      <c r="P178" t="s">
        <v>165</v>
      </c>
      <c r="Q178" t="s">
        <v>179</v>
      </c>
      <c r="R178" t="s">
        <v>167</v>
      </c>
      <c r="S178" t="s">
        <v>168</v>
      </c>
      <c r="T178" t="s">
        <v>169</v>
      </c>
      <c r="U178" t="s">
        <v>171</v>
      </c>
      <c r="V178">
        <v>2</v>
      </c>
      <c r="W178" t="s">
        <v>170</v>
      </c>
      <c r="X178" t="s">
        <v>1732</v>
      </c>
      <c r="Y178" t="s">
        <v>153</v>
      </c>
      <c r="Z178" s="53" t="s">
        <v>1733</v>
      </c>
      <c r="AA178"/>
      <c r="AB178"/>
      <c r="AC178"/>
      <c r="AD178"/>
      <c r="AE178">
        <v>1</v>
      </c>
      <c r="AF178"/>
      <c r="AH178" s="8">
        <v>1</v>
      </c>
      <c r="AM178" s="7">
        <v>1</v>
      </c>
      <c r="BD178" s="3">
        <v>1</v>
      </c>
      <c r="BG178" t="str">
        <f t="shared" si="2"/>
        <v>Interazionale</v>
      </c>
      <c r="BH178" s="3" t="str" cm="1">
        <f t="array" ref="BH178">IF(AE178=1, _xlfn.TEXTJOIN(" &amp; ", TRUE, _xlfn._xlws.FILTER($AG$2:$BC$2, AG178:BC178=1)), "")</f>
        <v>Richiesta di accordo/conferma &amp; Marcatura della conoscenza condivisa</v>
      </c>
    </row>
    <row r="179" spans="1:60" x14ac:dyDescent="0.3">
      <c r="A179" t="s">
        <v>382</v>
      </c>
      <c r="B179" t="s">
        <v>1734</v>
      </c>
      <c r="C179" t="s">
        <v>384</v>
      </c>
      <c r="D179">
        <v>2022</v>
      </c>
      <c r="E179" s="52" t="s">
        <v>1735</v>
      </c>
      <c r="F179">
        <v>1679291</v>
      </c>
      <c r="G179">
        <v>1683591</v>
      </c>
      <c r="H179" t="s">
        <v>386</v>
      </c>
      <c r="I179" t="s">
        <v>382</v>
      </c>
      <c r="J179" s="51">
        <v>4.732638888888889E-2</v>
      </c>
      <c r="K179" t="s">
        <v>160</v>
      </c>
      <c r="L179" t="s">
        <v>387</v>
      </c>
      <c r="M179" t="s">
        <v>388</v>
      </c>
      <c r="N179" t="s">
        <v>178</v>
      </c>
      <c r="O179" t="s">
        <v>144</v>
      </c>
      <c r="P179" t="s">
        <v>165</v>
      </c>
      <c r="Q179" t="s">
        <v>179</v>
      </c>
      <c r="R179" t="s">
        <v>167</v>
      </c>
      <c r="S179" t="s">
        <v>168</v>
      </c>
      <c r="T179" t="s">
        <v>169</v>
      </c>
      <c r="U179" t="s">
        <v>171</v>
      </c>
      <c r="V179">
        <v>2</v>
      </c>
      <c r="W179" t="s">
        <v>170</v>
      </c>
      <c r="X179" t="s">
        <v>1736</v>
      </c>
      <c r="Y179" t="s">
        <v>153</v>
      </c>
      <c r="Z179" s="53" t="s">
        <v>1737</v>
      </c>
      <c r="AA179">
        <v>1</v>
      </c>
      <c r="AB179"/>
      <c r="AC179">
        <v>1</v>
      </c>
      <c r="AD179"/>
      <c r="AE179"/>
      <c r="AF179"/>
      <c r="BG179" t="str">
        <f t="shared" si="2"/>
        <v/>
      </c>
      <c r="BH179" s="3" t="str" cm="1">
        <f t="array" ref="BH179">IF(AE179=1, _xlfn.TEXTJOIN(" &amp; ", TRUE, _xlfn._xlws.FILTER($AG$2:$BC$2, AG179:BC179=1)), "")</f>
        <v/>
      </c>
    </row>
    <row r="180" spans="1:60" x14ac:dyDescent="0.3">
      <c r="A180" t="s">
        <v>382</v>
      </c>
      <c r="B180" t="s">
        <v>1738</v>
      </c>
      <c r="C180" t="s">
        <v>384</v>
      </c>
      <c r="D180">
        <v>2022</v>
      </c>
      <c r="E180" s="52" t="s">
        <v>1739</v>
      </c>
      <c r="F180">
        <v>1874540</v>
      </c>
      <c r="G180">
        <v>1878591</v>
      </c>
      <c r="H180" t="s">
        <v>386</v>
      </c>
      <c r="I180" t="s">
        <v>382</v>
      </c>
      <c r="J180" s="51">
        <v>4.732638888888889E-2</v>
      </c>
      <c r="K180" t="s">
        <v>160</v>
      </c>
      <c r="L180" t="s">
        <v>387</v>
      </c>
      <c r="M180" t="s">
        <v>388</v>
      </c>
      <c r="N180" t="s">
        <v>178</v>
      </c>
      <c r="O180" t="s">
        <v>144</v>
      </c>
      <c r="P180" t="s">
        <v>165</v>
      </c>
      <c r="Q180" t="s">
        <v>179</v>
      </c>
      <c r="R180" t="s">
        <v>167</v>
      </c>
      <c r="S180" t="s">
        <v>168</v>
      </c>
      <c r="T180" t="s">
        <v>169</v>
      </c>
      <c r="U180" t="s">
        <v>171</v>
      </c>
      <c r="V180">
        <v>2</v>
      </c>
      <c r="W180" t="s">
        <v>170</v>
      </c>
      <c r="X180" t="s">
        <v>1740</v>
      </c>
      <c r="Y180" t="s">
        <v>153</v>
      </c>
      <c r="Z180" s="53" t="s">
        <v>1741</v>
      </c>
      <c r="AA180">
        <v>1</v>
      </c>
      <c r="AB180"/>
      <c r="AC180"/>
      <c r="AD180">
        <v>1</v>
      </c>
      <c r="AE180"/>
      <c r="AF180"/>
      <c r="BG180" t="str">
        <f t="shared" si="2"/>
        <v/>
      </c>
      <c r="BH180" s="3" t="str" cm="1">
        <f t="array" ref="BH180">IF(AE180=1, _xlfn.TEXTJOIN(" &amp; ", TRUE, _xlfn._xlws.FILTER($AG$2:$BC$2, AG180:BC180=1)), "")</f>
        <v/>
      </c>
    </row>
    <row r="181" spans="1:60" x14ac:dyDescent="0.3">
      <c r="A181" t="s">
        <v>382</v>
      </c>
      <c r="B181" t="s">
        <v>1742</v>
      </c>
      <c r="C181" t="s">
        <v>384</v>
      </c>
      <c r="D181">
        <v>2022</v>
      </c>
      <c r="E181" s="52" t="s">
        <v>1743</v>
      </c>
      <c r="F181">
        <v>1963093</v>
      </c>
      <c r="G181">
        <v>1968391</v>
      </c>
      <c r="H181" t="s">
        <v>386</v>
      </c>
      <c r="I181" t="s">
        <v>382</v>
      </c>
      <c r="J181" s="51">
        <v>4.732638888888889E-2</v>
      </c>
      <c r="K181" t="s">
        <v>160</v>
      </c>
      <c r="L181" t="s">
        <v>387</v>
      </c>
      <c r="M181" t="s">
        <v>388</v>
      </c>
      <c r="N181" t="s">
        <v>178</v>
      </c>
      <c r="O181" t="s">
        <v>144</v>
      </c>
      <c r="P181" t="s">
        <v>165</v>
      </c>
      <c r="Q181" t="s">
        <v>179</v>
      </c>
      <c r="R181" t="s">
        <v>167</v>
      </c>
      <c r="S181" t="s">
        <v>168</v>
      </c>
      <c r="T181" t="s">
        <v>169</v>
      </c>
      <c r="U181" t="s">
        <v>171</v>
      </c>
      <c r="V181">
        <v>2</v>
      </c>
      <c r="W181" t="s">
        <v>170</v>
      </c>
      <c r="X181" t="s">
        <v>1744</v>
      </c>
      <c r="Y181" t="s">
        <v>153</v>
      </c>
      <c r="Z181" s="53" t="s">
        <v>1745</v>
      </c>
      <c r="AA181">
        <v>1</v>
      </c>
      <c r="AB181"/>
      <c r="AC181"/>
      <c r="AD181">
        <v>1</v>
      </c>
      <c r="AE181"/>
      <c r="AF181"/>
      <c r="BG181" t="str">
        <f t="shared" si="2"/>
        <v/>
      </c>
      <c r="BH181" s="3" t="str" cm="1">
        <f t="array" ref="BH181">IF(AE181=1, _xlfn.TEXTJOIN(" &amp; ", TRUE, _xlfn._xlws.FILTER($AG$2:$BC$2, AG181:BC181=1)), "")</f>
        <v/>
      </c>
    </row>
    <row r="182" spans="1:60" x14ac:dyDescent="0.3">
      <c r="A182" t="s">
        <v>382</v>
      </c>
      <c r="B182" t="s">
        <v>1746</v>
      </c>
      <c r="C182" t="s">
        <v>384</v>
      </c>
      <c r="D182">
        <v>2022</v>
      </c>
      <c r="E182" s="52" t="s">
        <v>1747</v>
      </c>
      <c r="F182">
        <v>2021691</v>
      </c>
      <c r="G182">
        <v>2025760</v>
      </c>
      <c r="H182" t="s">
        <v>386</v>
      </c>
      <c r="I182" t="s">
        <v>382</v>
      </c>
      <c r="J182" s="51">
        <v>4.732638888888889E-2</v>
      </c>
      <c r="K182" t="s">
        <v>160</v>
      </c>
      <c r="L182" t="s">
        <v>387</v>
      </c>
      <c r="M182" t="s">
        <v>388</v>
      </c>
      <c r="N182" t="s">
        <v>178</v>
      </c>
      <c r="O182" t="s">
        <v>144</v>
      </c>
      <c r="P182" t="s">
        <v>165</v>
      </c>
      <c r="Q182" t="s">
        <v>179</v>
      </c>
      <c r="R182" t="s">
        <v>167</v>
      </c>
      <c r="S182" t="s">
        <v>168</v>
      </c>
      <c r="T182" t="s">
        <v>169</v>
      </c>
      <c r="U182" t="s">
        <v>171</v>
      </c>
      <c r="V182">
        <v>2</v>
      </c>
      <c r="W182" t="s">
        <v>170</v>
      </c>
      <c r="X182" t="s">
        <v>1748</v>
      </c>
      <c r="Y182" t="s">
        <v>153</v>
      </c>
      <c r="Z182" s="53" t="s">
        <v>1749</v>
      </c>
      <c r="AA182">
        <v>1</v>
      </c>
      <c r="AB182"/>
      <c r="AC182">
        <v>1</v>
      </c>
      <c r="AD182"/>
      <c r="AE182"/>
      <c r="AF182"/>
      <c r="BG182" t="str">
        <f t="shared" si="2"/>
        <v/>
      </c>
      <c r="BH182" s="3" t="str" cm="1">
        <f t="array" ref="BH182">IF(AE182=1, _xlfn.TEXTJOIN(" &amp; ", TRUE, _xlfn._xlws.FILTER($AG$2:$BC$2, AG182:BC182=1)), "")</f>
        <v/>
      </c>
    </row>
    <row r="183" spans="1:60" x14ac:dyDescent="0.3">
      <c r="A183" t="s">
        <v>382</v>
      </c>
      <c r="B183" t="s">
        <v>383</v>
      </c>
      <c r="C183" t="s">
        <v>384</v>
      </c>
      <c r="D183">
        <v>2022</v>
      </c>
      <c r="E183" s="52" t="s">
        <v>385</v>
      </c>
      <c r="F183">
        <v>2219181</v>
      </c>
      <c r="G183">
        <v>2227381</v>
      </c>
      <c r="H183" t="s">
        <v>386</v>
      </c>
      <c r="I183" t="s">
        <v>382</v>
      </c>
      <c r="J183" s="51">
        <v>4.732638888888889E-2</v>
      </c>
      <c r="K183" t="s">
        <v>160</v>
      </c>
      <c r="L183" t="s">
        <v>387</v>
      </c>
      <c r="M183" t="s">
        <v>388</v>
      </c>
      <c r="N183" t="s">
        <v>178</v>
      </c>
      <c r="O183" t="s">
        <v>144</v>
      </c>
      <c r="P183" t="s">
        <v>165</v>
      </c>
      <c r="Q183" t="s">
        <v>179</v>
      </c>
      <c r="R183" t="s">
        <v>167</v>
      </c>
      <c r="S183" t="s">
        <v>168</v>
      </c>
      <c r="T183" t="s">
        <v>169</v>
      </c>
      <c r="U183" t="s">
        <v>171</v>
      </c>
      <c r="V183">
        <v>2</v>
      </c>
      <c r="W183" t="s">
        <v>170</v>
      </c>
      <c r="X183" t="s">
        <v>389</v>
      </c>
      <c r="Y183" t="s">
        <v>153</v>
      </c>
      <c r="Z183" s="53" t="s">
        <v>390</v>
      </c>
      <c r="AA183">
        <v>1</v>
      </c>
      <c r="AB183">
        <v>1</v>
      </c>
      <c r="AC183"/>
      <c r="AD183"/>
      <c r="AE183"/>
      <c r="AF183"/>
      <c r="BG183" t="str">
        <f t="shared" si="2"/>
        <v/>
      </c>
      <c r="BH183" s="3" t="str" cm="1">
        <f t="array" ref="BH183">IF(AE183=1, _xlfn.TEXTJOIN(" &amp; ", TRUE, _xlfn._xlws.FILTER($AG$2:$BC$2, AG183:BC183=1)), "")</f>
        <v/>
      </c>
    </row>
    <row r="184" spans="1:60" x14ac:dyDescent="0.3">
      <c r="A184" t="s">
        <v>382</v>
      </c>
      <c r="B184" t="s">
        <v>391</v>
      </c>
      <c r="C184" t="s">
        <v>384</v>
      </c>
      <c r="D184">
        <v>2022</v>
      </c>
      <c r="E184" s="52" t="s">
        <v>392</v>
      </c>
      <c r="F184">
        <v>2491510</v>
      </c>
      <c r="G184">
        <v>2497191</v>
      </c>
      <c r="H184" t="s">
        <v>386</v>
      </c>
      <c r="I184" t="s">
        <v>382</v>
      </c>
      <c r="J184" s="51">
        <v>4.732638888888889E-2</v>
      </c>
      <c r="K184" t="s">
        <v>160</v>
      </c>
      <c r="L184" t="s">
        <v>387</v>
      </c>
      <c r="M184" t="s">
        <v>388</v>
      </c>
      <c r="N184" t="s">
        <v>178</v>
      </c>
      <c r="O184" t="s">
        <v>144</v>
      </c>
      <c r="P184" t="s">
        <v>165</v>
      </c>
      <c r="Q184" t="s">
        <v>179</v>
      </c>
      <c r="R184" t="s">
        <v>167</v>
      </c>
      <c r="S184" t="s">
        <v>168</v>
      </c>
      <c r="T184" t="s">
        <v>169</v>
      </c>
      <c r="U184" t="s">
        <v>171</v>
      </c>
      <c r="V184">
        <v>2</v>
      </c>
      <c r="W184" t="s">
        <v>170</v>
      </c>
      <c r="X184" t="s">
        <v>393</v>
      </c>
      <c r="Y184" t="s">
        <v>153</v>
      </c>
      <c r="Z184" s="53" t="s">
        <v>394</v>
      </c>
      <c r="AA184"/>
      <c r="AB184"/>
      <c r="AC184"/>
      <c r="AD184"/>
      <c r="AE184">
        <v>1</v>
      </c>
      <c r="AF184"/>
      <c r="AM184" s="7">
        <v>1</v>
      </c>
      <c r="BG184" t="str">
        <f t="shared" si="2"/>
        <v>Interazionale</v>
      </c>
      <c r="BH184" s="3" t="str" cm="1">
        <f t="array" ref="BH184">IF(AE184=1, _xlfn.TEXTJOIN(" &amp; ", TRUE, _xlfn._xlws.FILTER($AG$2:$BC$2, AG184:BC184=1)), "")</f>
        <v>Marcatura della conoscenza condivisa</v>
      </c>
    </row>
    <row r="185" spans="1:60" x14ac:dyDescent="0.3">
      <c r="A185" t="s">
        <v>382</v>
      </c>
      <c r="B185" t="s">
        <v>1750</v>
      </c>
      <c r="C185" t="s">
        <v>384</v>
      </c>
      <c r="D185">
        <v>2022</v>
      </c>
      <c r="E185" s="52" t="s">
        <v>1751</v>
      </c>
      <c r="F185">
        <v>2555120</v>
      </c>
      <c r="G185">
        <v>2558152</v>
      </c>
      <c r="H185" t="s">
        <v>386</v>
      </c>
      <c r="I185" t="s">
        <v>382</v>
      </c>
      <c r="J185" s="51">
        <v>4.732638888888889E-2</v>
      </c>
      <c r="K185" t="s">
        <v>160</v>
      </c>
      <c r="L185" t="s">
        <v>387</v>
      </c>
      <c r="M185" t="s">
        <v>388</v>
      </c>
      <c r="N185" t="s">
        <v>178</v>
      </c>
      <c r="O185" t="s">
        <v>144</v>
      </c>
      <c r="P185" t="s">
        <v>165</v>
      </c>
      <c r="Q185" t="s">
        <v>179</v>
      </c>
      <c r="R185" t="s">
        <v>167</v>
      </c>
      <c r="S185" t="s">
        <v>168</v>
      </c>
      <c r="T185" t="s">
        <v>169</v>
      </c>
      <c r="U185" t="s">
        <v>171</v>
      </c>
      <c r="V185">
        <v>2</v>
      </c>
      <c r="W185" t="s">
        <v>170</v>
      </c>
      <c r="X185" t="s">
        <v>1752</v>
      </c>
      <c r="Y185" t="s">
        <v>153</v>
      </c>
      <c r="Z185" s="53" t="s">
        <v>1753</v>
      </c>
      <c r="AA185">
        <v>1</v>
      </c>
      <c r="AB185">
        <v>1</v>
      </c>
      <c r="AC185"/>
      <c r="AD185"/>
      <c r="AE185"/>
      <c r="AF185"/>
      <c r="BG185" t="str">
        <f t="shared" si="2"/>
        <v/>
      </c>
      <c r="BH185" s="3" t="str" cm="1">
        <f t="array" ref="BH185">IF(AE185=1, _xlfn.TEXTJOIN(" &amp; ", TRUE, _xlfn._xlws.FILTER($AG$2:$BC$2, AG185:BC185=1)), "")</f>
        <v/>
      </c>
    </row>
    <row r="186" spans="1:60" x14ac:dyDescent="0.3">
      <c r="A186" t="s">
        <v>395</v>
      </c>
      <c r="B186" t="s">
        <v>1754</v>
      </c>
      <c r="C186" t="s">
        <v>396</v>
      </c>
      <c r="D186">
        <v>2019</v>
      </c>
      <c r="E186" s="52" t="s">
        <v>1755</v>
      </c>
      <c r="F186">
        <v>2007054</v>
      </c>
      <c r="G186">
        <v>2009644</v>
      </c>
      <c r="H186" t="s">
        <v>397</v>
      </c>
      <c r="I186" t="s">
        <v>395</v>
      </c>
      <c r="J186" s="51">
        <v>7.9907407407407413E-2</v>
      </c>
      <c r="K186" t="s">
        <v>160</v>
      </c>
      <c r="L186" t="s">
        <v>398</v>
      </c>
      <c r="M186" t="s">
        <v>399</v>
      </c>
      <c r="N186" t="s">
        <v>246</v>
      </c>
      <c r="O186" t="s">
        <v>164</v>
      </c>
      <c r="P186" t="s">
        <v>145</v>
      </c>
      <c r="Q186" t="s">
        <v>228</v>
      </c>
      <c r="R186" t="s">
        <v>167</v>
      </c>
      <c r="S186" t="s">
        <v>168</v>
      </c>
      <c r="T186" t="s">
        <v>400</v>
      </c>
      <c r="U186" t="s">
        <v>229</v>
      </c>
      <c r="V186">
        <v>2</v>
      </c>
      <c r="W186" t="s">
        <v>170</v>
      </c>
      <c r="X186" t="s">
        <v>1756</v>
      </c>
      <c r="Y186" t="s">
        <v>153</v>
      </c>
      <c r="Z186" s="53" t="s">
        <v>1757</v>
      </c>
      <c r="AA186"/>
      <c r="AB186"/>
      <c r="AC186"/>
      <c r="AD186"/>
      <c r="AE186">
        <v>1</v>
      </c>
      <c r="AF186"/>
      <c r="AS186" s="21">
        <v>1</v>
      </c>
      <c r="BG186" t="str">
        <f t="shared" si="2"/>
        <v>Metatestuale</v>
      </c>
      <c r="BH186" s="3" t="str" cm="1">
        <f t="array" ref="BH186">IF(AE186=1, _xlfn.TEXTJOIN(" &amp; ", TRUE, _xlfn._xlws.FILTER($AG$2:$BC$2, AG186:BC186=1)), "")</f>
        <v>Riformulazione</v>
      </c>
    </row>
    <row r="187" spans="1:60" x14ac:dyDescent="0.3">
      <c r="A187" t="s">
        <v>395</v>
      </c>
      <c r="B187" t="s">
        <v>1758</v>
      </c>
      <c r="C187" t="s">
        <v>396</v>
      </c>
      <c r="D187">
        <v>2019</v>
      </c>
      <c r="E187" s="52" t="s">
        <v>1759</v>
      </c>
      <c r="F187">
        <v>2102323</v>
      </c>
      <c r="G187">
        <v>2106528</v>
      </c>
      <c r="H187" t="s">
        <v>397</v>
      </c>
      <c r="I187" t="s">
        <v>395</v>
      </c>
      <c r="J187" s="51">
        <v>7.9907407407407413E-2</v>
      </c>
      <c r="K187" t="s">
        <v>160</v>
      </c>
      <c r="L187" t="s">
        <v>398</v>
      </c>
      <c r="M187" t="s">
        <v>399</v>
      </c>
      <c r="N187" t="s">
        <v>246</v>
      </c>
      <c r="O187" t="s">
        <v>164</v>
      </c>
      <c r="P187" t="s">
        <v>145</v>
      </c>
      <c r="Q187" t="s">
        <v>228</v>
      </c>
      <c r="R187" t="s">
        <v>167</v>
      </c>
      <c r="S187" t="s">
        <v>168</v>
      </c>
      <c r="T187" t="s">
        <v>400</v>
      </c>
      <c r="U187" t="s">
        <v>229</v>
      </c>
      <c r="V187">
        <v>2</v>
      </c>
      <c r="W187" t="s">
        <v>170</v>
      </c>
      <c r="X187" t="s">
        <v>1760</v>
      </c>
      <c r="Y187" t="s">
        <v>153</v>
      </c>
      <c r="Z187" s="53" t="s">
        <v>1761</v>
      </c>
      <c r="AA187"/>
      <c r="AB187"/>
      <c r="AC187"/>
      <c r="AD187"/>
      <c r="AE187">
        <v>1</v>
      </c>
      <c r="AF187"/>
      <c r="AM187" s="7">
        <v>1</v>
      </c>
      <c r="AX187" s="23">
        <v>1</v>
      </c>
      <c r="BD187" s="3">
        <v>1</v>
      </c>
      <c r="BG187" t="str">
        <f t="shared" si="2"/>
        <v>Interazionale &amp; Cognitiva</v>
      </c>
      <c r="BH187" s="3" t="str" cm="1">
        <f t="array" ref="BH187">IF(AE187=1, _xlfn.TEXTJOIN(" &amp; ", TRUE, _xlfn._xlws.FILTER($AG$2:$BC$2, AG187:BC187=1)), "")</f>
        <v>Marcatura della conoscenza condivisa &amp; Marcatura dell'inferenza</v>
      </c>
    </row>
    <row r="188" spans="1:60" x14ac:dyDescent="0.3">
      <c r="A188" t="s">
        <v>395</v>
      </c>
      <c r="B188" t="s">
        <v>1762</v>
      </c>
      <c r="C188" t="s">
        <v>396</v>
      </c>
      <c r="D188">
        <v>2019</v>
      </c>
      <c r="E188" s="52" t="s">
        <v>1763</v>
      </c>
      <c r="F188">
        <v>2512419</v>
      </c>
      <c r="G188">
        <v>2513419</v>
      </c>
      <c r="H188" t="s">
        <v>397</v>
      </c>
      <c r="I188" t="s">
        <v>395</v>
      </c>
      <c r="J188" s="51">
        <v>7.9907407407407413E-2</v>
      </c>
      <c r="K188" t="s">
        <v>160</v>
      </c>
      <c r="L188" t="s">
        <v>398</v>
      </c>
      <c r="M188" t="s">
        <v>399</v>
      </c>
      <c r="N188" t="s">
        <v>246</v>
      </c>
      <c r="O188" t="s">
        <v>164</v>
      </c>
      <c r="P188" t="s">
        <v>145</v>
      </c>
      <c r="Q188" t="s">
        <v>228</v>
      </c>
      <c r="R188" t="s">
        <v>167</v>
      </c>
      <c r="S188" t="s">
        <v>168</v>
      </c>
      <c r="T188" t="s">
        <v>400</v>
      </c>
      <c r="U188" t="s">
        <v>229</v>
      </c>
      <c r="V188">
        <v>2</v>
      </c>
      <c r="W188" t="s">
        <v>170</v>
      </c>
      <c r="X188" t="s">
        <v>1764</v>
      </c>
      <c r="Y188" t="s">
        <v>153</v>
      </c>
      <c r="Z188" s="53" t="s">
        <v>1765</v>
      </c>
      <c r="AA188"/>
      <c r="AB188"/>
      <c r="AC188"/>
      <c r="AD188"/>
      <c r="AE188">
        <v>1</v>
      </c>
      <c r="AF188"/>
      <c r="AM188" s="7">
        <v>1</v>
      </c>
      <c r="BG188" t="str">
        <f t="shared" si="2"/>
        <v>Interazionale</v>
      </c>
      <c r="BH188" s="3" t="str" cm="1">
        <f t="array" ref="BH188">IF(AE188=1, _xlfn.TEXTJOIN(" &amp; ", TRUE, _xlfn._xlws.FILTER($AG$2:$BC$2, AG188:BC188=1)), "")</f>
        <v>Marcatura della conoscenza condivisa</v>
      </c>
    </row>
    <row r="189" spans="1:60" x14ac:dyDescent="0.3">
      <c r="A189" t="s">
        <v>395</v>
      </c>
      <c r="B189" t="s">
        <v>1766</v>
      </c>
      <c r="C189" t="s">
        <v>396</v>
      </c>
      <c r="D189">
        <v>2019</v>
      </c>
      <c r="E189" s="52" t="s">
        <v>1767</v>
      </c>
      <c r="F189">
        <v>3482743</v>
      </c>
      <c r="G189">
        <v>3484239</v>
      </c>
      <c r="H189" t="s">
        <v>397</v>
      </c>
      <c r="I189" t="s">
        <v>395</v>
      </c>
      <c r="J189" s="51">
        <v>7.9907407407407413E-2</v>
      </c>
      <c r="K189" t="s">
        <v>160</v>
      </c>
      <c r="L189" t="s">
        <v>398</v>
      </c>
      <c r="M189" t="s">
        <v>399</v>
      </c>
      <c r="N189" t="s">
        <v>246</v>
      </c>
      <c r="O189" t="s">
        <v>164</v>
      </c>
      <c r="P189" t="s">
        <v>145</v>
      </c>
      <c r="Q189" t="s">
        <v>228</v>
      </c>
      <c r="R189" t="s">
        <v>167</v>
      </c>
      <c r="S189" t="s">
        <v>168</v>
      </c>
      <c r="T189" t="s">
        <v>400</v>
      </c>
      <c r="U189" t="s">
        <v>229</v>
      </c>
      <c r="V189">
        <v>2</v>
      </c>
      <c r="W189" t="s">
        <v>170</v>
      </c>
      <c r="X189" t="s">
        <v>1768</v>
      </c>
      <c r="Y189" t="s">
        <v>153</v>
      </c>
      <c r="Z189" s="53" t="s">
        <v>1769</v>
      </c>
      <c r="AA189"/>
      <c r="AB189"/>
      <c r="AC189"/>
      <c r="AD189"/>
      <c r="AE189">
        <v>1</v>
      </c>
      <c r="AF189"/>
      <c r="AM189" s="7">
        <v>1</v>
      </c>
      <c r="BG189" t="str">
        <f t="shared" si="2"/>
        <v>Interazionale</v>
      </c>
      <c r="BH189" s="3" t="str" cm="1">
        <f t="array" ref="BH189">IF(AE189=1, _xlfn.TEXTJOIN(" &amp; ", TRUE, _xlfn._xlws.FILTER($AG$2:$BC$2, AG189:BC189=1)), "")</f>
        <v>Marcatura della conoscenza condivisa</v>
      </c>
    </row>
    <row r="190" spans="1:60" x14ac:dyDescent="0.3">
      <c r="A190" t="s">
        <v>1770</v>
      </c>
      <c r="B190" t="s">
        <v>1771</v>
      </c>
      <c r="C190" t="s">
        <v>1772</v>
      </c>
      <c r="D190" t="s">
        <v>204</v>
      </c>
      <c r="E190" s="52" t="s">
        <v>1773</v>
      </c>
      <c r="F190">
        <v>172201</v>
      </c>
      <c r="G190">
        <v>178341</v>
      </c>
      <c r="H190" t="s">
        <v>1774</v>
      </c>
      <c r="I190" t="s">
        <v>1770</v>
      </c>
      <c r="J190" s="51">
        <v>2.2060185185185186E-2</v>
      </c>
      <c r="K190" t="s">
        <v>140</v>
      </c>
      <c r="L190" s="52" t="s">
        <v>1775</v>
      </c>
      <c r="M190" t="s">
        <v>1776</v>
      </c>
      <c r="N190" t="s">
        <v>143</v>
      </c>
      <c r="O190" t="s">
        <v>144</v>
      </c>
      <c r="P190" t="s">
        <v>145</v>
      </c>
      <c r="Q190" t="s">
        <v>146</v>
      </c>
      <c r="R190" t="s">
        <v>147</v>
      </c>
      <c r="S190" t="s">
        <v>148</v>
      </c>
      <c r="T190" t="s">
        <v>149</v>
      </c>
      <c r="U190" t="s">
        <v>151</v>
      </c>
      <c r="V190">
        <v>3</v>
      </c>
      <c r="W190" t="s">
        <v>150</v>
      </c>
      <c r="X190" t="s">
        <v>1777</v>
      </c>
      <c r="Y190" t="s">
        <v>153</v>
      </c>
      <c r="Z190" s="53" t="s">
        <v>1778</v>
      </c>
      <c r="AA190">
        <v>1</v>
      </c>
      <c r="AB190">
        <v>1</v>
      </c>
      <c r="AC190"/>
      <c r="AD190"/>
      <c r="AE190"/>
      <c r="AF190"/>
      <c r="BG190" t="str">
        <f t="shared" si="2"/>
        <v/>
      </c>
      <c r="BH190" s="3" t="str" cm="1">
        <f t="array" ref="BH190">IF(AE190=1, _xlfn.TEXTJOIN(" &amp; ", TRUE, _xlfn._xlws.FILTER($AG$2:$BC$2, AG190:BC190=1)), "")</f>
        <v/>
      </c>
    </row>
    <row r="191" spans="1:60" x14ac:dyDescent="0.3">
      <c r="A191" t="s">
        <v>1770</v>
      </c>
      <c r="B191" t="s">
        <v>1779</v>
      </c>
      <c r="C191" t="s">
        <v>1772</v>
      </c>
      <c r="D191" t="s">
        <v>204</v>
      </c>
      <c r="E191" s="52" t="s">
        <v>1780</v>
      </c>
      <c r="F191">
        <v>699026</v>
      </c>
      <c r="G191">
        <v>699723</v>
      </c>
      <c r="H191" t="s">
        <v>1774</v>
      </c>
      <c r="I191" t="s">
        <v>1770</v>
      </c>
      <c r="J191" s="51">
        <v>2.2060185185185186E-2</v>
      </c>
      <c r="K191" t="s">
        <v>140</v>
      </c>
      <c r="L191" t="s">
        <v>1775</v>
      </c>
      <c r="M191" t="s">
        <v>1776</v>
      </c>
      <c r="N191" t="s">
        <v>143</v>
      </c>
      <c r="O191" t="s">
        <v>144</v>
      </c>
      <c r="P191" t="s">
        <v>145</v>
      </c>
      <c r="Q191" t="s">
        <v>146</v>
      </c>
      <c r="R191" t="s">
        <v>147</v>
      </c>
      <c r="S191" t="s">
        <v>148</v>
      </c>
      <c r="T191" t="s">
        <v>149</v>
      </c>
      <c r="U191" t="s">
        <v>151</v>
      </c>
      <c r="V191">
        <v>3</v>
      </c>
      <c r="W191" t="s">
        <v>150</v>
      </c>
      <c r="X191" t="s">
        <v>1781</v>
      </c>
      <c r="Y191" t="s">
        <v>153</v>
      </c>
      <c r="Z191" s="53" t="s">
        <v>1782</v>
      </c>
      <c r="AA191">
        <v>1</v>
      </c>
      <c r="AB191"/>
      <c r="AC191">
        <v>1</v>
      </c>
      <c r="AD191"/>
      <c r="AE191"/>
      <c r="AF191"/>
      <c r="BG191" t="str">
        <f t="shared" si="2"/>
        <v/>
      </c>
      <c r="BH191" s="3" t="str" cm="1">
        <f t="array" ref="BH191">IF(AE191=1, _xlfn.TEXTJOIN(" &amp; ", TRUE, _xlfn._xlws.FILTER($AG$2:$BC$2, AG191:BC191=1)), "")</f>
        <v/>
      </c>
    </row>
    <row r="192" spans="1:60" x14ac:dyDescent="0.3">
      <c r="A192" t="s">
        <v>1770</v>
      </c>
      <c r="B192" t="s">
        <v>1783</v>
      </c>
      <c r="C192" t="s">
        <v>1772</v>
      </c>
      <c r="D192" t="s">
        <v>204</v>
      </c>
      <c r="E192" s="52" t="s">
        <v>1784</v>
      </c>
      <c r="F192">
        <v>1584206</v>
      </c>
      <c r="G192">
        <v>1589193</v>
      </c>
      <c r="H192" t="s">
        <v>1774</v>
      </c>
      <c r="I192" t="s">
        <v>1770</v>
      </c>
      <c r="J192" s="51">
        <v>2.2060185185185186E-2</v>
      </c>
      <c r="K192" t="s">
        <v>140</v>
      </c>
      <c r="L192" t="s">
        <v>1775</v>
      </c>
      <c r="M192" t="s">
        <v>1776</v>
      </c>
      <c r="N192" t="s">
        <v>143</v>
      </c>
      <c r="O192" t="s">
        <v>144</v>
      </c>
      <c r="P192" t="s">
        <v>145</v>
      </c>
      <c r="Q192" t="s">
        <v>146</v>
      </c>
      <c r="R192" t="s">
        <v>147</v>
      </c>
      <c r="S192" t="s">
        <v>148</v>
      </c>
      <c r="T192" t="s">
        <v>149</v>
      </c>
      <c r="U192" t="s">
        <v>151</v>
      </c>
      <c r="V192">
        <v>3</v>
      </c>
      <c r="W192" t="s">
        <v>150</v>
      </c>
      <c r="X192" t="s">
        <v>1785</v>
      </c>
      <c r="Y192" t="s">
        <v>153</v>
      </c>
      <c r="Z192" s="53" t="s">
        <v>1786</v>
      </c>
      <c r="AA192">
        <v>1</v>
      </c>
      <c r="AB192">
        <v>1</v>
      </c>
      <c r="AC192"/>
      <c r="AD192"/>
      <c r="AE192"/>
      <c r="AF192"/>
      <c r="BG192" t="str">
        <f t="shared" si="2"/>
        <v/>
      </c>
      <c r="BH192" s="3" t="str" cm="1">
        <f t="array" ref="BH192">IF(AE192=1, _xlfn.TEXTJOIN(" &amp; ", TRUE, _xlfn._xlws.FILTER($AG$2:$BC$2, AG192:BC192=1)), "")</f>
        <v/>
      </c>
    </row>
    <row r="193" spans="1:60" x14ac:dyDescent="0.3">
      <c r="A193" t="s">
        <v>1770</v>
      </c>
      <c r="B193" t="s">
        <v>1787</v>
      </c>
      <c r="C193" t="s">
        <v>1772</v>
      </c>
      <c r="D193" t="s">
        <v>204</v>
      </c>
      <c r="E193" s="52" t="s">
        <v>1788</v>
      </c>
      <c r="F193">
        <v>1841821</v>
      </c>
      <c r="G193">
        <v>1845332</v>
      </c>
      <c r="H193" t="s">
        <v>1774</v>
      </c>
      <c r="I193" t="s">
        <v>1770</v>
      </c>
      <c r="J193" s="51">
        <v>2.2060185185185186E-2</v>
      </c>
      <c r="K193" t="s">
        <v>140</v>
      </c>
      <c r="L193" t="s">
        <v>1775</v>
      </c>
      <c r="M193" t="s">
        <v>1776</v>
      </c>
      <c r="N193" t="s">
        <v>143</v>
      </c>
      <c r="O193" t="s">
        <v>144</v>
      </c>
      <c r="P193" t="s">
        <v>145</v>
      </c>
      <c r="Q193" t="s">
        <v>146</v>
      </c>
      <c r="R193" t="s">
        <v>147</v>
      </c>
      <c r="S193" t="s">
        <v>148</v>
      </c>
      <c r="T193" t="s">
        <v>149</v>
      </c>
      <c r="U193" t="s">
        <v>151</v>
      </c>
      <c r="V193">
        <v>3</v>
      </c>
      <c r="W193" t="s">
        <v>150</v>
      </c>
      <c r="X193" t="s">
        <v>1789</v>
      </c>
      <c r="Y193" t="s">
        <v>153</v>
      </c>
      <c r="Z193" s="53" t="s">
        <v>1790</v>
      </c>
      <c r="AA193"/>
      <c r="AB193"/>
      <c r="AC193"/>
      <c r="AD193"/>
      <c r="AE193">
        <v>1</v>
      </c>
      <c r="AF193"/>
      <c r="AM193" s="7">
        <v>1</v>
      </c>
      <c r="BG193" t="str">
        <f t="shared" si="2"/>
        <v>Interazionale</v>
      </c>
      <c r="BH193" s="3" t="str" cm="1">
        <f t="array" ref="BH193">IF(AE193=1, _xlfn.TEXTJOIN(" &amp; ", TRUE, _xlfn._xlws.FILTER($AG$2:$BC$2, AG193:BC193=1)), "")</f>
        <v>Marcatura della conoscenza condivisa</v>
      </c>
    </row>
    <row r="194" spans="1:60" x14ac:dyDescent="0.3">
      <c r="A194" t="s">
        <v>1791</v>
      </c>
      <c r="B194" t="s">
        <v>1795</v>
      </c>
      <c r="C194" t="s">
        <v>1792</v>
      </c>
      <c r="D194">
        <v>2022</v>
      </c>
      <c r="E194" s="52" t="s">
        <v>1796</v>
      </c>
      <c r="F194">
        <v>1760509</v>
      </c>
      <c r="G194">
        <v>1761870</v>
      </c>
      <c r="H194" t="s">
        <v>1797</v>
      </c>
      <c r="I194" t="s">
        <v>1791</v>
      </c>
      <c r="J194" s="51">
        <v>2.6064814814814815E-2</v>
      </c>
      <c r="K194" t="s">
        <v>160</v>
      </c>
      <c r="L194" t="s">
        <v>1793</v>
      </c>
      <c r="M194" t="s">
        <v>1794</v>
      </c>
      <c r="N194" t="s">
        <v>143</v>
      </c>
      <c r="O194" t="s">
        <v>164</v>
      </c>
      <c r="P194" t="s">
        <v>165</v>
      </c>
      <c r="Q194" t="s">
        <v>146</v>
      </c>
      <c r="R194" t="s">
        <v>167</v>
      </c>
      <c r="S194" t="s">
        <v>168</v>
      </c>
      <c r="T194" t="s">
        <v>491</v>
      </c>
      <c r="U194" t="s">
        <v>151</v>
      </c>
      <c r="V194">
        <v>3</v>
      </c>
      <c r="W194" t="s">
        <v>170</v>
      </c>
      <c r="X194" t="s">
        <v>1798</v>
      </c>
      <c r="Y194" t="s">
        <v>153</v>
      </c>
      <c r="Z194" s="53" t="s">
        <v>1799</v>
      </c>
      <c r="AA194">
        <v>1</v>
      </c>
      <c r="AB194"/>
      <c r="AC194">
        <v>1</v>
      </c>
      <c r="AD194"/>
      <c r="AE194"/>
      <c r="AF194"/>
      <c r="BG194" t="str">
        <f t="shared" si="2"/>
        <v/>
      </c>
      <c r="BH194" s="3" t="str" cm="1">
        <f t="array" ref="BH194">IF(AE194=1, _xlfn.TEXTJOIN(" &amp; ", TRUE, _xlfn._xlws.FILTER($AG$2:$BC$2, AG194:BC194=1)), "")</f>
        <v/>
      </c>
    </row>
    <row r="195" spans="1:60" x14ac:dyDescent="0.3">
      <c r="A195" t="s">
        <v>1800</v>
      </c>
      <c r="B195" t="s">
        <v>1805</v>
      </c>
      <c r="C195" t="s">
        <v>1801</v>
      </c>
      <c r="D195">
        <v>2022</v>
      </c>
      <c r="E195" s="52" t="s">
        <v>1806</v>
      </c>
      <c r="F195">
        <v>4254720</v>
      </c>
      <c r="G195">
        <v>4258300</v>
      </c>
      <c r="H195" t="s">
        <v>1802</v>
      </c>
      <c r="I195" t="s">
        <v>1800</v>
      </c>
      <c r="J195" s="51">
        <v>6.7094907407407409E-2</v>
      </c>
      <c r="K195" t="s">
        <v>160</v>
      </c>
      <c r="L195" t="s">
        <v>1803</v>
      </c>
      <c r="M195" t="s">
        <v>1804</v>
      </c>
      <c r="N195" t="s">
        <v>227</v>
      </c>
      <c r="O195" t="s">
        <v>164</v>
      </c>
      <c r="P195" t="s">
        <v>165</v>
      </c>
      <c r="Q195" t="s">
        <v>179</v>
      </c>
      <c r="R195" t="s">
        <v>167</v>
      </c>
      <c r="S195" t="s">
        <v>168</v>
      </c>
      <c r="T195" t="s">
        <v>169</v>
      </c>
      <c r="U195" t="s">
        <v>229</v>
      </c>
      <c r="V195">
        <v>3</v>
      </c>
      <c r="W195" t="s">
        <v>170</v>
      </c>
      <c r="X195" t="s">
        <v>1807</v>
      </c>
      <c r="Y195" t="s">
        <v>153</v>
      </c>
      <c r="Z195" s="53" t="s">
        <v>1808</v>
      </c>
      <c r="AA195">
        <v>1</v>
      </c>
      <c r="AB195"/>
      <c r="AC195"/>
      <c r="AD195"/>
      <c r="AE195"/>
      <c r="AF195"/>
      <c r="BG195" t="str">
        <f t="shared" si="2"/>
        <v/>
      </c>
      <c r="BH195" s="3" t="str" cm="1">
        <f t="array" ref="BH195">IF(AE195=1, _xlfn.TEXTJOIN(" &amp; ", TRUE, _xlfn._xlws.FILTER($AG$2:$BC$2, AG195:BC195=1)), "")</f>
        <v/>
      </c>
    </row>
    <row r="196" spans="1:60" x14ac:dyDescent="0.3">
      <c r="A196" t="s">
        <v>401</v>
      </c>
      <c r="B196" t="s">
        <v>1809</v>
      </c>
      <c r="C196" t="s">
        <v>403</v>
      </c>
      <c r="D196">
        <v>2022</v>
      </c>
      <c r="E196" s="52" t="s">
        <v>1810</v>
      </c>
      <c r="F196">
        <v>1693494</v>
      </c>
      <c r="G196">
        <v>1698547</v>
      </c>
      <c r="H196" t="s">
        <v>405</v>
      </c>
      <c r="I196" t="s">
        <v>401</v>
      </c>
      <c r="J196" s="51">
        <v>2.6249999999999999E-2</v>
      </c>
      <c r="K196" t="s">
        <v>160</v>
      </c>
      <c r="L196" t="s">
        <v>406</v>
      </c>
      <c r="M196" t="s">
        <v>407</v>
      </c>
      <c r="N196" t="s">
        <v>227</v>
      </c>
      <c r="O196" t="s">
        <v>164</v>
      </c>
      <c r="P196" t="s">
        <v>165</v>
      </c>
      <c r="Q196" t="s">
        <v>179</v>
      </c>
      <c r="R196" t="s">
        <v>167</v>
      </c>
      <c r="S196" t="s">
        <v>168</v>
      </c>
      <c r="T196" t="s">
        <v>169</v>
      </c>
      <c r="U196" t="s">
        <v>318</v>
      </c>
      <c r="V196">
        <v>2</v>
      </c>
      <c r="W196" t="s">
        <v>170</v>
      </c>
      <c r="X196" t="s">
        <v>1811</v>
      </c>
      <c r="Y196" t="s">
        <v>153</v>
      </c>
      <c r="Z196" s="53" t="s">
        <v>1812</v>
      </c>
      <c r="AA196">
        <v>1</v>
      </c>
      <c r="AB196"/>
      <c r="AC196">
        <v>1</v>
      </c>
      <c r="AD196"/>
      <c r="AE196"/>
      <c r="AF196"/>
      <c r="BG196" t="str">
        <f t="shared" ref="BG196:BG259" si="3">IF(AE196=1,_xlfn.TEXTJOIN(" &amp; ", TRUE,
    IF(COUNTIF(AG196:AO196,1)&gt;0,"Interazionale",""),
    IF(COUNTIF(AP196:AW196,1)&gt;0,"Metatestuale",""),
    IF(COUNTIF(AX196:BC196,1)&gt;0,"Cognitiva","")
),"")</f>
        <v/>
      </c>
      <c r="BH196" s="3" t="str" cm="1">
        <f t="array" ref="BH196">IF(AE196=1, _xlfn.TEXTJOIN(" &amp; ", TRUE, _xlfn._xlws.FILTER($AG$2:$BC$2, AG196:BC196=1)), "")</f>
        <v/>
      </c>
    </row>
    <row r="197" spans="1:60" x14ac:dyDescent="0.3">
      <c r="A197" t="s">
        <v>401</v>
      </c>
      <c r="B197" t="s">
        <v>1813</v>
      </c>
      <c r="C197" t="s">
        <v>403</v>
      </c>
      <c r="D197">
        <v>2022</v>
      </c>
      <c r="E197" s="52" t="s">
        <v>1814</v>
      </c>
      <c r="F197">
        <v>2056747</v>
      </c>
      <c r="G197">
        <v>2059973</v>
      </c>
      <c r="H197" t="s">
        <v>405</v>
      </c>
      <c r="I197" t="s">
        <v>401</v>
      </c>
      <c r="J197" s="51">
        <v>2.6249999999999999E-2</v>
      </c>
      <c r="K197" t="s">
        <v>160</v>
      </c>
      <c r="L197" t="s">
        <v>406</v>
      </c>
      <c r="M197" t="s">
        <v>407</v>
      </c>
      <c r="N197" t="s">
        <v>227</v>
      </c>
      <c r="O197" t="s">
        <v>164</v>
      </c>
      <c r="P197" t="s">
        <v>165</v>
      </c>
      <c r="Q197" t="s">
        <v>179</v>
      </c>
      <c r="R197" t="s">
        <v>167</v>
      </c>
      <c r="S197" t="s">
        <v>168</v>
      </c>
      <c r="T197" t="s">
        <v>169</v>
      </c>
      <c r="U197" t="s">
        <v>318</v>
      </c>
      <c r="V197">
        <v>2</v>
      </c>
      <c r="W197" t="s">
        <v>170</v>
      </c>
      <c r="X197" t="s">
        <v>1815</v>
      </c>
      <c r="Y197" t="s">
        <v>153</v>
      </c>
      <c r="Z197" s="53" t="s">
        <v>1816</v>
      </c>
      <c r="AA197">
        <v>1</v>
      </c>
      <c r="AB197"/>
      <c r="AC197">
        <v>1</v>
      </c>
      <c r="AD197"/>
      <c r="AE197"/>
      <c r="AF197"/>
      <c r="BG197" t="str">
        <f t="shared" si="3"/>
        <v/>
      </c>
      <c r="BH197" s="3" t="str" cm="1">
        <f t="array" ref="BH197">IF(AE197=1, _xlfn.TEXTJOIN(" &amp; ", TRUE, _xlfn._xlws.FILTER($AG$2:$BC$2, AG197:BC197=1)), "")</f>
        <v/>
      </c>
    </row>
    <row r="198" spans="1:60" x14ac:dyDescent="0.3">
      <c r="A198" t="s">
        <v>401</v>
      </c>
      <c r="B198" t="s">
        <v>1817</v>
      </c>
      <c r="C198" t="s">
        <v>403</v>
      </c>
      <c r="D198">
        <v>2022</v>
      </c>
      <c r="E198" s="52" t="s">
        <v>1818</v>
      </c>
      <c r="F198">
        <v>2067233</v>
      </c>
      <c r="G198">
        <v>2069693</v>
      </c>
      <c r="H198" t="s">
        <v>405</v>
      </c>
      <c r="I198" t="s">
        <v>401</v>
      </c>
      <c r="J198" s="51">
        <v>2.6249999999999999E-2</v>
      </c>
      <c r="K198" t="s">
        <v>160</v>
      </c>
      <c r="L198" t="s">
        <v>406</v>
      </c>
      <c r="M198" t="s">
        <v>407</v>
      </c>
      <c r="N198" t="s">
        <v>227</v>
      </c>
      <c r="O198" t="s">
        <v>164</v>
      </c>
      <c r="P198" t="s">
        <v>165</v>
      </c>
      <c r="Q198" t="s">
        <v>179</v>
      </c>
      <c r="R198" t="s">
        <v>167</v>
      </c>
      <c r="S198" t="s">
        <v>168</v>
      </c>
      <c r="T198" t="s">
        <v>169</v>
      </c>
      <c r="U198" t="s">
        <v>318</v>
      </c>
      <c r="V198">
        <v>2</v>
      </c>
      <c r="W198" t="s">
        <v>170</v>
      </c>
      <c r="X198" t="s">
        <v>1819</v>
      </c>
      <c r="Y198" t="s">
        <v>153</v>
      </c>
      <c r="Z198" s="53" t="s">
        <v>1820</v>
      </c>
      <c r="AA198"/>
      <c r="AB198"/>
      <c r="AC198"/>
      <c r="AD198"/>
      <c r="AE198">
        <v>1</v>
      </c>
      <c r="AF198"/>
      <c r="AM198" s="7">
        <v>1</v>
      </c>
      <c r="BG198" t="str">
        <f t="shared" si="3"/>
        <v>Interazionale</v>
      </c>
      <c r="BH198" s="3" t="str" cm="1">
        <f t="array" ref="BH198">IF(AE198=1, _xlfn.TEXTJOIN(" &amp; ", TRUE, _xlfn._xlws.FILTER($AG$2:$BC$2, AG198:BC198=1)), "")</f>
        <v>Marcatura della conoscenza condivisa</v>
      </c>
    </row>
    <row r="199" spans="1:60" ht="18" customHeight="1" x14ac:dyDescent="0.3">
      <c r="A199" t="s">
        <v>401</v>
      </c>
      <c r="B199" t="s">
        <v>402</v>
      </c>
      <c r="C199" t="s">
        <v>403</v>
      </c>
      <c r="D199">
        <v>2022</v>
      </c>
      <c r="E199" s="52" t="s">
        <v>404</v>
      </c>
      <c r="F199">
        <v>2176880</v>
      </c>
      <c r="G199">
        <v>2179187</v>
      </c>
      <c r="H199" t="s">
        <v>405</v>
      </c>
      <c r="I199" t="s">
        <v>401</v>
      </c>
      <c r="J199" s="51">
        <v>2.6249999999999999E-2</v>
      </c>
      <c r="K199" t="s">
        <v>160</v>
      </c>
      <c r="L199" t="s">
        <v>406</v>
      </c>
      <c r="M199" t="s">
        <v>407</v>
      </c>
      <c r="N199" t="s">
        <v>227</v>
      </c>
      <c r="O199" t="s">
        <v>164</v>
      </c>
      <c r="P199" t="s">
        <v>165</v>
      </c>
      <c r="Q199" t="s">
        <v>179</v>
      </c>
      <c r="R199" t="s">
        <v>167</v>
      </c>
      <c r="S199" t="s">
        <v>168</v>
      </c>
      <c r="T199" t="s">
        <v>169</v>
      </c>
      <c r="U199" t="s">
        <v>318</v>
      </c>
      <c r="V199">
        <v>2</v>
      </c>
      <c r="W199" t="s">
        <v>170</v>
      </c>
      <c r="X199" t="s">
        <v>408</v>
      </c>
      <c r="Y199" t="s">
        <v>153</v>
      </c>
      <c r="Z199" s="53" t="s">
        <v>409</v>
      </c>
      <c r="AA199"/>
      <c r="AB199"/>
      <c r="AC199"/>
      <c r="AD199"/>
      <c r="AE199">
        <v>1</v>
      </c>
      <c r="AF199"/>
      <c r="AM199" s="7">
        <v>1</v>
      </c>
      <c r="AU199" s="21">
        <v>1</v>
      </c>
      <c r="BD199" s="3">
        <v>1</v>
      </c>
      <c r="BG199" t="str">
        <f t="shared" si="3"/>
        <v>Interazionale &amp; Metatestuale</v>
      </c>
      <c r="BH199" s="3" t="str" cm="1">
        <f t="array" ref="BH199">IF(AE199=1, _xlfn.TEXTJOIN(" &amp; ", TRUE, _xlfn._xlws.FILTER($AG$2:$BC$2, AG199:BC199=1)), "")</f>
        <v>Marcatura della conoscenza condivisa &amp; Esemplificazione</v>
      </c>
    </row>
    <row r="200" spans="1:60" ht="18" customHeight="1" x14ac:dyDescent="0.3">
      <c r="A200" t="s">
        <v>401</v>
      </c>
      <c r="B200" t="s">
        <v>1821</v>
      </c>
      <c r="C200" t="s">
        <v>403</v>
      </c>
      <c r="D200">
        <v>2022</v>
      </c>
      <c r="E200" s="52" t="s">
        <v>1822</v>
      </c>
      <c r="F200">
        <v>2204687</v>
      </c>
      <c r="G200">
        <v>2206554</v>
      </c>
      <c r="H200" t="s">
        <v>405</v>
      </c>
      <c r="I200" t="s">
        <v>401</v>
      </c>
      <c r="J200" s="51">
        <v>2.6249999999999999E-2</v>
      </c>
      <c r="K200" t="s">
        <v>160</v>
      </c>
      <c r="L200" t="s">
        <v>406</v>
      </c>
      <c r="M200" t="s">
        <v>407</v>
      </c>
      <c r="N200" t="s">
        <v>227</v>
      </c>
      <c r="O200" t="s">
        <v>164</v>
      </c>
      <c r="P200" t="s">
        <v>165</v>
      </c>
      <c r="Q200" t="s">
        <v>179</v>
      </c>
      <c r="R200" t="s">
        <v>167</v>
      </c>
      <c r="S200" t="s">
        <v>168</v>
      </c>
      <c r="T200" t="s">
        <v>169</v>
      </c>
      <c r="U200" t="s">
        <v>318</v>
      </c>
      <c r="V200">
        <v>2</v>
      </c>
      <c r="W200" t="s">
        <v>170</v>
      </c>
      <c r="X200" t="s">
        <v>1823</v>
      </c>
      <c r="Y200" t="s">
        <v>153</v>
      </c>
      <c r="Z200" s="53" t="s">
        <v>1824</v>
      </c>
      <c r="AA200">
        <v>1</v>
      </c>
      <c r="AB200"/>
      <c r="AC200"/>
      <c r="AD200">
        <v>1</v>
      </c>
      <c r="AE200"/>
      <c r="AF200"/>
      <c r="BG200" t="str">
        <f t="shared" si="3"/>
        <v/>
      </c>
      <c r="BH200" s="3" t="str" cm="1">
        <f t="array" ref="BH200">IF(AE200=1, _xlfn.TEXTJOIN(" &amp; ", TRUE, _xlfn._xlws.FILTER($AG$2:$BC$2, AG200:BC200=1)), "")</f>
        <v/>
      </c>
    </row>
    <row r="201" spans="1:60" ht="18" customHeight="1" x14ac:dyDescent="0.3">
      <c r="A201" t="s">
        <v>401</v>
      </c>
      <c r="B201" t="s">
        <v>1825</v>
      </c>
      <c r="C201" t="s">
        <v>403</v>
      </c>
      <c r="D201">
        <v>2022</v>
      </c>
      <c r="E201" s="52" t="s">
        <v>1826</v>
      </c>
      <c r="F201">
        <v>2207280</v>
      </c>
      <c r="G201">
        <v>2211474</v>
      </c>
      <c r="H201" t="s">
        <v>405</v>
      </c>
      <c r="I201" t="s">
        <v>401</v>
      </c>
      <c r="J201" s="51">
        <v>2.6249999999999999E-2</v>
      </c>
      <c r="K201" t="s">
        <v>160</v>
      </c>
      <c r="L201" t="s">
        <v>406</v>
      </c>
      <c r="M201" t="s">
        <v>407</v>
      </c>
      <c r="N201" t="s">
        <v>227</v>
      </c>
      <c r="O201" t="s">
        <v>164</v>
      </c>
      <c r="P201" t="s">
        <v>165</v>
      </c>
      <c r="Q201" t="s">
        <v>179</v>
      </c>
      <c r="R201" t="s">
        <v>167</v>
      </c>
      <c r="S201" t="s">
        <v>168</v>
      </c>
      <c r="T201" t="s">
        <v>169</v>
      </c>
      <c r="U201" t="s">
        <v>318</v>
      </c>
      <c r="V201">
        <v>2</v>
      </c>
      <c r="W201" t="s">
        <v>170</v>
      </c>
      <c r="X201" t="s">
        <v>1827</v>
      </c>
      <c r="Y201" t="s">
        <v>153</v>
      </c>
      <c r="Z201" s="53" t="s">
        <v>1828</v>
      </c>
      <c r="AA201">
        <v>1</v>
      </c>
      <c r="AB201">
        <v>1</v>
      </c>
      <c r="AC201">
        <v>1</v>
      </c>
      <c r="AD201">
        <v>1</v>
      </c>
      <c r="AE201"/>
      <c r="AF201"/>
      <c r="BG201" t="str">
        <f t="shared" si="3"/>
        <v/>
      </c>
      <c r="BH201" s="3" t="str" cm="1">
        <f t="array" ref="BH201">IF(AE201=1, _xlfn.TEXTJOIN(" &amp; ", TRUE, _xlfn._xlws.FILTER($AG$2:$BC$2, AG201:BC201=1)), "")</f>
        <v/>
      </c>
    </row>
    <row r="202" spans="1:60" ht="18" customHeight="1" x14ac:dyDescent="0.3">
      <c r="A202" t="s">
        <v>1829</v>
      </c>
      <c r="B202" t="s">
        <v>1830</v>
      </c>
      <c r="C202" t="s">
        <v>1831</v>
      </c>
      <c r="D202">
        <v>2024</v>
      </c>
      <c r="E202" s="52" t="s">
        <v>1832</v>
      </c>
      <c r="F202">
        <v>2231562</v>
      </c>
      <c r="G202">
        <v>2236167</v>
      </c>
      <c r="H202" t="s">
        <v>1833</v>
      </c>
      <c r="I202" t="s">
        <v>1829</v>
      </c>
      <c r="J202" s="51">
        <v>3.1122685185185184E-2</v>
      </c>
      <c r="K202" t="s">
        <v>160</v>
      </c>
      <c r="L202" t="s">
        <v>1834</v>
      </c>
      <c r="M202" t="s">
        <v>1835</v>
      </c>
      <c r="N202" t="s">
        <v>286</v>
      </c>
      <c r="O202" t="s">
        <v>164</v>
      </c>
      <c r="P202" t="s">
        <v>165</v>
      </c>
      <c r="Q202" t="s">
        <v>166</v>
      </c>
      <c r="R202" t="s">
        <v>167</v>
      </c>
      <c r="S202" t="s">
        <v>168</v>
      </c>
      <c r="T202" t="s">
        <v>169</v>
      </c>
      <c r="U202" t="s">
        <v>229</v>
      </c>
      <c r="V202">
        <v>3</v>
      </c>
      <c r="W202" t="s">
        <v>170</v>
      </c>
      <c r="X202" t="s">
        <v>1836</v>
      </c>
      <c r="Y202" t="s">
        <v>153</v>
      </c>
      <c r="Z202" s="53" t="s">
        <v>1837</v>
      </c>
      <c r="AA202"/>
      <c r="AB202"/>
      <c r="AC202"/>
      <c r="AD202"/>
      <c r="AE202">
        <v>1</v>
      </c>
      <c r="AF202"/>
      <c r="AG202" s="7">
        <v>1</v>
      </c>
      <c r="AP202" s="9">
        <v>1</v>
      </c>
      <c r="BD202" s="3">
        <v>1</v>
      </c>
      <c r="BG202" t="str">
        <f t="shared" si="3"/>
        <v>Interazionale &amp; Metatestuale</v>
      </c>
      <c r="BH202" s="3" t="str" cm="1">
        <f t="array" ref="BH202">IF(AE202=1, _xlfn.TEXTJOIN(" &amp; ", TRUE, _xlfn._xlws.FILTER($AG$2:$BC$2, AG202:BC202=1)), "")</f>
        <v>Presa di turno &amp; Gestione del topic: introduzione o ripresa di topic</v>
      </c>
    </row>
    <row r="203" spans="1:60" x14ac:dyDescent="0.3">
      <c r="A203" t="s">
        <v>1838</v>
      </c>
      <c r="B203" t="s">
        <v>1842</v>
      </c>
      <c r="C203" t="s">
        <v>1839</v>
      </c>
      <c r="D203">
        <v>2019</v>
      </c>
      <c r="E203" s="52" t="s">
        <v>1843</v>
      </c>
      <c r="F203">
        <v>609651</v>
      </c>
      <c r="G203">
        <v>611380</v>
      </c>
      <c r="H203" t="s">
        <v>1844</v>
      </c>
      <c r="I203" t="s">
        <v>1838</v>
      </c>
      <c r="J203" s="51">
        <v>1.0162037037037037E-2</v>
      </c>
      <c r="K203" t="s">
        <v>140</v>
      </c>
      <c r="L203" t="s">
        <v>1840</v>
      </c>
      <c r="M203" t="s">
        <v>1841</v>
      </c>
      <c r="N203" t="s">
        <v>143</v>
      </c>
      <c r="O203" t="s">
        <v>144</v>
      </c>
      <c r="P203" t="s">
        <v>165</v>
      </c>
      <c r="Q203" t="s">
        <v>146</v>
      </c>
      <c r="R203" t="s">
        <v>147</v>
      </c>
      <c r="S203" t="s">
        <v>148</v>
      </c>
      <c r="T203" t="s">
        <v>666</v>
      </c>
      <c r="U203" t="s">
        <v>151</v>
      </c>
      <c r="V203">
        <v>2</v>
      </c>
      <c r="W203" t="s">
        <v>150</v>
      </c>
      <c r="X203" t="s">
        <v>1845</v>
      </c>
      <c r="Y203" t="s">
        <v>153</v>
      </c>
      <c r="Z203" s="53" t="s">
        <v>1846</v>
      </c>
      <c r="AA203">
        <v>1</v>
      </c>
      <c r="AB203"/>
      <c r="AC203">
        <v>1</v>
      </c>
      <c r="AD203"/>
      <c r="AE203"/>
      <c r="AF203"/>
      <c r="BG203" t="str">
        <f t="shared" si="3"/>
        <v/>
      </c>
      <c r="BH203" s="3" t="str" cm="1">
        <f t="array" ref="BH203">IF(AE203=1, _xlfn.TEXTJOIN(" &amp; ", TRUE, _xlfn._xlws.FILTER($AG$2:$BC$2, AG203:BC203=1)), "")</f>
        <v/>
      </c>
    </row>
    <row r="204" spans="1:60" x14ac:dyDescent="0.3">
      <c r="A204" t="s">
        <v>1838</v>
      </c>
      <c r="B204" t="s">
        <v>1847</v>
      </c>
      <c r="C204" t="s">
        <v>1839</v>
      </c>
      <c r="D204">
        <v>2019</v>
      </c>
      <c r="E204" s="52" t="s">
        <v>1848</v>
      </c>
      <c r="F204">
        <v>611567</v>
      </c>
      <c r="G204">
        <v>614943</v>
      </c>
      <c r="H204" t="s">
        <v>1844</v>
      </c>
      <c r="I204" t="s">
        <v>1838</v>
      </c>
      <c r="J204" s="51">
        <v>1.0162037037037037E-2</v>
      </c>
      <c r="K204" t="s">
        <v>140</v>
      </c>
      <c r="L204" t="s">
        <v>1840</v>
      </c>
      <c r="M204" t="s">
        <v>1841</v>
      </c>
      <c r="N204" t="s">
        <v>143</v>
      </c>
      <c r="O204" t="s">
        <v>144</v>
      </c>
      <c r="P204" t="s">
        <v>165</v>
      </c>
      <c r="Q204" t="s">
        <v>146</v>
      </c>
      <c r="R204" t="s">
        <v>147</v>
      </c>
      <c r="S204" t="s">
        <v>148</v>
      </c>
      <c r="T204" t="s">
        <v>666</v>
      </c>
      <c r="U204" t="s">
        <v>151</v>
      </c>
      <c r="V204">
        <v>2</v>
      </c>
      <c r="W204" t="s">
        <v>150</v>
      </c>
      <c r="X204" t="s">
        <v>1849</v>
      </c>
      <c r="Y204" t="s">
        <v>153</v>
      </c>
      <c r="Z204" s="53" t="s">
        <v>1850</v>
      </c>
      <c r="AA204">
        <v>1</v>
      </c>
      <c r="AB204"/>
      <c r="AC204"/>
      <c r="AD204">
        <v>1</v>
      </c>
      <c r="AE204"/>
      <c r="AF204"/>
      <c r="BG204" t="str">
        <f t="shared" si="3"/>
        <v/>
      </c>
      <c r="BH204" s="3" t="str" cm="1">
        <f t="array" ref="BH204">IF(AE204=1, _xlfn.TEXTJOIN(" &amp; ", TRUE, _xlfn._xlws.FILTER($AG$2:$BC$2, AG204:BC204=1)), "")</f>
        <v/>
      </c>
    </row>
    <row r="205" spans="1:60" x14ac:dyDescent="0.3">
      <c r="A205" t="s">
        <v>410</v>
      </c>
      <c r="B205" t="s">
        <v>1851</v>
      </c>
      <c r="C205" t="s">
        <v>411</v>
      </c>
      <c r="D205">
        <v>2019</v>
      </c>
      <c r="E205" s="52" t="s">
        <v>1852</v>
      </c>
      <c r="F205">
        <v>266588</v>
      </c>
      <c r="G205">
        <v>269115</v>
      </c>
      <c r="H205" t="s">
        <v>1853</v>
      </c>
      <c r="I205" t="s">
        <v>410</v>
      </c>
      <c r="J205" s="51">
        <v>3.5393518518518519E-2</v>
      </c>
      <c r="K205" t="s">
        <v>160</v>
      </c>
      <c r="L205" t="s">
        <v>413</v>
      </c>
      <c r="M205" t="s">
        <v>414</v>
      </c>
      <c r="N205" t="s">
        <v>317</v>
      </c>
      <c r="O205" t="s">
        <v>144</v>
      </c>
      <c r="P205" t="s">
        <v>145</v>
      </c>
      <c r="Q205" t="s">
        <v>146</v>
      </c>
      <c r="R205" t="s">
        <v>167</v>
      </c>
      <c r="S205" t="s">
        <v>168</v>
      </c>
      <c r="T205" t="s">
        <v>149</v>
      </c>
      <c r="U205" t="s">
        <v>183</v>
      </c>
      <c r="V205">
        <v>3</v>
      </c>
      <c r="W205" t="s">
        <v>170</v>
      </c>
      <c r="X205" t="s">
        <v>1854</v>
      </c>
      <c r="Y205" t="s">
        <v>153</v>
      </c>
      <c r="Z205" s="53" t="s">
        <v>1855</v>
      </c>
      <c r="AA205">
        <v>1</v>
      </c>
      <c r="AB205"/>
      <c r="AC205">
        <v>1</v>
      </c>
      <c r="AD205"/>
      <c r="AE205"/>
      <c r="AF205"/>
      <c r="BG205" t="str">
        <f t="shared" si="3"/>
        <v/>
      </c>
      <c r="BH205" s="3" t="str" cm="1">
        <f t="array" ref="BH205">IF(AE205=1, _xlfn.TEXTJOIN(" &amp; ", TRUE, _xlfn._xlws.FILTER($AG$2:$BC$2, AG205:BC205=1)), "")</f>
        <v/>
      </c>
    </row>
    <row r="206" spans="1:60" x14ac:dyDescent="0.3">
      <c r="A206" t="s">
        <v>410</v>
      </c>
      <c r="B206" t="s">
        <v>1856</v>
      </c>
      <c r="C206" t="s">
        <v>411</v>
      </c>
      <c r="D206">
        <v>2019</v>
      </c>
      <c r="E206" s="52" t="s">
        <v>1857</v>
      </c>
      <c r="F206">
        <v>534135</v>
      </c>
      <c r="G206">
        <v>536800</v>
      </c>
      <c r="H206" t="s">
        <v>412</v>
      </c>
      <c r="I206" t="s">
        <v>410</v>
      </c>
      <c r="J206" s="51">
        <v>3.5393518518518519E-2</v>
      </c>
      <c r="K206" t="s">
        <v>160</v>
      </c>
      <c r="L206" t="s">
        <v>413</v>
      </c>
      <c r="M206" t="s">
        <v>414</v>
      </c>
      <c r="N206" t="s">
        <v>415</v>
      </c>
      <c r="O206" t="s">
        <v>144</v>
      </c>
      <c r="P206" t="s">
        <v>145</v>
      </c>
      <c r="Q206" t="s">
        <v>179</v>
      </c>
      <c r="R206" t="s">
        <v>167</v>
      </c>
      <c r="S206" t="s">
        <v>168</v>
      </c>
      <c r="T206" t="s">
        <v>149</v>
      </c>
      <c r="U206" t="s">
        <v>318</v>
      </c>
      <c r="V206">
        <v>3</v>
      </c>
      <c r="W206" t="s">
        <v>170</v>
      </c>
      <c r="X206" t="s">
        <v>1858</v>
      </c>
      <c r="Y206" t="s">
        <v>153</v>
      </c>
      <c r="Z206" s="53" t="s">
        <v>1859</v>
      </c>
      <c r="AA206">
        <v>1</v>
      </c>
      <c r="AB206">
        <v>1</v>
      </c>
      <c r="AC206"/>
      <c r="AD206"/>
      <c r="AE206"/>
      <c r="AF206"/>
      <c r="BG206" t="str">
        <f t="shared" si="3"/>
        <v/>
      </c>
      <c r="BH206" s="3" t="str" cm="1">
        <f t="array" ref="BH206">IF(AE206=1, _xlfn.TEXTJOIN(" &amp; ", TRUE, _xlfn._xlws.FILTER($AG$2:$BC$2, AG206:BC206=1)), "")</f>
        <v/>
      </c>
    </row>
    <row r="207" spans="1:60" x14ac:dyDescent="0.3">
      <c r="A207" t="s">
        <v>410</v>
      </c>
      <c r="B207" t="s">
        <v>1860</v>
      </c>
      <c r="C207" t="s">
        <v>411</v>
      </c>
      <c r="D207">
        <v>2019</v>
      </c>
      <c r="E207" s="52" t="s">
        <v>1861</v>
      </c>
      <c r="F207">
        <v>604652</v>
      </c>
      <c r="G207">
        <v>608820</v>
      </c>
      <c r="H207" t="s">
        <v>412</v>
      </c>
      <c r="I207" t="s">
        <v>410</v>
      </c>
      <c r="J207" s="51">
        <v>3.5393518518518519E-2</v>
      </c>
      <c r="K207" t="s">
        <v>160</v>
      </c>
      <c r="L207" t="s">
        <v>413</v>
      </c>
      <c r="M207" t="s">
        <v>414</v>
      </c>
      <c r="N207" t="s">
        <v>415</v>
      </c>
      <c r="O207" t="s">
        <v>144</v>
      </c>
      <c r="P207" t="s">
        <v>145</v>
      </c>
      <c r="Q207" t="s">
        <v>179</v>
      </c>
      <c r="R207" t="s">
        <v>167</v>
      </c>
      <c r="S207" t="s">
        <v>168</v>
      </c>
      <c r="T207" t="s">
        <v>149</v>
      </c>
      <c r="U207" t="s">
        <v>318</v>
      </c>
      <c r="V207">
        <v>3</v>
      </c>
      <c r="W207" t="s">
        <v>170</v>
      </c>
      <c r="X207" t="s">
        <v>1862</v>
      </c>
      <c r="Y207" t="s">
        <v>153</v>
      </c>
      <c r="Z207" s="53" t="s">
        <v>1863</v>
      </c>
      <c r="AA207">
        <v>1</v>
      </c>
      <c r="AB207"/>
      <c r="AC207">
        <v>1</v>
      </c>
      <c r="AD207"/>
      <c r="AE207"/>
      <c r="AF207"/>
      <c r="BG207" t="str">
        <f t="shared" si="3"/>
        <v/>
      </c>
      <c r="BH207" s="3" t="str" cm="1">
        <f t="array" ref="BH207">IF(AE207=1, _xlfn.TEXTJOIN(" &amp; ", TRUE, _xlfn._xlws.FILTER($AG$2:$BC$2, AG207:BC207=1)), "")</f>
        <v/>
      </c>
    </row>
    <row r="208" spans="1:60" x14ac:dyDescent="0.3">
      <c r="A208" t="s">
        <v>410</v>
      </c>
      <c r="B208" t="s">
        <v>1864</v>
      </c>
      <c r="C208" t="s">
        <v>411</v>
      </c>
      <c r="D208">
        <v>2019</v>
      </c>
      <c r="E208" s="52" t="s">
        <v>1865</v>
      </c>
      <c r="F208">
        <v>1064447</v>
      </c>
      <c r="G208">
        <v>1071620</v>
      </c>
      <c r="H208" t="s">
        <v>1853</v>
      </c>
      <c r="I208" t="s">
        <v>410</v>
      </c>
      <c r="J208" s="51">
        <v>3.5393518518518519E-2</v>
      </c>
      <c r="K208" t="s">
        <v>160</v>
      </c>
      <c r="L208" t="s">
        <v>413</v>
      </c>
      <c r="M208" t="s">
        <v>414</v>
      </c>
      <c r="N208" t="s">
        <v>317</v>
      </c>
      <c r="O208" t="s">
        <v>144</v>
      </c>
      <c r="P208" t="s">
        <v>145</v>
      </c>
      <c r="Q208" t="s">
        <v>146</v>
      </c>
      <c r="R208" t="s">
        <v>167</v>
      </c>
      <c r="S208" t="s">
        <v>168</v>
      </c>
      <c r="T208" t="s">
        <v>149</v>
      </c>
      <c r="U208" t="s">
        <v>183</v>
      </c>
      <c r="V208">
        <v>3</v>
      </c>
      <c r="W208" t="s">
        <v>170</v>
      </c>
      <c r="X208" t="s">
        <v>1866</v>
      </c>
      <c r="Y208" t="s">
        <v>153</v>
      </c>
      <c r="Z208" s="53" t="s">
        <v>1867</v>
      </c>
      <c r="AA208">
        <v>1</v>
      </c>
      <c r="AB208"/>
      <c r="AC208"/>
      <c r="AD208">
        <v>1</v>
      </c>
      <c r="AE208"/>
      <c r="AF208"/>
      <c r="BG208" t="str">
        <f t="shared" si="3"/>
        <v/>
      </c>
      <c r="BH208" s="3" t="str" cm="1">
        <f t="array" ref="BH208">IF(AE208=1, _xlfn.TEXTJOIN(" &amp; ", TRUE, _xlfn._xlws.FILTER($AG$2:$BC$2, AG208:BC208=1)), "")</f>
        <v/>
      </c>
    </row>
    <row r="209" spans="1:60" x14ac:dyDescent="0.3">
      <c r="A209" t="s">
        <v>410</v>
      </c>
      <c r="B209" t="s">
        <v>1868</v>
      </c>
      <c r="C209" t="s">
        <v>411</v>
      </c>
      <c r="D209">
        <v>2019</v>
      </c>
      <c r="E209" s="52" t="s">
        <v>1869</v>
      </c>
      <c r="F209">
        <v>1345653</v>
      </c>
      <c r="G209">
        <v>1346913</v>
      </c>
      <c r="H209" t="s">
        <v>412</v>
      </c>
      <c r="I209" t="s">
        <v>410</v>
      </c>
      <c r="J209" s="51">
        <v>3.5393518518518519E-2</v>
      </c>
      <c r="K209" t="s">
        <v>160</v>
      </c>
      <c r="L209" t="s">
        <v>413</v>
      </c>
      <c r="M209" t="s">
        <v>414</v>
      </c>
      <c r="N209" t="s">
        <v>415</v>
      </c>
      <c r="O209" t="s">
        <v>144</v>
      </c>
      <c r="P209" t="s">
        <v>145</v>
      </c>
      <c r="Q209" t="s">
        <v>179</v>
      </c>
      <c r="R209" t="s">
        <v>167</v>
      </c>
      <c r="S209" t="s">
        <v>168</v>
      </c>
      <c r="T209" t="s">
        <v>149</v>
      </c>
      <c r="U209" t="s">
        <v>318</v>
      </c>
      <c r="V209">
        <v>3</v>
      </c>
      <c r="W209" t="s">
        <v>170</v>
      </c>
      <c r="X209" t="s">
        <v>1870</v>
      </c>
      <c r="Y209" t="s">
        <v>153</v>
      </c>
      <c r="Z209" s="53" t="s">
        <v>1871</v>
      </c>
      <c r="AA209">
        <v>1</v>
      </c>
      <c r="AB209"/>
      <c r="AC209"/>
      <c r="AD209"/>
      <c r="AE209"/>
      <c r="AF209"/>
      <c r="BG209" t="str">
        <f t="shared" si="3"/>
        <v/>
      </c>
      <c r="BH209" s="3" t="str" cm="1">
        <f t="array" ref="BH209">IF(AE209=1, _xlfn.TEXTJOIN(" &amp; ", TRUE, _xlfn._xlws.FILTER($AG$2:$BC$2, AG209:BC209=1)), "")</f>
        <v/>
      </c>
    </row>
    <row r="210" spans="1:60" x14ac:dyDescent="0.3">
      <c r="A210" t="s">
        <v>410</v>
      </c>
      <c r="B210" t="s">
        <v>1872</v>
      </c>
      <c r="C210" t="s">
        <v>411</v>
      </c>
      <c r="D210">
        <v>2019</v>
      </c>
      <c r="E210" s="52" t="s">
        <v>1873</v>
      </c>
      <c r="F210">
        <v>2063500</v>
      </c>
      <c r="G210">
        <v>2065230</v>
      </c>
      <c r="H210" t="s">
        <v>1853</v>
      </c>
      <c r="I210" t="s">
        <v>410</v>
      </c>
      <c r="J210" s="51">
        <v>3.5393518518518519E-2</v>
      </c>
      <c r="K210" t="s">
        <v>160</v>
      </c>
      <c r="L210" t="s">
        <v>413</v>
      </c>
      <c r="M210" t="s">
        <v>414</v>
      </c>
      <c r="N210" t="s">
        <v>317</v>
      </c>
      <c r="O210" t="s">
        <v>144</v>
      </c>
      <c r="P210" t="s">
        <v>145</v>
      </c>
      <c r="Q210" t="s">
        <v>146</v>
      </c>
      <c r="R210" t="s">
        <v>167</v>
      </c>
      <c r="S210" t="s">
        <v>168</v>
      </c>
      <c r="T210" t="s">
        <v>149</v>
      </c>
      <c r="U210" t="s">
        <v>183</v>
      </c>
      <c r="V210">
        <v>3</v>
      </c>
      <c r="W210" t="s">
        <v>170</v>
      </c>
      <c r="X210" t="s">
        <v>1874</v>
      </c>
      <c r="Y210" t="s">
        <v>153</v>
      </c>
      <c r="Z210" s="53" t="s">
        <v>1875</v>
      </c>
      <c r="AA210">
        <v>1</v>
      </c>
      <c r="AB210"/>
      <c r="AC210">
        <v>1</v>
      </c>
      <c r="AD210"/>
      <c r="AE210"/>
      <c r="AF210"/>
      <c r="BG210" t="str">
        <f t="shared" si="3"/>
        <v/>
      </c>
      <c r="BH210" s="3" t="str" cm="1">
        <f t="array" ref="BH210">IF(AE210=1, _xlfn.TEXTJOIN(" &amp; ", TRUE, _xlfn._xlws.FILTER($AG$2:$BC$2, AG210:BC210=1)), "")</f>
        <v/>
      </c>
    </row>
    <row r="211" spans="1:60" x14ac:dyDescent="0.3">
      <c r="A211" t="s">
        <v>410</v>
      </c>
      <c r="B211" t="s">
        <v>416</v>
      </c>
      <c r="C211" t="s">
        <v>411</v>
      </c>
      <c r="D211">
        <v>2019</v>
      </c>
      <c r="E211" s="52" t="s">
        <v>417</v>
      </c>
      <c r="F211">
        <v>2959415</v>
      </c>
      <c r="G211">
        <v>2963125</v>
      </c>
      <c r="H211" t="s">
        <v>412</v>
      </c>
      <c r="I211" t="s">
        <v>410</v>
      </c>
      <c r="J211" s="51">
        <v>3.5393518518518519E-2</v>
      </c>
      <c r="K211" t="s">
        <v>160</v>
      </c>
      <c r="L211" t="s">
        <v>413</v>
      </c>
      <c r="M211" t="s">
        <v>414</v>
      </c>
      <c r="N211" t="s">
        <v>415</v>
      </c>
      <c r="O211" t="s">
        <v>144</v>
      </c>
      <c r="P211" t="s">
        <v>145</v>
      </c>
      <c r="Q211" t="s">
        <v>179</v>
      </c>
      <c r="R211" t="s">
        <v>167</v>
      </c>
      <c r="S211" t="s">
        <v>168</v>
      </c>
      <c r="T211" t="s">
        <v>149</v>
      </c>
      <c r="U211" t="s">
        <v>318</v>
      </c>
      <c r="V211">
        <v>3</v>
      </c>
      <c r="W211" t="s">
        <v>170</v>
      </c>
      <c r="X211" t="s">
        <v>418</v>
      </c>
      <c r="Y211" t="s">
        <v>153</v>
      </c>
      <c r="Z211" s="53" t="s">
        <v>419</v>
      </c>
      <c r="AA211"/>
      <c r="AB211"/>
      <c r="AC211"/>
      <c r="AD211"/>
      <c r="AE211">
        <v>1</v>
      </c>
      <c r="AF211"/>
      <c r="AM211" s="7">
        <v>1</v>
      </c>
      <c r="BG211" t="str">
        <f t="shared" si="3"/>
        <v>Interazionale</v>
      </c>
      <c r="BH211" s="3" t="str" cm="1">
        <f t="array" ref="BH211">IF(AE211=1, _xlfn.TEXTJOIN(" &amp; ", TRUE, _xlfn._xlws.FILTER($AG$2:$BC$2, AG211:BC211=1)), "")</f>
        <v>Marcatura della conoscenza condivisa</v>
      </c>
    </row>
    <row r="212" spans="1:60" x14ac:dyDescent="0.3">
      <c r="A212" t="s">
        <v>1876</v>
      </c>
      <c r="B212" t="s">
        <v>1881</v>
      </c>
      <c r="C212" t="s">
        <v>1877</v>
      </c>
      <c r="D212">
        <v>2019</v>
      </c>
      <c r="E212" s="52" t="s">
        <v>1882</v>
      </c>
      <c r="F212">
        <v>338995</v>
      </c>
      <c r="G212">
        <v>340835</v>
      </c>
      <c r="H212" t="s">
        <v>1883</v>
      </c>
      <c r="I212" t="s">
        <v>1876</v>
      </c>
      <c r="J212" s="51">
        <v>1.5879629629629629E-2</v>
      </c>
      <c r="K212" t="s">
        <v>140</v>
      </c>
      <c r="L212" t="s">
        <v>1879</v>
      </c>
      <c r="M212" t="s">
        <v>1880</v>
      </c>
      <c r="N212" t="s">
        <v>143</v>
      </c>
      <c r="O212" t="s">
        <v>144</v>
      </c>
      <c r="P212" t="s">
        <v>165</v>
      </c>
      <c r="Q212" t="s">
        <v>146</v>
      </c>
      <c r="R212" t="s">
        <v>147</v>
      </c>
      <c r="S212" t="s">
        <v>148</v>
      </c>
      <c r="T212" t="s">
        <v>169</v>
      </c>
      <c r="U212" t="s">
        <v>151</v>
      </c>
      <c r="V212">
        <v>1</v>
      </c>
      <c r="W212" t="s">
        <v>150</v>
      </c>
      <c r="X212" t="s">
        <v>1884</v>
      </c>
      <c r="Y212" t="s">
        <v>153</v>
      </c>
      <c r="Z212" s="53" t="s">
        <v>1885</v>
      </c>
      <c r="AA212">
        <v>1</v>
      </c>
      <c r="AB212"/>
      <c r="AC212">
        <v>1</v>
      </c>
      <c r="AD212"/>
      <c r="AE212"/>
      <c r="AF212"/>
      <c r="BG212" t="str">
        <f t="shared" si="3"/>
        <v/>
      </c>
      <c r="BH212" s="3" t="str" cm="1">
        <f t="array" ref="BH212">IF(AE212=1, _xlfn.TEXTJOIN(" &amp; ", TRUE, _xlfn._xlws.FILTER($AG$2:$BC$2, AG212:BC212=1)), "")</f>
        <v/>
      </c>
    </row>
    <row r="213" spans="1:60" x14ac:dyDescent="0.3">
      <c r="A213" t="s">
        <v>1876</v>
      </c>
      <c r="B213" t="s">
        <v>1886</v>
      </c>
      <c r="C213" t="s">
        <v>1877</v>
      </c>
      <c r="D213">
        <v>2019</v>
      </c>
      <c r="E213" s="52" t="s">
        <v>1887</v>
      </c>
      <c r="F213">
        <v>1271970</v>
      </c>
      <c r="G213">
        <v>1273190</v>
      </c>
      <c r="H213" t="s">
        <v>1883</v>
      </c>
      <c r="I213" t="s">
        <v>1876</v>
      </c>
      <c r="J213" s="51">
        <v>1.5879629629629629E-2</v>
      </c>
      <c r="K213" t="s">
        <v>140</v>
      </c>
      <c r="L213" t="s">
        <v>1879</v>
      </c>
      <c r="M213" t="s">
        <v>1880</v>
      </c>
      <c r="N213" t="s">
        <v>143</v>
      </c>
      <c r="O213" t="s">
        <v>144</v>
      </c>
      <c r="P213" t="s">
        <v>165</v>
      </c>
      <c r="Q213" t="s">
        <v>146</v>
      </c>
      <c r="R213" t="s">
        <v>147</v>
      </c>
      <c r="S213" t="s">
        <v>148</v>
      </c>
      <c r="T213" t="s">
        <v>169</v>
      </c>
      <c r="U213" t="s">
        <v>151</v>
      </c>
      <c r="V213">
        <v>1</v>
      </c>
      <c r="W213" t="s">
        <v>150</v>
      </c>
      <c r="X213" t="s">
        <v>1888</v>
      </c>
      <c r="Y213" t="s">
        <v>153</v>
      </c>
      <c r="Z213" s="53" t="s">
        <v>1889</v>
      </c>
      <c r="AA213">
        <v>1</v>
      </c>
      <c r="AB213">
        <v>1</v>
      </c>
      <c r="AC213"/>
      <c r="AD213"/>
      <c r="AE213"/>
      <c r="AF213"/>
      <c r="BG213" t="str">
        <f t="shared" si="3"/>
        <v/>
      </c>
      <c r="BH213" s="3" t="str" cm="1">
        <f t="array" ref="BH213">IF(AE213=1, _xlfn.TEXTJOIN(" &amp; ", TRUE, _xlfn._xlws.FILTER($AG$2:$BC$2, AG213:BC213=1)), "")</f>
        <v/>
      </c>
    </row>
    <row r="214" spans="1:60" x14ac:dyDescent="0.3">
      <c r="A214" t="s">
        <v>420</v>
      </c>
      <c r="B214" t="s">
        <v>1890</v>
      </c>
      <c r="C214" t="s">
        <v>421</v>
      </c>
      <c r="D214">
        <v>2022</v>
      </c>
      <c r="E214" s="52" t="s">
        <v>1891</v>
      </c>
      <c r="F214">
        <v>1988778</v>
      </c>
      <c r="G214">
        <v>1991753</v>
      </c>
      <c r="H214" t="s">
        <v>1892</v>
      </c>
      <c r="I214" t="s">
        <v>420</v>
      </c>
      <c r="J214" s="51">
        <v>2.4375000000000001E-2</v>
      </c>
      <c r="K214" t="s">
        <v>140</v>
      </c>
      <c r="L214" t="s">
        <v>423</v>
      </c>
      <c r="M214" t="s">
        <v>424</v>
      </c>
      <c r="N214" t="s">
        <v>163</v>
      </c>
      <c r="O214" t="s">
        <v>164</v>
      </c>
      <c r="P214" t="s">
        <v>425</v>
      </c>
      <c r="Q214" t="s">
        <v>699</v>
      </c>
      <c r="R214" t="s">
        <v>147</v>
      </c>
      <c r="S214" t="s">
        <v>148</v>
      </c>
      <c r="T214" t="s">
        <v>247</v>
      </c>
      <c r="U214" t="s">
        <v>349</v>
      </c>
      <c r="V214">
        <v>3</v>
      </c>
      <c r="W214" t="s">
        <v>269</v>
      </c>
      <c r="X214" t="s">
        <v>1893</v>
      </c>
      <c r="Y214" t="s">
        <v>153</v>
      </c>
      <c r="Z214" s="53" t="s">
        <v>1894</v>
      </c>
      <c r="AA214">
        <v>1</v>
      </c>
      <c r="AB214">
        <v>1</v>
      </c>
      <c r="AC214"/>
      <c r="AD214"/>
      <c r="AE214"/>
      <c r="AF214"/>
      <c r="BG214" t="str">
        <f t="shared" si="3"/>
        <v/>
      </c>
      <c r="BH214" s="3" t="str" cm="1">
        <f t="array" ref="BH214">IF(AE214=1, _xlfn.TEXTJOIN(" &amp; ", TRUE, _xlfn._xlws.FILTER($AG$2:$BC$2, AG214:BC214=1)), "")</f>
        <v/>
      </c>
    </row>
    <row r="215" spans="1:60" x14ac:dyDescent="0.3">
      <c r="A215" t="s">
        <v>1895</v>
      </c>
      <c r="B215" t="s">
        <v>1900</v>
      </c>
      <c r="C215" t="s">
        <v>1896</v>
      </c>
      <c r="D215">
        <v>2019</v>
      </c>
      <c r="E215" s="52" t="s">
        <v>1901</v>
      </c>
      <c r="F215">
        <v>1347810</v>
      </c>
      <c r="G215">
        <v>1352510</v>
      </c>
      <c r="H215" t="s">
        <v>1897</v>
      </c>
      <c r="I215" t="s">
        <v>1895</v>
      </c>
      <c r="J215" s="51">
        <v>2.8043981481481482E-2</v>
      </c>
      <c r="K215" t="s">
        <v>160</v>
      </c>
      <c r="L215" t="s">
        <v>1898</v>
      </c>
      <c r="M215" t="s">
        <v>1899</v>
      </c>
      <c r="N215" t="s">
        <v>143</v>
      </c>
      <c r="O215" t="s">
        <v>164</v>
      </c>
      <c r="P215" t="s">
        <v>145</v>
      </c>
      <c r="Q215" t="s">
        <v>337</v>
      </c>
      <c r="R215" t="s">
        <v>167</v>
      </c>
      <c r="S215" t="s">
        <v>168</v>
      </c>
      <c r="T215" t="s">
        <v>149</v>
      </c>
      <c r="U215" t="s">
        <v>171</v>
      </c>
      <c r="V215">
        <v>2</v>
      </c>
      <c r="W215" t="s">
        <v>170</v>
      </c>
      <c r="X215" t="s">
        <v>1902</v>
      </c>
      <c r="Y215" t="s">
        <v>153</v>
      </c>
      <c r="Z215" s="53" t="s">
        <v>1903</v>
      </c>
      <c r="AA215"/>
      <c r="AB215"/>
      <c r="AC215"/>
      <c r="AD215"/>
      <c r="AE215">
        <v>1</v>
      </c>
      <c r="AF215">
        <v>1</v>
      </c>
      <c r="AM215" s="7">
        <v>1</v>
      </c>
      <c r="BG215" t="str">
        <f t="shared" si="3"/>
        <v>Interazionale</v>
      </c>
      <c r="BH215" s="3" t="str" cm="1">
        <f t="array" ref="BH215">IF(AE215=1, _xlfn.TEXTJOIN(" &amp; ", TRUE, _xlfn._xlws.FILTER($AG$2:$BC$2, AG215:BC215=1)), "")</f>
        <v>Marcatura della conoscenza condivisa</v>
      </c>
    </row>
    <row r="216" spans="1:60" x14ac:dyDescent="0.3">
      <c r="A216" t="s">
        <v>1895</v>
      </c>
      <c r="B216" t="s">
        <v>1904</v>
      </c>
      <c r="C216" t="s">
        <v>1896</v>
      </c>
      <c r="D216">
        <v>2019</v>
      </c>
      <c r="E216" s="52" t="s">
        <v>1905</v>
      </c>
      <c r="F216">
        <v>2268890</v>
      </c>
      <c r="G216">
        <v>2272320</v>
      </c>
      <c r="H216" t="s">
        <v>1897</v>
      </c>
      <c r="I216" t="s">
        <v>1895</v>
      </c>
      <c r="J216" s="51">
        <v>2.8043981481481482E-2</v>
      </c>
      <c r="K216" t="s">
        <v>160</v>
      </c>
      <c r="L216" t="s">
        <v>1898</v>
      </c>
      <c r="M216" t="s">
        <v>1899</v>
      </c>
      <c r="N216" t="s">
        <v>143</v>
      </c>
      <c r="O216" t="s">
        <v>164</v>
      </c>
      <c r="P216" t="s">
        <v>145</v>
      </c>
      <c r="Q216" t="s">
        <v>337</v>
      </c>
      <c r="R216" t="s">
        <v>167</v>
      </c>
      <c r="S216" t="s">
        <v>168</v>
      </c>
      <c r="T216" t="s">
        <v>149</v>
      </c>
      <c r="U216" t="s">
        <v>171</v>
      </c>
      <c r="V216">
        <v>2</v>
      </c>
      <c r="W216" t="s">
        <v>170</v>
      </c>
      <c r="X216" t="s">
        <v>1906</v>
      </c>
      <c r="Y216" t="s">
        <v>153</v>
      </c>
      <c r="Z216" s="53" t="s">
        <v>1907</v>
      </c>
      <c r="AA216">
        <v>1</v>
      </c>
      <c r="AB216">
        <v>1</v>
      </c>
      <c r="AC216"/>
      <c r="AD216"/>
      <c r="AE216"/>
      <c r="AF216"/>
      <c r="BG216" t="str">
        <f t="shared" si="3"/>
        <v/>
      </c>
      <c r="BH216" s="3" t="str" cm="1">
        <f t="array" ref="BH216">IF(AE216=1, _xlfn.TEXTJOIN(" &amp; ", TRUE, _xlfn._xlws.FILTER($AG$2:$BC$2, AG216:BC216=1)), "")</f>
        <v/>
      </c>
    </row>
    <row r="217" spans="1:60" x14ac:dyDescent="0.3">
      <c r="A217" t="s">
        <v>1908</v>
      </c>
      <c r="B217" t="s">
        <v>1913</v>
      </c>
      <c r="C217" t="s">
        <v>1909</v>
      </c>
      <c r="D217">
        <v>2020</v>
      </c>
      <c r="E217" s="52" t="s">
        <v>1914</v>
      </c>
      <c r="F217">
        <v>1173647</v>
      </c>
      <c r="G217">
        <v>1175127</v>
      </c>
      <c r="H217" t="s">
        <v>1910</v>
      </c>
      <c r="I217" t="s">
        <v>1908</v>
      </c>
      <c r="J217" s="51">
        <v>2.3449074074074074E-2</v>
      </c>
      <c r="K217" t="s">
        <v>140</v>
      </c>
      <c r="L217" t="s">
        <v>1911</v>
      </c>
      <c r="M217" t="s">
        <v>1912</v>
      </c>
      <c r="N217" t="s">
        <v>163</v>
      </c>
      <c r="O217" t="s">
        <v>144</v>
      </c>
      <c r="P217" t="s">
        <v>165</v>
      </c>
      <c r="Q217" t="s">
        <v>166</v>
      </c>
      <c r="R217" t="s">
        <v>147</v>
      </c>
      <c r="S217" t="s">
        <v>148</v>
      </c>
      <c r="T217" t="s">
        <v>169</v>
      </c>
      <c r="U217" t="s">
        <v>171</v>
      </c>
      <c r="V217">
        <v>3</v>
      </c>
      <c r="W217" t="s">
        <v>269</v>
      </c>
      <c r="X217" t="s">
        <v>1915</v>
      </c>
      <c r="Y217" t="s">
        <v>153</v>
      </c>
      <c r="Z217" s="53" t="s">
        <v>1916</v>
      </c>
      <c r="AA217"/>
      <c r="AB217"/>
      <c r="AC217"/>
      <c r="AD217"/>
      <c r="AE217">
        <v>1</v>
      </c>
      <c r="AF217"/>
      <c r="AM217" s="7">
        <v>1</v>
      </c>
      <c r="BG217" t="str">
        <f t="shared" si="3"/>
        <v>Interazionale</v>
      </c>
      <c r="BH217" s="3" t="str" cm="1">
        <f t="array" ref="BH217">IF(AE217=1, _xlfn.TEXTJOIN(" &amp; ", TRUE, _xlfn._xlws.FILTER($AG$2:$BC$2, AG217:BC217=1)), "")</f>
        <v>Marcatura della conoscenza condivisa</v>
      </c>
    </row>
    <row r="218" spans="1:60" x14ac:dyDescent="0.3">
      <c r="A218" t="s">
        <v>1908</v>
      </c>
      <c r="B218" t="s">
        <v>1917</v>
      </c>
      <c r="C218" t="s">
        <v>1909</v>
      </c>
      <c r="D218">
        <v>2020</v>
      </c>
      <c r="E218" s="52" t="s">
        <v>1918</v>
      </c>
      <c r="F218">
        <v>1186732</v>
      </c>
      <c r="G218">
        <v>1188704</v>
      </c>
      <c r="H218" t="s">
        <v>1910</v>
      </c>
      <c r="I218" t="s">
        <v>1908</v>
      </c>
      <c r="J218" s="51">
        <v>2.3449074074074074E-2</v>
      </c>
      <c r="K218" t="s">
        <v>140</v>
      </c>
      <c r="L218" t="s">
        <v>1911</v>
      </c>
      <c r="M218" t="s">
        <v>1912</v>
      </c>
      <c r="N218" t="s">
        <v>163</v>
      </c>
      <c r="O218" t="s">
        <v>144</v>
      </c>
      <c r="P218" t="s">
        <v>165</v>
      </c>
      <c r="Q218" t="s">
        <v>166</v>
      </c>
      <c r="R218" t="s">
        <v>147</v>
      </c>
      <c r="S218" t="s">
        <v>148</v>
      </c>
      <c r="T218" t="s">
        <v>169</v>
      </c>
      <c r="U218" t="s">
        <v>171</v>
      </c>
      <c r="V218">
        <v>3</v>
      </c>
      <c r="W218" t="s">
        <v>269</v>
      </c>
      <c r="X218" t="s">
        <v>1919</v>
      </c>
      <c r="Y218" t="s">
        <v>153</v>
      </c>
      <c r="Z218" s="53" t="s">
        <v>1920</v>
      </c>
      <c r="AA218"/>
      <c r="AB218"/>
      <c r="AC218"/>
      <c r="AD218"/>
      <c r="AE218">
        <v>1</v>
      </c>
      <c r="AF218"/>
      <c r="AM218" s="7">
        <v>1</v>
      </c>
      <c r="AZ218" s="23">
        <v>1</v>
      </c>
      <c r="BD218" s="3">
        <v>1</v>
      </c>
      <c r="BG218" t="str">
        <f t="shared" si="3"/>
        <v>Interazionale &amp; Cognitiva</v>
      </c>
      <c r="BH218" s="3" t="str" cm="1">
        <f t="array" ref="BH218">IF(AE218=1, _xlfn.TEXTJOIN(" &amp; ", TRUE, _xlfn._xlws.FILTER($AG$2:$BC$2, AG218:BC218=1)), "")</f>
        <v>Marcatura della conoscenza condivisa &amp; Approssimazione</v>
      </c>
    </row>
    <row r="219" spans="1:60" x14ac:dyDescent="0.3">
      <c r="A219" t="s">
        <v>1908</v>
      </c>
      <c r="B219" t="s">
        <v>1921</v>
      </c>
      <c r="C219" t="s">
        <v>1909</v>
      </c>
      <c r="D219">
        <v>2020</v>
      </c>
      <c r="E219" s="52" t="s">
        <v>1922</v>
      </c>
      <c r="F219">
        <v>1961620</v>
      </c>
      <c r="G219">
        <v>1969341</v>
      </c>
      <c r="H219" t="s">
        <v>1910</v>
      </c>
      <c r="I219" t="s">
        <v>1908</v>
      </c>
      <c r="J219" s="51">
        <v>2.3449074074074074E-2</v>
      </c>
      <c r="K219" t="s">
        <v>140</v>
      </c>
      <c r="L219" t="s">
        <v>1911</v>
      </c>
      <c r="M219" t="s">
        <v>1912</v>
      </c>
      <c r="N219" t="s">
        <v>163</v>
      </c>
      <c r="O219" t="s">
        <v>144</v>
      </c>
      <c r="P219" t="s">
        <v>165</v>
      </c>
      <c r="Q219" t="s">
        <v>166</v>
      </c>
      <c r="R219" t="s">
        <v>147</v>
      </c>
      <c r="S219" t="s">
        <v>148</v>
      </c>
      <c r="T219" t="s">
        <v>169</v>
      </c>
      <c r="U219" t="s">
        <v>171</v>
      </c>
      <c r="V219">
        <v>3</v>
      </c>
      <c r="W219" t="s">
        <v>269</v>
      </c>
      <c r="X219" t="s">
        <v>1923</v>
      </c>
      <c r="Y219" t="s">
        <v>153</v>
      </c>
      <c r="Z219" s="53" t="s">
        <v>1924</v>
      </c>
      <c r="AA219">
        <v>1</v>
      </c>
      <c r="AB219">
        <v>1</v>
      </c>
      <c r="AC219"/>
      <c r="AD219"/>
      <c r="AE219"/>
      <c r="AF219"/>
      <c r="BG219" t="str">
        <f t="shared" si="3"/>
        <v/>
      </c>
      <c r="BH219" s="3" t="str" cm="1">
        <f t="array" ref="BH219">IF(AE219=1, _xlfn.TEXTJOIN(" &amp; ", TRUE, _xlfn._xlws.FILTER($AG$2:$BC$2, AG219:BC219=1)), "")</f>
        <v/>
      </c>
    </row>
    <row r="220" spans="1:60" x14ac:dyDescent="0.3">
      <c r="A220" t="s">
        <v>1925</v>
      </c>
      <c r="B220" t="s">
        <v>1931</v>
      </c>
      <c r="C220" t="s">
        <v>1926</v>
      </c>
      <c r="D220">
        <v>2023</v>
      </c>
      <c r="E220" s="52" t="s">
        <v>1932</v>
      </c>
      <c r="F220">
        <v>1634330</v>
      </c>
      <c r="G220">
        <v>1636470</v>
      </c>
      <c r="H220" t="s">
        <v>1930</v>
      </c>
      <c r="I220" t="s">
        <v>1925</v>
      </c>
      <c r="J220" s="51">
        <v>1.9375E-2</v>
      </c>
      <c r="K220" t="s">
        <v>160</v>
      </c>
      <c r="L220" t="s">
        <v>1928</v>
      </c>
      <c r="M220" t="s">
        <v>1929</v>
      </c>
      <c r="N220" t="s">
        <v>143</v>
      </c>
      <c r="O220" t="s">
        <v>164</v>
      </c>
      <c r="P220" t="s">
        <v>165</v>
      </c>
      <c r="Q220" t="s">
        <v>337</v>
      </c>
      <c r="R220" t="s">
        <v>167</v>
      </c>
      <c r="S220" t="s">
        <v>168</v>
      </c>
      <c r="T220" t="s">
        <v>169</v>
      </c>
      <c r="U220" t="s">
        <v>171</v>
      </c>
      <c r="V220">
        <v>2</v>
      </c>
      <c r="W220" t="s">
        <v>170</v>
      </c>
      <c r="X220" t="s">
        <v>1933</v>
      </c>
      <c r="Y220" t="s">
        <v>153</v>
      </c>
      <c r="Z220" s="53" t="s">
        <v>1934</v>
      </c>
      <c r="AA220">
        <v>1</v>
      </c>
      <c r="AB220"/>
      <c r="AC220"/>
      <c r="AD220">
        <v>1</v>
      </c>
      <c r="AE220"/>
      <c r="AF220"/>
      <c r="BG220" t="str">
        <f t="shared" si="3"/>
        <v/>
      </c>
      <c r="BH220" s="3" t="str" cm="1">
        <f t="array" ref="BH220">IF(AE220=1, _xlfn.TEXTJOIN(" &amp; ", TRUE, _xlfn._xlws.FILTER($AG$2:$BC$2, AG220:BC220=1)), "")</f>
        <v/>
      </c>
    </row>
    <row r="221" spans="1:60" x14ac:dyDescent="0.3">
      <c r="A221" t="s">
        <v>426</v>
      </c>
      <c r="B221" t="s">
        <v>1935</v>
      </c>
      <c r="C221" t="s">
        <v>427</v>
      </c>
      <c r="D221">
        <v>2020</v>
      </c>
      <c r="E221" s="52" t="s">
        <v>1936</v>
      </c>
      <c r="F221">
        <v>744281</v>
      </c>
      <c r="G221">
        <v>747998</v>
      </c>
      <c r="H221" t="s">
        <v>428</v>
      </c>
      <c r="I221" t="s">
        <v>426</v>
      </c>
      <c r="J221" s="51">
        <v>2.148148148148148E-2</v>
      </c>
      <c r="K221" t="s">
        <v>140</v>
      </c>
      <c r="L221" t="s">
        <v>429</v>
      </c>
      <c r="M221" t="s">
        <v>430</v>
      </c>
      <c r="N221" t="s">
        <v>143</v>
      </c>
      <c r="O221" t="s">
        <v>144</v>
      </c>
      <c r="P221" t="s">
        <v>431</v>
      </c>
      <c r="Q221" t="s">
        <v>146</v>
      </c>
      <c r="R221" t="s">
        <v>147</v>
      </c>
      <c r="S221" t="s">
        <v>148</v>
      </c>
      <c r="T221" t="s">
        <v>373</v>
      </c>
      <c r="U221" t="s">
        <v>151</v>
      </c>
      <c r="V221">
        <v>2</v>
      </c>
      <c r="W221" t="s">
        <v>269</v>
      </c>
      <c r="X221" t="s">
        <v>1937</v>
      </c>
      <c r="Y221" t="s">
        <v>153</v>
      </c>
      <c r="Z221" s="53" t="s">
        <v>1938</v>
      </c>
      <c r="AA221">
        <v>1</v>
      </c>
      <c r="AB221"/>
      <c r="AC221">
        <v>1</v>
      </c>
      <c r="AD221"/>
      <c r="AE221"/>
      <c r="AF221"/>
      <c r="BG221" t="str">
        <f t="shared" si="3"/>
        <v/>
      </c>
      <c r="BH221" s="3" t="str" cm="1">
        <f t="array" ref="BH221">IF(AE221=1, _xlfn.TEXTJOIN(" &amp; ", TRUE, _xlfn._xlws.FILTER($AG$2:$BC$2, AG221:BC221=1)), "")</f>
        <v/>
      </c>
    </row>
    <row r="222" spans="1:60" x14ac:dyDescent="0.3">
      <c r="A222" t="s">
        <v>426</v>
      </c>
      <c r="B222" t="s">
        <v>1939</v>
      </c>
      <c r="C222" t="s">
        <v>427</v>
      </c>
      <c r="D222">
        <v>2020</v>
      </c>
      <c r="E222" s="52" t="s">
        <v>1940</v>
      </c>
      <c r="F222">
        <v>1465152</v>
      </c>
      <c r="G222">
        <v>1466255</v>
      </c>
      <c r="H222" t="s">
        <v>584</v>
      </c>
      <c r="I222" t="s">
        <v>426</v>
      </c>
      <c r="J222" s="51">
        <v>2.148148148148148E-2</v>
      </c>
      <c r="K222" t="s">
        <v>140</v>
      </c>
      <c r="L222" t="s">
        <v>429</v>
      </c>
      <c r="M222" t="s">
        <v>430</v>
      </c>
      <c r="N222" t="s">
        <v>143</v>
      </c>
      <c r="O222" t="s">
        <v>164</v>
      </c>
      <c r="P222" t="s">
        <v>431</v>
      </c>
      <c r="Q222" t="s">
        <v>146</v>
      </c>
      <c r="R222" t="s">
        <v>147</v>
      </c>
      <c r="S222" t="s">
        <v>148</v>
      </c>
      <c r="T222" t="s">
        <v>373</v>
      </c>
      <c r="U222" t="s">
        <v>151</v>
      </c>
      <c r="V222">
        <v>2</v>
      </c>
      <c r="W222" t="s">
        <v>269</v>
      </c>
      <c r="X222" t="s">
        <v>1941</v>
      </c>
      <c r="Y222" t="s">
        <v>153</v>
      </c>
      <c r="Z222" s="53" t="s">
        <v>1942</v>
      </c>
      <c r="AA222">
        <v>1</v>
      </c>
      <c r="AB222">
        <v>1</v>
      </c>
      <c r="AC222"/>
      <c r="AD222">
        <v>1</v>
      </c>
      <c r="AE222"/>
      <c r="AF222"/>
      <c r="BG222" t="str">
        <f t="shared" si="3"/>
        <v/>
      </c>
      <c r="BH222" s="3" t="str" cm="1">
        <f t="array" ref="BH222">IF(AE222=1, _xlfn.TEXTJOIN(" &amp; ", TRUE, _xlfn._xlws.FILTER($AG$2:$BC$2, AG222:BC222=1)), "")</f>
        <v/>
      </c>
    </row>
    <row r="223" spans="1:60" x14ac:dyDescent="0.3">
      <c r="A223" t="s">
        <v>432</v>
      </c>
      <c r="B223" t="s">
        <v>1943</v>
      </c>
      <c r="C223" t="s">
        <v>433</v>
      </c>
      <c r="D223" t="s">
        <v>204</v>
      </c>
      <c r="E223" s="52" t="s">
        <v>1944</v>
      </c>
      <c r="F223">
        <v>449301</v>
      </c>
      <c r="G223">
        <v>461240</v>
      </c>
      <c r="H223" t="s">
        <v>434</v>
      </c>
      <c r="I223" t="s">
        <v>432</v>
      </c>
      <c r="J223" s="51">
        <v>8.5879629629629622E-3</v>
      </c>
      <c r="K223" t="s">
        <v>140</v>
      </c>
      <c r="L223" t="s">
        <v>435</v>
      </c>
      <c r="M223" t="s">
        <v>436</v>
      </c>
      <c r="N223" t="s">
        <v>143</v>
      </c>
      <c r="O223" t="s">
        <v>144</v>
      </c>
      <c r="P223" t="s">
        <v>145</v>
      </c>
      <c r="Q223" t="s">
        <v>146</v>
      </c>
      <c r="R223" t="s">
        <v>147</v>
      </c>
      <c r="S223" t="s">
        <v>148</v>
      </c>
      <c r="T223" t="s">
        <v>149</v>
      </c>
      <c r="U223" t="s">
        <v>151</v>
      </c>
      <c r="V223">
        <v>2</v>
      </c>
      <c r="W223" t="s">
        <v>150</v>
      </c>
      <c r="X223" t="s">
        <v>1945</v>
      </c>
      <c r="Y223" t="s">
        <v>153</v>
      </c>
      <c r="Z223" s="53" t="s">
        <v>1946</v>
      </c>
      <c r="AA223"/>
      <c r="AB223"/>
      <c r="AC223"/>
      <c r="AD223"/>
      <c r="AE223">
        <v>1</v>
      </c>
      <c r="AF223">
        <v>1</v>
      </c>
      <c r="AM223" s="7">
        <v>1</v>
      </c>
      <c r="AW223" s="21">
        <v>1</v>
      </c>
      <c r="AZ223" s="23">
        <v>1</v>
      </c>
      <c r="BD223" s="3">
        <v>1</v>
      </c>
      <c r="BG223" t="str">
        <f t="shared" si="3"/>
        <v>Interazionale &amp; Metatestuale &amp; Cognitiva</v>
      </c>
      <c r="BH223" s="3" t="str" cm="1">
        <f t="array" ref="BH223">IF(AE223=1, _xlfn.TEXTJOIN(" &amp; ", TRUE, _xlfn._xlws.FILTER($AG$2:$BC$2, AG223:BC223=1)), "")</f>
        <v>Marcatura della conoscenza condivisa &amp; General extenders e marche di generalizzazione &amp; Approssimazione</v>
      </c>
    </row>
    <row r="224" spans="1:60" x14ac:dyDescent="0.3">
      <c r="A224" t="s">
        <v>1947</v>
      </c>
      <c r="B224" t="s">
        <v>1948</v>
      </c>
      <c r="C224" t="s">
        <v>1949</v>
      </c>
      <c r="D224">
        <v>2019</v>
      </c>
      <c r="E224" s="52" t="s">
        <v>1950</v>
      </c>
      <c r="F224">
        <v>142214</v>
      </c>
      <c r="G224">
        <v>143712</v>
      </c>
      <c r="H224" t="s">
        <v>1951</v>
      </c>
      <c r="I224" t="s">
        <v>1947</v>
      </c>
      <c r="J224" s="51">
        <v>0.80486111111111114</v>
      </c>
      <c r="K224" t="s">
        <v>140</v>
      </c>
      <c r="L224" t="s">
        <v>1952</v>
      </c>
      <c r="M224" t="s">
        <v>1953</v>
      </c>
      <c r="N224" t="s">
        <v>143</v>
      </c>
      <c r="O224" t="s">
        <v>144</v>
      </c>
      <c r="P224" t="s">
        <v>145</v>
      </c>
      <c r="Q224" t="s">
        <v>146</v>
      </c>
      <c r="R224" t="s">
        <v>147</v>
      </c>
      <c r="S224" t="s">
        <v>148</v>
      </c>
      <c r="T224" t="s">
        <v>666</v>
      </c>
      <c r="U224" t="s">
        <v>151</v>
      </c>
      <c r="V224">
        <v>4</v>
      </c>
      <c r="W224" t="s">
        <v>150</v>
      </c>
      <c r="X224" t="s">
        <v>1954</v>
      </c>
      <c r="Y224" t="s">
        <v>153</v>
      </c>
      <c r="Z224" s="53" t="s">
        <v>1955</v>
      </c>
      <c r="AA224">
        <v>1</v>
      </c>
      <c r="AB224"/>
      <c r="AC224">
        <v>1</v>
      </c>
      <c r="AD224"/>
      <c r="AE224"/>
      <c r="AF224"/>
      <c r="BG224" t="str">
        <f t="shared" si="3"/>
        <v/>
      </c>
      <c r="BH224" s="3" t="str" cm="1">
        <f t="array" ref="BH224">IF(AE224=1, _xlfn.TEXTJOIN(" &amp; ", TRUE, _xlfn._xlws.FILTER($AG$2:$BC$2, AG224:BC224=1)), "")</f>
        <v/>
      </c>
    </row>
    <row r="225" spans="1:60" x14ac:dyDescent="0.3">
      <c r="A225" t="s">
        <v>1956</v>
      </c>
      <c r="B225" t="s">
        <v>1960</v>
      </c>
      <c r="C225" t="s">
        <v>1957</v>
      </c>
      <c r="D225">
        <v>2019</v>
      </c>
      <c r="E225" s="52" t="s">
        <v>1961</v>
      </c>
      <c r="F225">
        <v>1047291</v>
      </c>
      <c r="G225">
        <v>1052881</v>
      </c>
      <c r="H225" t="s">
        <v>1962</v>
      </c>
      <c r="I225" t="s">
        <v>1956</v>
      </c>
      <c r="J225" s="51">
        <v>2.9872685185185186E-2</v>
      </c>
      <c r="K225" t="s">
        <v>160</v>
      </c>
      <c r="L225" t="s">
        <v>1958</v>
      </c>
      <c r="M225" t="s">
        <v>1959</v>
      </c>
      <c r="N225" t="s">
        <v>197</v>
      </c>
      <c r="O225" t="s">
        <v>144</v>
      </c>
      <c r="P225" t="s">
        <v>145</v>
      </c>
      <c r="Q225" t="s">
        <v>179</v>
      </c>
      <c r="R225" t="s">
        <v>167</v>
      </c>
      <c r="S225" t="s">
        <v>168</v>
      </c>
      <c r="T225" t="s">
        <v>268</v>
      </c>
      <c r="U225" t="s">
        <v>198</v>
      </c>
      <c r="V225">
        <v>3</v>
      </c>
      <c r="W225" t="s">
        <v>170</v>
      </c>
      <c r="X225" t="s">
        <v>1963</v>
      </c>
      <c r="Y225" t="s">
        <v>153</v>
      </c>
      <c r="Z225" s="53" t="s">
        <v>1964</v>
      </c>
      <c r="AA225">
        <v>1</v>
      </c>
      <c r="AB225"/>
      <c r="AC225"/>
      <c r="AD225">
        <v>1</v>
      </c>
      <c r="AE225"/>
      <c r="AF225"/>
      <c r="BG225" t="str">
        <f t="shared" si="3"/>
        <v/>
      </c>
      <c r="BH225" s="3" t="str" cm="1">
        <f t="array" ref="BH225">IF(AE225=1, _xlfn.TEXTJOIN(" &amp; ", TRUE, _xlfn._xlws.FILTER($AG$2:$BC$2, AG225:BC225=1)), "")</f>
        <v/>
      </c>
    </row>
    <row r="226" spans="1:60" x14ac:dyDescent="0.3">
      <c r="A226" t="s">
        <v>437</v>
      </c>
      <c r="B226" t="s">
        <v>1965</v>
      </c>
      <c r="C226" t="s">
        <v>438</v>
      </c>
      <c r="D226">
        <v>2019</v>
      </c>
      <c r="E226" s="52" t="s">
        <v>1966</v>
      </c>
      <c r="F226">
        <v>295753</v>
      </c>
      <c r="G226">
        <v>300508</v>
      </c>
      <c r="H226" t="s">
        <v>439</v>
      </c>
      <c r="I226" t="s">
        <v>437</v>
      </c>
      <c r="J226" s="51">
        <v>7.2719907407407414E-2</v>
      </c>
      <c r="K226" t="s">
        <v>160</v>
      </c>
      <c r="L226" t="s">
        <v>440</v>
      </c>
      <c r="M226" t="s">
        <v>441</v>
      </c>
      <c r="N226" t="s">
        <v>336</v>
      </c>
      <c r="O226" t="s">
        <v>164</v>
      </c>
      <c r="P226" t="s">
        <v>145</v>
      </c>
      <c r="Q226" t="s">
        <v>337</v>
      </c>
      <c r="R226" t="s">
        <v>167</v>
      </c>
      <c r="S226" t="s">
        <v>168</v>
      </c>
      <c r="T226" t="s">
        <v>149</v>
      </c>
      <c r="U226" t="s">
        <v>318</v>
      </c>
      <c r="V226">
        <v>4</v>
      </c>
      <c r="W226" t="s">
        <v>170</v>
      </c>
      <c r="X226" t="s">
        <v>1967</v>
      </c>
      <c r="Y226" t="s">
        <v>153</v>
      </c>
      <c r="Z226" s="53" t="s">
        <v>1968</v>
      </c>
      <c r="AA226"/>
      <c r="AB226"/>
      <c r="AC226"/>
      <c r="AD226"/>
      <c r="AE226">
        <v>1</v>
      </c>
      <c r="AF226"/>
      <c r="AM226" s="7">
        <v>1</v>
      </c>
      <c r="AX226" s="23">
        <v>1</v>
      </c>
      <c r="BD226" s="3">
        <v>1</v>
      </c>
      <c r="BG226" t="str">
        <f t="shared" si="3"/>
        <v>Interazionale &amp; Cognitiva</v>
      </c>
      <c r="BH226" s="3" t="str" cm="1">
        <f t="array" ref="BH226">IF(AE226=1, _xlfn.TEXTJOIN(" &amp; ", TRUE, _xlfn._xlws.FILTER($AG$2:$BC$2, AG226:BC226=1)), "")</f>
        <v>Marcatura della conoscenza condivisa &amp; Marcatura dell'inferenza</v>
      </c>
    </row>
    <row r="227" spans="1:60" x14ac:dyDescent="0.3">
      <c r="A227" t="s">
        <v>437</v>
      </c>
      <c r="B227" t="s">
        <v>1969</v>
      </c>
      <c r="C227" t="s">
        <v>438</v>
      </c>
      <c r="D227">
        <v>2019</v>
      </c>
      <c r="E227" s="52" t="s">
        <v>1970</v>
      </c>
      <c r="F227">
        <v>312801</v>
      </c>
      <c r="G227">
        <v>315458</v>
      </c>
      <c r="H227" t="s">
        <v>439</v>
      </c>
      <c r="I227" t="s">
        <v>437</v>
      </c>
      <c r="J227" s="51">
        <v>7.2719907407407414E-2</v>
      </c>
      <c r="K227" t="s">
        <v>160</v>
      </c>
      <c r="L227" t="s">
        <v>440</v>
      </c>
      <c r="M227" t="s">
        <v>441</v>
      </c>
      <c r="N227" t="s">
        <v>336</v>
      </c>
      <c r="O227" t="s">
        <v>164</v>
      </c>
      <c r="P227" t="s">
        <v>145</v>
      </c>
      <c r="Q227" t="s">
        <v>337</v>
      </c>
      <c r="R227" t="s">
        <v>167</v>
      </c>
      <c r="S227" t="s">
        <v>168</v>
      </c>
      <c r="T227" t="s">
        <v>149</v>
      </c>
      <c r="U227" t="s">
        <v>318</v>
      </c>
      <c r="V227">
        <v>4</v>
      </c>
      <c r="W227" t="s">
        <v>170</v>
      </c>
      <c r="X227" t="s">
        <v>1971</v>
      </c>
      <c r="Y227" t="s">
        <v>153</v>
      </c>
      <c r="Z227" s="53" t="s">
        <v>1972</v>
      </c>
      <c r="AA227"/>
      <c r="AB227"/>
      <c r="AC227"/>
      <c r="AD227"/>
      <c r="AE227">
        <v>1</v>
      </c>
      <c r="AF227"/>
      <c r="AH227" s="8">
        <v>1</v>
      </c>
      <c r="BG227" t="str">
        <f t="shared" si="3"/>
        <v>Interazionale</v>
      </c>
      <c r="BH227" s="3" t="str" cm="1">
        <f t="array" ref="BH227">IF(AE227=1, _xlfn.TEXTJOIN(" &amp; ", TRUE, _xlfn._xlws.FILTER($AG$2:$BC$2, AG227:BC227=1)), "")</f>
        <v>Richiesta di accordo/conferma</v>
      </c>
    </row>
    <row r="228" spans="1:60" x14ac:dyDescent="0.3">
      <c r="A228" t="s">
        <v>437</v>
      </c>
      <c r="B228" t="s">
        <v>1973</v>
      </c>
      <c r="C228" t="s">
        <v>438</v>
      </c>
      <c r="D228">
        <v>2019</v>
      </c>
      <c r="E228" s="52" t="s">
        <v>1974</v>
      </c>
      <c r="F228">
        <v>759795</v>
      </c>
      <c r="G228">
        <v>764370</v>
      </c>
      <c r="H228" t="s">
        <v>439</v>
      </c>
      <c r="I228" t="s">
        <v>437</v>
      </c>
      <c r="J228" s="51">
        <v>7.2719907407407414E-2</v>
      </c>
      <c r="K228" t="s">
        <v>160</v>
      </c>
      <c r="L228" t="s">
        <v>440</v>
      </c>
      <c r="M228" t="s">
        <v>441</v>
      </c>
      <c r="N228" t="s">
        <v>336</v>
      </c>
      <c r="O228" t="s">
        <v>164</v>
      </c>
      <c r="P228" t="s">
        <v>145</v>
      </c>
      <c r="Q228" t="s">
        <v>337</v>
      </c>
      <c r="R228" t="s">
        <v>167</v>
      </c>
      <c r="S228" t="s">
        <v>168</v>
      </c>
      <c r="T228" t="s">
        <v>149</v>
      </c>
      <c r="U228" t="s">
        <v>318</v>
      </c>
      <c r="V228">
        <v>4</v>
      </c>
      <c r="W228" t="s">
        <v>170</v>
      </c>
      <c r="X228" t="s">
        <v>1975</v>
      </c>
      <c r="Y228" t="s">
        <v>153</v>
      </c>
      <c r="Z228" s="53" t="s">
        <v>1976</v>
      </c>
      <c r="AA228"/>
      <c r="AB228"/>
      <c r="AC228"/>
      <c r="AD228"/>
      <c r="AE228">
        <v>1</v>
      </c>
      <c r="AF228"/>
      <c r="AM228" s="7">
        <v>1</v>
      </c>
      <c r="BG228" t="str">
        <f t="shared" si="3"/>
        <v>Interazionale</v>
      </c>
      <c r="BH228" s="3" t="str" cm="1">
        <f t="array" ref="BH228">IF(AE228=1, _xlfn.TEXTJOIN(" &amp; ", TRUE, _xlfn._xlws.FILTER($AG$2:$BC$2, AG228:BC228=1)), "")</f>
        <v>Marcatura della conoscenza condivisa</v>
      </c>
    </row>
    <row r="229" spans="1:60" x14ac:dyDescent="0.3">
      <c r="A229" t="s">
        <v>437</v>
      </c>
      <c r="B229" t="s">
        <v>1977</v>
      </c>
      <c r="C229" t="s">
        <v>438</v>
      </c>
      <c r="D229">
        <v>2019</v>
      </c>
      <c r="E229" s="52" t="s">
        <v>1978</v>
      </c>
      <c r="F229">
        <v>1209796</v>
      </c>
      <c r="G229">
        <v>1213198</v>
      </c>
      <c r="H229" t="s">
        <v>439</v>
      </c>
      <c r="I229" t="s">
        <v>437</v>
      </c>
      <c r="J229" s="51">
        <v>7.2719907407407414E-2</v>
      </c>
      <c r="K229" t="s">
        <v>160</v>
      </c>
      <c r="L229" t="s">
        <v>440</v>
      </c>
      <c r="M229" t="s">
        <v>441</v>
      </c>
      <c r="N229" t="s">
        <v>336</v>
      </c>
      <c r="O229" t="s">
        <v>164</v>
      </c>
      <c r="P229" t="s">
        <v>145</v>
      </c>
      <c r="Q229" t="s">
        <v>337</v>
      </c>
      <c r="R229" t="s">
        <v>167</v>
      </c>
      <c r="S229" t="s">
        <v>168</v>
      </c>
      <c r="T229" t="s">
        <v>149</v>
      </c>
      <c r="U229" t="s">
        <v>318</v>
      </c>
      <c r="V229">
        <v>4</v>
      </c>
      <c r="W229" t="s">
        <v>170</v>
      </c>
      <c r="X229" t="s">
        <v>1979</v>
      </c>
      <c r="Y229" t="s">
        <v>153</v>
      </c>
      <c r="Z229" s="53" t="s">
        <v>1980</v>
      </c>
      <c r="AA229">
        <v>1</v>
      </c>
      <c r="AB229">
        <v>1</v>
      </c>
      <c r="AC229"/>
      <c r="AD229"/>
      <c r="AE229"/>
      <c r="AF229"/>
      <c r="BG229" t="str">
        <f t="shared" si="3"/>
        <v/>
      </c>
      <c r="BH229" s="3" t="str" cm="1">
        <f t="array" ref="BH229">IF(AE229=1, _xlfn.TEXTJOIN(" &amp; ", TRUE, _xlfn._xlws.FILTER($AG$2:$BC$2, AG229:BC229=1)), "")</f>
        <v/>
      </c>
    </row>
    <row r="230" spans="1:60" x14ac:dyDescent="0.3">
      <c r="A230" t="s">
        <v>437</v>
      </c>
      <c r="B230" t="s">
        <v>1981</v>
      </c>
      <c r="C230" t="s">
        <v>438</v>
      </c>
      <c r="D230">
        <v>2019</v>
      </c>
      <c r="E230" s="52" t="s">
        <v>1982</v>
      </c>
      <c r="F230">
        <v>1861203</v>
      </c>
      <c r="G230">
        <v>1863207</v>
      </c>
      <c r="H230" t="s">
        <v>439</v>
      </c>
      <c r="I230" t="s">
        <v>437</v>
      </c>
      <c r="J230" s="51">
        <v>7.2719907407407414E-2</v>
      </c>
      <c r="K230" t="s">
        <v>160</v>
      </c>
      <c r="L230" t="s">
        <v>440</v>
      </c>
      <c r="M230" t="s">
        <v>441</v>
      </c>
      <c r="N230" t="s">
        <v>336</v>
      </c>
      <c r="O230" t="s">
        <v>164</v>
      </c>
      <c r="P230" t="s">
        <v>145</v>
      </c>
      <c r="Q230" t="s">
        <v>337</v>
      </c>
      <c r="R230" t="s">
        <v>167</v>
      </c>
      <c r="S230" t="s">
        <v>168</v>
      </c>
      <c r="T230" t="s">
        <v>149</v>
      </c>
      <c r="U230" t="s">
        <v>318</v>
      </c>
      <c r="V230">
        <v>4</v>
      </c>
      <c r="W230" t="s">
        <v>170</v>
      </c>
      <c r="X230" t="s">
        <v>1983</v>
      </c>
      <c r="Y230" t="s">
        <v>153</v>
      </c>
      <c r="Z230" s="53" t="s">
        <v>1984</v>
      </c>
      <c r="AA230"/>
      <c r="AB230"/>
      <c r="AC230"/>
      <c r="AD230"/>
      <c r="AE230">
        <v>1</v>
      </c>
      <c r="AF230">
        <v>1</v>
      </c>
      <c r="AM230" s="7">
        <v>1</v>
      </c>
      <c r="BG230" t="str">
        <f t="shared" si="3"/>
        <v>Interazionale</v>
      </c>
      <c r="BH230" s="3" t="str" cm="1">
        <f t="array" ref="BH230">IF(AE230=1, _xlfn.TEXTJOIN(" &amp; ", TRUE, _xlfn._xlws.FILTER($AG$2:$BC$2, AG230:BC230=1)), "")</f>
        <v>Marcatura della conoscenza condivisa</v>
      </c>
    </row>
    <row r="231" spans="1:60" x14ac:dyDescent="0.3">
      <c r="A231" t="s">
        <v>437</v>
      </c>
      <c r="B231" t="s">
        <v>1985</v>
      </c>
      <c r="C231" t="s">
        <v>438</v>
      </c>
      <c r="D231">
        <v>2019</v>
      </c>
      <c r="E231" s="52" t="s">
        <v>1986</v>
      </c>
      <c r="F231">
        <v>1994940</v>
      </c>
      <c r="G231">
        <v>1997707</v>
      </c>
      <c r="H231" t="s">
        <v>439</v>
      </c>
      <c r="I231" t="s">
        <v>437</v>
      </c>
      <c r="J231" s="51">
        <v>7.2719907407407414E-2</v>
      </c>
      <c r="K231" t="s">
        <v>160</v>
      </c>
      <c r="L231" t="s">
        <v>440</v>
      </c>
      <c r="M231" t="s">
        <v>441</v>
      </c>
      <c r="N231" t="s">
        <v>336</v>
      </c>
      <c r="O231" t="s">
        <v>164</v>
      </c>
      <c r="P231" t="s">
        <v>145</v>
      </c>
      <c r="Q231" t="s">
        <v>337</v>
      </c>
      <c r="R231" t="s">
        <v>167</v>
      </c>
      <c r="S231" t="s">
        <v>168</v>
      </c>
      <c r="T231" t="s">
        <v>149</v>
      </c>
      <c r="U231" t="s">
        <v>318</v>
      </c>
      <c r="V231">
        <v>4</v>
      </c>
      <c r="W231" t="s">
        <v>170</v>
      </c>
      <c r="X231" t="s">
        <v>1987</v>
      </c>
      <c r="Y231" t="s">
        <v>153</v>
      </c>
      <c r="Z231" s="53" t="s">
        <v>1988</v>
      </c>
      <c r="AA231"/>
      <c r="AB231"/>
      <c r="AC231"/>
      <c r="AD231"/>
      <c r="AE231">
        <v>1</v>
      </c>
      <c r="AF231"/>
      <c r="AM231" s="7">
        <v>1</v>
      </c>
      <c r="AU231" s="21">
        <v>1</v>
      </c>
      <c r="BD231" s="3">
        <v>1</v>
      </c>
      <c r="BG231" t="str">
        <f t="shared" si="3"/>
        <v>Interazionale &amp; Metatestuale</v>
      </c>
      <c r="BH231" s="3" t="str" cm="1">
        <f t="array" ref="BH231">IF(AE231=1, _xlfn.TEXTJOIN(" &amp; ", TRUE, _xlfn._xlws.FILTER($AG$2:$BC$2, AG231:BC231=1)), "")</f>
        <v>Marcatura della conoscenza condivisa &amp; Esemplificazione</v>
      </c>
    </row>
    <row r="232" spans="1:60" x14ac:dyDescent="0.3">
      <c r="A232" t="s">
        <v>437</v>
      </c>
      <c r="B232" t="s">
        <v>442</v>
      </c>
      <c r="C232" t="s">
        <v>438</v>
      </c>
      <c r="D232">
        <v>2019</v>
      </c>
      <c r="E232" s="52" t="s">
        <v>443</v>
      </c>
      <c r="F232">
        <v>2962506</v>
      </c>
      <c r="G232">
        <v>2964610</v>
      </c>
      <c r="H232" t="s">
        <v>439</v>
      </c>
      <c r="I232" t="s">
        <v>437</v>
      </c>
      <c r="J232" s="51">
        <v>7.2719907407407414E-2</v>
      </c>
      <c r="K232" t="s">
        <v>160</v>
      </c>
      <c r="L232" t="s">
        <v>440</v>
      </c>
      <c r="M232" t="s">
        <v>441</v>
      </c>
      <c r="N232" t="s">
        <v>336</v>
      </c>
      <c r="O232" t="s">
        <v>164</v>
      </c>
      <c r="P232" t="s">
        <v>145</v>
      </c>
      <c r="Q232" t="s">
        <v>337</v>
      </c>
      <c r="R232" t="s">
        <v>167</v>
      </c>
      <c r="S232" t="s">
        <v>168</v>
      </c>
      <c r="T232" t="s">
        <v>149</v>
      </c>
      <c r="U232" t="s">
        <v>318</v>
      </c>
      <c r="V232">
        <v>4</v>
      </c>
      <c r="W232" t="s">
        <v>170</v>
      </c>
      <c r="X232" t="s">
        <v>444</v>
      </c>
      <c r="Y232" t="s">
        <v>153</v>
      </c>
      <c r="Z232" s="53" t="s">
        <v>445</v>
      </c>
      <c r="AA232">
        <v>1</v>
      </c>
      <c r="AB232">
        <v>1</v>
      </c>
      <c r="AC232"/>
      <c r="AD232"/>
      <c r="AE232"/>
      <c r="AF232"/>
      <c r="BG232" t="str">
        <f t="shared" si="3"/>
        <v/>
      </c>
      <c r="BH232" s="3" t="str" cm="1">
        <f t="array" ref="BH232">IF(AE232=1, _xlfn.TEXTJOIN(" &amp; ", TRUE, _xlfn._xlws.FILTER($AG$2:$BC$2, AG232:BC232=1)), "")</f>
        <v/>
      </c>
    </row>
    <row r="233" spans="1:60" x14ac:dyDescent="0.3">
      <c r="A233" t="s">
        <v>437</v>
      </c>
      <c r="B233" t="s">
        <v>1989</v>
      </c>
      <c r="C233" t="s">
        <v>438</v>
      </c>
      <c r="D233">
        <v>2019</v>
      </c>
      <c r="E233" s="52" t="s">
        <v>1990</v>
      </c>
      <c r="F233">
        <v>3070390</v>
      </c>
      <c r="G233">
        <v>3072407</v>
      </c>
      <c r="H233" t="s">
        <v>439</v>
      </c>
      <c r="I233" t="s">
        <v>437</v>
      </c>
      <c r="J233" s="51">
        <v>7.2719907407407414E-2</v>
      </c>
      <c r="K233" t="s">
        <v>160</v>
      </c>
      <c r="L233" t="s">
        <v>440</v>
      </c>
      <c r="M233" t="s">
        <v>441</v>
      </c>
      <c r="N233" t="s">
        <v>336</v>
      </c>
      <c r="O233" t="s">
        <v>164</v>
      </c>
      <c r="P233" t="s">
        <v>145</v>
      </c>
      <c r="Q233" t="s">
        <v>337</v>
      </c>
      <c r="R233" t="s">
        <v>167</v>
      </c>
      <c r="S233" t="s">
        <v>168</v>
      </c>
      <c r="T233" t="s">
        <v>149</v>
      </c>
      <c r="U233" t="s">
        <v>318</v>
      </c>
      <c r="V233">
        <v>4</v>
      </c>
      <c r="W233" t="s">
        <v>170</v>
      </c>
      <c r="X233" t="s">
        <v>1991</v>
      </c>
      <c r="Y233" t="s">
        <v>153</v>
      </c>
      <c r="Z233" s="53" t="s">
        <v>1992</v>
      </c>
      <c r="AA233"/>
      <c r="AB233"/>
      <c r="AC233"/>
      <c r="AD233"/>
      <c r="AE233">
        <v>1</v>
      </c>
      <c r="AF233"/>
      <c r="AU233" s="21">
        <v>1</v>
      </c>
      <c r="BG233" t="str">
        <f t="shared" si="3"/>
        <v>Metatestuale</v>
      </c>
      <c r="BH233" s="3" t="str" cm="1">
        <f t="array" ref="BH233">IF(AE233=1, _xlfn.TEXTJOIN(" &amp; ", TRUE, _xlfn._xlws.FILTER($AG$2:$BC$2, AG233:BC233=1)), "")</f>
        <v>Esemplificazione</v>
      </c>
    </row>
    <row r="234" spans="1:60" x14ac:dyDescent="0.3">
      <c r="A234" t="s">
        <v>437</v>
      </c>
      <c r="B234" t="s">
        <v>1993</v>
      </c>
      <c r="C234" t="s">
        <v>438</v>
      </c>
      <c r="D234">
        <v>2019</v>
      </c>
      <c r="E234" s="52" t="s">
        <v>1994</v>
      </c>
      <c r="F234">
        <v>3680644</v>
      </c>
      <c r="G234">
        <v>3683776</v>
      </c>
      <c r="H234" t="s">
        <v>439</v>
      </c>
      <c r="I234" t="s">
        <v>437</v>
      </c>
      <c r="J234" s="51">
        <v>7.2719907407407414E-2</v>
      </c>
      <c r="K234" t="s">
        <v>160</v>
      </c>
      <c r="L234" t="s">
        <v>440</v>
      </c>
      <c r="M234" t="s">
        <v>441</v>
      </c>
      <c r="N234" t="s">
        <v>336</v>
      </c>
      <c r="O234" t="s">
        <v>164</v>
      </c>
      <c r="P234" t="s">
        <v>145</v>
      </c>
      <c r="Q234" t="s">
        <v>337</v>
      </c>
      <c r="R234" t="s">
        <v>167</v>
      </c>
      <c r="S234" t="s">
        <v>168</v>
      </c>
      <c r="T234" t="s">
        <v>149</v>
      </c>
      <c r="U234" t="s">
        <v>318</v>
      </c>
      <c r="V234">
        <v>4</v>
      </c>
      <c r="W234" t="s">
        <v>170</v>
      </c>
      <c r="X234" t="s">
        <v>1995</v>
      </c>
      <c r="Y234" t="s">
        <v>153</v>
      </c>
      <c r="Z234" s="53" t="s">
        <v>1996</v>
      </c>
      <c r="AA234">
        <v>1</v>
      </c>
      <c r="AB234">
        <v>1</v>
      </c>
      <c r="AC234">
        <v>1</v>
      </c>
      <c r="AD234"/>
      <c r="AE234"/>
      <c r="AF234"/>
      <c r="BG234" t="str">
        <f t="shared" si="3"/>
        <v/>
      </c>
      <c r="BH234" s="3" t="str" cm="1">
        <f t="array" ref="BH234">IF(AE234=1, _xlfn.TEXTJOIN(" &amp; ", TRUE, _xlfn._xlws.FILTER($AG$2:$BC$2, AG234:BC234=1)), "")</f>
        <v/>
      </c>
    </row>
    <row r="235" spans="1:60" x14ac:dyDescent="0.3">
      <c r="A235" t="s">
        <v>437</v>
      </c>
      <c r="B235" t="s">
        <v>1997</v>
      </c>
      <c r="C235" t="s">
        <v>438</v>
      </c>
      <c r="D235">
        <v>2019</v>
      </c>
      <c r="E235" s="52" t="s">
        <v>1998</v>
      </c>
      <c r="F235">
        <v>3818060</v>
      </c>
      <c r="G235">
        <v>3821897</v>
      </c>
      <c r="H235" t="s">
        <v>439</v>
      </c>
      <c r="I235" t="s">
        <v>437</v>
      </c>
      <c r="J235" s="51">
        <v>7.2719907407407414E-2</v>
      </c>
      <c r="K235" t="s">
        <v>160</v>
      </c>
      <c r="L235" t="s">
        <v>440</v>
      </c>
      <c r="M235" t="s">
        <v>441</v>
      </c>
      <c r="N235" t="s">
        <v>336</v>
      </c>
      <c r="O235" t="s">
        <v>164</v>
      </c>
      <c r="P235" t="s">
        <v>145</v>
      </c>
      <c r="Q235" t="s">
        <v>337</v>
      </c>
      <c r="R235" t="s">
        <v>167</v>
      </c>
      <c r="S235" t="s">
        <v>168</v>
      </c>
      <c r="T235" t="s">
        <v>149</v>
      </c>
      <c r="U235" t="s">
        <v>318</v>
      </c>
      <c r="V235">
        <v>4</v>
      </c>
      <c r="W235" t="s">
        <v>170</v>
      </c>
      <c r="X235" t="s">
        <v>1999</v>
      </c>
      <c r="Y235" t="s">
        <v>153</v>
      </c>
      <c r="Z235" s="53" t="s">
        <v>2000</v>
      </c>
      <c r="AA235"/>
      <c r="AB235"/>
      <c r="AC235"/>
      <c r="AD235"/>
      <c r="AE235">
        <v>1</v>
      </c>
      <c r="AF235"/>
      <c r="AM235" s="7">
        <v>1</v>
      </c>
      <c r="BG235" t="str">
        <f t="shared" si="3"/>
        <v>Interazionale</v>
      </c>
      <c r="BH235" s="3" t="str" cm="1">
        <f t="array" ref="BH235">IF(AE235=1, _xlfn.TEXTJOIN(" &amp; ", TRUE, _xlfn._xlws.FILTER($AG$2:$BC$2, AG235:BC235=1)), "")</f>
        <v>Marcatura della conoscenza condivisa</v>
      </c>
    </row>
    <row r="236" spans="1:60" x14ac:dyDescent="0.3">
      <c r="A236" t="s">
        <v>437</v>
      </c>
      <c r="B236" t="s">
        <v>2001</v>
      </c>
      <c r="C236" t="s">
        <v>438</v>
      </c>
      <c r="D236">
        <v>2019</v>
      </c>
      <c r="E236" s="52" t="s">
        <v>2002</v>
      </c>
      <c r="F236">
        <v>4059299</v>
      </c>
      <c r="G236">
        <v>4061255</v>
      </c>
      <c r="H236" t="s">
        <v>439</v>
      </c>
      <c r="I236" t="s">
        <v>437</v>
      </c>
      <c r="J236" s="51">
        <v>7.2719907407407414E-2</v>
      </c>
      <c r="K236" t="s">
        <v>160</v>
      </c>
      <c r="L236" t="s">
        <v>440</v>
      </c>
      <c r="M236" t="s">
        <v>441</v>
      </c>
      <c r="N236" t="s">
        <v>336</v>
      </c>
      <c r="O236" t="s">
        <v>164</v>
      </c>
      <c r="P236" t="s">
        <v>145</v>
      </c>
      <c r="Q236" t="s">
        <v>337</v>
      </c>
      <c r="R236" t="s">
        <v>167</v>
      </c>
      <c r="S236" t="s">
        <v>168</v>
      </c>
      <c r="T236" t="s">
        <v>149</v>
      </c>
      <c r="U236" t="s">
        <v>318</v>
      </c>
      <c r="V236">
        <v>4</v>
      </c>
      <c r="W236" t="s">
        <v>170</v>
      </c>
      <c r="X236" t="s">
        <v>2003</v>
      </c>
      <c r="Y236" t="s">
        <v>153</v>
      </c>
      <c r="Z236" s="53" t="s">
        <v>2004</v>
      </c>
      <c r="AA236">
        <v>1</v>
      </c>
      <c r="AB236">
        <v>1</v>
      </c>
      <c r="AC236">
        <v>1</v>
      </c>
      <c r="AD236"/>
      <c r="AE236"/>
      <c r="AF236"/>
      <c r="BG236" t="str">
        <f t="shared" si="3"/>
        <v/>
      </c>
      <c r="BH236" s="3" t="str" cm="1">
        <f t="array" ref="BH236">IF(AE236=1, _xlfn.TEXTJOIN(" &amp; ", TRUE, _xlfn._xlws.FILTER($AG$2:$BC$2, AG236:BC236=1)), "")</f>
        <v/>
      </c>
    </row>
    <row r="237" spans="1:60" x14ac:dyDescent="0.3">
      <c r="A237" t="s">
        <v>437</v>
      </c>
      <c r="B237" t="s">
        <v>2005</v>
      </c>
      <c r="C237" t="s">
        <v>438</v>
      </c>
      <c r="D237">
        <v>2019</v>
      </c>
      <c r="E237" s="52" t="s">
        <v>2006</v>
      </c>
      <c r="F237">
        <v>4095559</v>
      </c>
      <c r="G237">
        <v>4100087</v>
      </c>
      <c r="H237" t="s">
        <v>439</v>
      </c>
      <c r="I237" t="s">
        <v>437</v>
      </c>
      <c r="J237" s="51">
        <v>7.2719907407407414E-2</v>
      </c>
      <c r="K237" t="s">
        <v>160</v>
      </c>
      <c r="L237" t="s">
        <v>440</v>
      </c>
      <c r="M237" t="s">
        <v>441</v>
      </c>
      <c r="N237" t="s">
        <v>336</v>
      </c>
      <c r="O237" t="s">
        <v>164</v>
      </c>
      <c r="P237" t="s">
        <v>145</v>
      </c>
      <c r="Q237" t="s">
        <v>337</v>
      </c>
      <c r="R237" t="s">
        <v>167</v>
      </c>
      <c r="S237" t="s">
        <v>168</v>
      </c>
      <c r="T237" t="s">
        <v>149</v>
      </c>
      <c r="U237" t="s">
        <v>318</v>
      </c>
      <c r="V237">
        <v>4</v>
      </c>
      <c r="W237" t="s">
        <v>170</v>
      </c>
      <c r="X237" t="s">
        <v>2007</v>
      </c>
      <c r="Y237" t="s">
        <v>153</v>
      </c>
      <c r="Z237" s="53" t="s">
        <v>2008</v>
      </c>
      <c r="AA237">
        <v>1</v>
      </c>
      <c r="AB237">
        <v>1</v>
      </c>
      <c r="AC237">
        <v>1</v>
      </c>
      <c r="AD237"/>
      <c r="AE237"/>
      <c r="AF237"/>
      <c r="BG237" t="str">
        <f t="shared" si="3"/>
        <v/>
      </c>
      <c r="BH237" s="3" t="str" cm="1">
        <f t="array" ref="BH237">IF(AE237=1, _xlfn.TEXTJOIN(" &amp; ", TRUE, _xlfn._xlws.FILTER($AG$2:$BC$2, AG237:BC237=1)), "")</f>
        <v/>
      </c>
    </row>
    <row r="238" spans="1:60" x14ac:dyDescent="0.3">
      <c r="A238" t="s">
        <v>437</v>
      </c>
      <c r="B238" t="s">
        <v>2009</v>
      </c>
      <c r="C238" t="s">
        <v>438</v>
      </c>
      <c r="D238">
        <v>2019</v>
      </c>
      <c r="E238" s="52" t="s">
        <v>2010</v>
      </c>
      <c r="F238">
        <v>4123297</v>
      </c>
      <c r="G238">
        <v>4126212</v>
      </c>
      <c r="H238" t="s">
        <v>439</v>
      </c>
      <c r="I238" t="s">
        <v>437</v>
      </c>
      <c r="J238" s="51">
        <v>7.2719907407407414E-2</v>
      </c>
      <c r="K238" t="s">
        <v>160</v>
      </c>
      <c r="L238" t="s">
        <v>440</v>
      </c>
      <c r="M238" t="s">
        <v>441</v>
      </c>
      <c r="N238" t="s">
        <v>336</v>
      </c>
      <c r="O238" t="s">
        <v>164</v>
      </c>
      <c r="P238" t="s">
        <v>145</v>
      </c>
      <c r="Q238" t="s">
        <v>337</v>
      </c>
      <c r="R238" t="s">
        <v>167</v>
      </c>
      <c r="S238" t="s">
        <v>168</v>
      </c>
      <c r="T238" t="s">
        <v>149</v>
      </c>
      <c r="U238" t="s">
        <v>318</v>
      </c>
      <c r="V238">
        <v>4</v>
      </c>
      <c r="W238" t="s">
        <v>170</v>
      </c>
      <c r="X238" t="s">
        <v>2011</v>
      </c>
      <c r="Y238" t="s">
        <v>153</v>
      </c>
      <c r="Z238" s="53" t="s">
        <v>2012</v>
      </c>
      <c r="AA238">
        <v>1</v>
      </c>
      <c r="AB238"/>
      <c r="AC238">
        <v>1</v>
      </c>
      <c r="AD238"/>
      <c r="AE238"/>
      <c r="AF238"/>
      <c r="BG238" t="str">
        <f t="shared" si="3"/>
        <v/>
      </c>
      <c r="BH238" s="3" t="str" cm="1">
        <f t="array" ref="BH238">IF(AE238=1, _xlfn.TEXTJOIN(" &amp; ", TRUE, _xlfn._xlws.FILTER($AG$2:$BC$2, AG238:BC238=1)), "")</f>
        <v/>
      </c>
    </row>
    <row r="239" spans="1:60" x14ac:dyDescent="0.3">
      <c r="A239" t="s">
        <v>437</v>
      </c>
      <c r="B239" t="s">
        <v>446</v>
      </c>
      <c r="C239" t="s">
        <v>438</v>
      </c>
      <c r="D239">
        <v>2019</v>
      </c>
      <c r="E239" s="52" t="s">
        <v>447</v>
      </c>
      <c r="F239">
        <v>4181158</v>
      </c>
      <c r="G239">
        <v>4184743</v>
      </c>
      <c r="H239" t="s">
        <v>439</v>
      </c>
      <c r="I239" t="s">
        <v>437</v>
      </c>
      <c r="J239" s="51">
        <v>7.2719907407407414E-2</v>
      </c>
      <c r="K239" t="s">
        <v>160</v>
      </c>
      <c r="L239" t="s">
        <v>440</v>
      </c>
      <c r="M239" t="s">
        <v>441</v>
      </c>
      <c r="N239" t="s">
        <v>336</v>
      </c>
      <c r="O239" t="s">
        <v>164</v>
      </c>
      <c r="P239" t="s">
        <v>145</v>
      </c>
      <c r="Q239" t="s">
        <v>337</v>
      </c>
      <c r="R239" t="s">
        <v>167</v>
      </c>
      <c r="S239" t="s">
        <v>168</v>
      </c>
      <c r="T239" t="s">
        <v>149</v>
      </c>
      <c r="U239" t="s">
        <v>318</v>
      </c>
      <c r="V239">
        <v>4</v>
      </c>
      <c r="W239" t="s">
        <v>170</v>
      </c>
      <c r="X239" t="s">
        <v>448</v>
      </c>
      <c r="Y239" t="s">
        <v>153</v>
      </c>
      <c r="Z239" s="53" t="s">
        <v>449</v>
      </c>
      <c r="AA239">
        <v>1</v>
      </c>
      <c r="AB239">
        <v>1</v>
      </c>
      <c r="AC239"/>
      <c r="AD239"/>
      <c r="AE239"/>
      <c r="AF239"/>
      <c r="BG239" t="str">
        <f t="shared" si="3"/>
        <v/>
      </c>
      <c r="BH239" s="3" t="str" cm="1">
        <f t="array" ref="BH239">IF(AE239=1, _xlfn.TEXTJOIN(" &amp; ", TRUE, _xlfn._xlws.FILTER($AG$2:$BC$2, AG239:BC239=1)), "")</f>
        <v/>
      </c>
    </row>
    <row r="240" spans="1:60" x14ac:dyDescent="0.3">
      <c r="A240" t="s">
        <v>437</v>
      </c>
      <c r="B240" t="s">
        <v>2013</v>
      </c>
      <c r="C240" t="s">
        <v>438</v>
      </c>
      <c r="D240">
        <v>2019</v>
      </c>
      <c r="E240" s="52" t="s">
        <v>2014</v>
      </c>
      <c r="F240">
        <v>4656264</v>
      </c>
      <c r="G240">
        <v>4658773</v>
      </c>
      <c r="H240" t="s">
        <v>593</v>
      </c>
      <c r="I240" t="s">
        <v>437</v>
      </c>
      <c r="J240" s="51">
        <v>7.2719907407407414E-2</v>
      </c>
      <c r="K240" t="s">
        <v>160</v>
      </c>
      <c r="L240" t="s">
        <v>440</v>
      </c>
      <c r="M240" t="s">
        <v>441</v>
      </c>
      <c r="N240" t="s">
        <v>336</v>
      </c>
      <c r="O240" t="s">
        <v>164</v>
      </c>
      <c r="P240" t="s">
        <v>145</v>
      </c>
      <c r="Q240" t="s">
        <v>228</v>
      </c>
      <c r="R240" t="s">
        <v>167</v>
      </c>
      <c r="S240" t="s">
        <v>168</v>
      </c>
      <c r="T240" t="s">
        <v>149</v>
      </c>
      <c r="U240" t="s">
        <v>349</v>
      </c>
      <c r="V240">
        <v>4</v>
      </c>
      <c r="W240" t="s">
        <v>170</v>
      </c>
      <c r="X240" t="s">
        <v>2015</v>
      </c>
      <c r="Y240" t="s">
        <v>153</v>
      </c>
      <c r="Z240" s="53" t="s">
        <v>2016</v>
      </c>
      <c r="AA240">
        <v>1</v>
      </c>
      <c r="AB240">
        <v>1</v>
      </c>
      <c r="AC240"/>
      <c r="AD240"/>
      <c r="AE240"/>
      <c r="AF240"/>
      <c r="BG240" t="str">
        <f t="shared" si="3"/>
        <v/>
      </c>
      <c r="BH240" s="3" t="str" cm="1">
        <f t="array" ref="BH240">IF(AE240=1, _xlfn.TEXTJOIN(" &amp; ", TRUE, _xlfn._xlws.FILTER($AG$2:$BC$2, AG240:BC240=1)), "")</f>
        <v/>
      </c>
    </row>
    <row r="241" spans="1:60" x14ac:dyDescent="0.3">
      <c r="A241" t="s">
        <v>437</v>
      </c>
      <c r="B241" t="s">
        <v>2017</v>
      </c>
      <c r="C241" t="s">
        <v>438</v>
      </c>
      <c r="D241">
        <v>2019</v>
      </c>
      <c r="E241" s="52" t="s">
        <v>2018</v>
      </c>
      <c r="F241">
        <v>4916181</v>
      </c>
      <c r="G241">
        <v>4918286</v>
      </c>
      <c r="H241" t="s">
        <v>439</v>
      </c>
      <c r="I241" t="s">
        <v>437</v>
      </c>
      <c r="J241" s="51">
        <v>7.2719907407407414E-2</v>
      </c>
      <c r="K241" t="s">
        <v>160</v>
      </c>
      <c r="L241" t="s">
        <v>440</v>
      </c>
      <c r="M241" t="s">
        <v>441</v>
      </c>
      <c r="N241" t="s">
        <v>336</v>
      </c>
      <c r="O241" t="s">
        <v>164</v>
      </c>
      <c r="P241" t="s">
        <v>145</v>
      </c>
      <c r="Q241" t="s">
        <v>337</v>
      </c>
      <c r="R241" t="s">
        <v>167</v>
      </c>
      <c r="S241" t="s">
        <v>168</v>
      </c>
      <c r="T241" t="s">
        <v>149</v>
      </c>
      <c r="U241" t="s">
        <v>318</v>
      </c>
      <c r="V241">
        <v>4</v>
      </c>
      <c r="W241" t="s">
        <v>170</v>
      </c>
      <c r="X241" t="s">
        <v>2019</v>
      </c>
      <c r="Y241" t="s">
        <v>153</v>
      </c>
      <c r="Z241" s="53" t="s">
        <v>2020</v>
      </c>
      <c r="AA241">
        <v>1</v>
      </c>
      <c r="AB241">
        <v>1</v>
      </c>
      <c r="AC241">
        <v>1</v>
      </c>
      <c r="AD241"/>
      <c r="AE241"/>
      <c r="AF241"/>
      <c r="BG241" t="str">
        <f t="shared" si="3"/>
        <v/>
      </c>
      <c r="BH241" s="3" t="str" cm="1">
        <f t="array" ref="BH241">IF(AE241=1, _xlfn.TEXTJOIN(" &amp; ", TRUE, _xlfn._xlws.FILTER($AG$2:$BC$2, AG241:BC241=1)), "")</f>
        <v/>
      </c>
    </row>
    <row r="242" spans="1:60" x14ac:dyDescent="0.3">
      <c r="A242" t="s">
        <v>437</v>
      </c>
      <c r="B242" t="s">
        <v>2021</v>
      </c>
      <c r="C242" t="s">
        <v>438</v>
      </c>
      <c r="D242">
        <v>2019</v>
      </c>
      <c r="E242" s="52" t="s">
        <v>2022</v>
      </c>
      <c r="F242">
        <v>5350217</v>
      </c>
      <c r="G242">
        <v>5352996</v>
      </c>
      <c r="H242" t="s">
        <v>439</v>
      </c>
      <c r="I242" t="s">
        <v>437</v>
      </c>
      <c r="J242" s="51">
        <v>7.2719907407407414E-2</v>
      </c>
      <c r="K242" t="s">
        <v>160</v>
      </c>
      <c r="L242" t="s">
        <v>440</v>
      </c>
      <c r="M242" t="s">
        <v>441</v>
      </c>
      <c r="N242" t="s">
        <v>336</v>
      </c>
      <c r="O242" t="s">
        <v>164</v>
      </c>
      <c r="P242" t="s">
        <v>145</v>
      </c>
      <c r="Q242" t="s">
        <v>337</v>
      </c>
      <c r="R242" t="s">
        <v>167</v>
      </c>
      <c r="S242" t="s">
        <v>168</v>
      </c>
      <c r="T242" t="s">
        <v>149</v>
      </c>
      <c r="U242" t="s">
        <v>318</v>
      </c>
      <c r="V242">
        <v>4</v>
      </c>
      <c r="W242" t="s">
        <v>170</v>
      </c>
      <c r="X242" t="s">
        <v>2023</v>
      </c>
      <c r="Y242" t="s">
        <v>153</v>
      </c>
      <c r="Z242" s="53" t="s">
        <v>2024</v>
      </c>
      <c r="AA242">
        <v>1</v>
      </c>
      <c r="AB242"/>
      <c r="AC242">
        <v>1</v>
      </c>
      <c r="AD242"/>
      <c r="AE242"/>
      <c r="AF242"/>
      <c r="BG242" t="str">
        <f t="shared" si="3"/>
        <v/>
      </c>
      <c r="BH242" s="3" t="str" cm="1">
        <f t="array" ref="BH242">IF(AE242=1, _xlfn.TEXTJOIN(" &amp; ", TRUE, _xlfn._xlws.FILTER($AG$2:$BC$2, AG242:BC242=1)), "")</f>
        <v/>
      </c>
    </row>
    <row r="243" spans="1:60" x14ac:dyDescent="0.3">
      <c r="A243" t="s">
        <v>437</v>
      </c>
      <c r="B243" t="s">
        <v>2025</v>
      </c>
      <c r="C243" t="s">
        <v>438</v>
      </c>
      <c r="D243">
        <v>2019</v>
      </c>
      <c r="E243" s="52" t="s">
        <v>2026</v>
      </c>
      <c r="F243">
        <v>5480534</v>
      </c>
      <c r="G243">
        <v>5483399</v>
      </c>
      <c r="H243" t="s">
        <v>439</v>
      </c>
      <c r="I243" t="s">
        <v>437</v>
      </c>
      <c r="J243" s="51">
        <v>7.2719907407407414E-2</v>
      </c>
      <c r="K243" t="s">
        <v>160</v>
      </c>
      <c r="L243" t="s">
        <v>440</v>
      </c>
      <c r="M243" t="s">
        <v>441</v>
      </c>
      <c r="N243" t="s">
        <v>336</v>
      </c>
      <c r="O243" t="s">
        <v>164</v>
      </c>
      <c r="P243" t="s">
        <v>145</v>
      </c>
      <c r="Q243" t="s">
        <v>337</v>
      </c>
      <c r="R243" t="s">
        <v>167</v>
      </c>
      <c r="S243" t="s">
        <v>168</v>
      </c>
      <c r="T243" t="s">
        <v>149</v>
      </c>
      <c r="U243" t="s">
        <v>318</v>
      </c>
      <c r="V243">
        <v>4</v>
      </c>
      <c r="W243" t="s">
        <v>170</v>
      </c>
      <c r="X243" t="s">
        <v>2027</v>
      </c>
      <c r="Y243" t="s">
        <v>153</v>
      </c>
      <c r="Z243" s="53" t="s">
        <v>2028</v>
      </c>
      <c r="AA243"/>
      <c r="AB243"/>
      <c r="AC243"/>
      <c r="AD243"/>
      <c r="AE243">
        <v>1</v>
      </c>
      <c r="AF243"/>
      <c r="AM243" s="7">
        <v>1</v>
      </c>
      <c r="BG243" t="str">
        <f t="shared" si="3"/>
        <v>Interazionale</v>
      </c>
      <c r="BH243" s="3" t="str" cm="1">
        <f t="array" ref="BH243">IF(AE243=1, _xlfn.TEXTJOIN(" &amp; ", TRUE, _xlfn._xlws.FILTER($AG$2:$BC$2, AG243:BC243=1)), "")</f>
        <v>Marcatura della conoscenza condivisa</v>
      </c>
    </row>
    <row r="244" spans="1:60" x14ac:dyDescent="0.3">
      <c r="A244" t="s">
        <v>437</v>
      </c>
      <c r="B244" t="s">
        <v>2029</v>
      </c>
      <c r="C244" t="s">
        <v>438</v>
      </c>
      <c r="D244">
        <v>2019</v>
      </c>
      <c r="E244" s="52" t="s">
        <v>2030</v>
      </c>
      <c r="F244">
        <v>5587304</v>
      </c>
      <c r="G244">
        <v>5591370</v>
      </c>
      <c r="H244" t="s">
        <v>439</v>
      </c>
      <c r="I244" t="s">
        <v>437</v>
      </c>
      <c r="J244" s="51">
        <v>7.2719907407407414E-2</v>
      </c>
      <c r="K244" t="s">
        <v>160</v>
      </c>
      <c r="L244" t="s">
        <v>440</v>
      </c>
      <c r="M244" t="s">
        <v>441</v>
      </c>
      <c r="N244" t="s">
        <v>336</v>
      </c>
      <c r="O244" t="s">
        <v>164</v>
      </c>
      <c r="P244" t="s">
        <v>145</v>
      </c>
      <c r="Q244" t="s">
        <v>337</v>
      </c>
      <c r="R244" t="s">
        <v>167</v>
      </c>
      <c r="S244" t="s">
        <v>168</v>
      </c>
      <c r="T244" t="s">
        <v>149</v>
      </c>
      <c r="U244" t="s">
        <v>318</v>
      </c>
      <c r="V244">
        <v>4</v>
      </c>
      <c r="W244" t="s">
        <v>170</v>
      </c>
      <c r="X244" t="s">
        <v>2031</v>
      </c>
      <c r="Y244" t="s">
        <v>153</v>
      </c>
      <c r="Z244" s="53" t="s">
        <v>2032</v>
      </c>
      <c r="AA244"/>
      <c r="AB244"/>
      <c r="AC244"/>
      <c r="AD244"/>
      <c r="AE244">
        <v>1</v>
      </c>
      <c r="AF244"/>
      <c r="AM244" s="7">
        <v>1</v>
      </c>
      <c r="BG244" t="str">
        <f t="shared" si="3"/>
        <v>Interazionale</v>
      </c>
      <c r="BH244" s="3" t="str" cm="1">
        <f t="array" ref="BH244">IF(AE244=1, _xlfn.TEXTJOIN(" &amp; ", TRUE, _xlfn._xlws.FILTER($AG$2:$BC$2, AG244:BC244=1)), "")</f>
        <v>Marcatura della conoscenza condivisa</v>
      </c>
    </row>
    <row r="245" spans="1:60" x14ac:dyDescent="0.3">
      <c r="A245" t="s">
        <v>2033</v>
      </c>
      <c r="B245" t="s">
        <v>2034</v>
      </c>
      <c r="C245" t="s">
        <v>2035</v>
      </c>
      <c r="D245">
        <v>2021</v>
      </c>
      <c r="E245" s="52" t="s">
        <v>2036</v>
      </c>
      <c r="F245">
        <v>1516500</v>
      </c>
      <c r="G245">
        <v>1517905</v>
      </c>
      <c r="H245" t="s">
        <v>250</v>
      </c>
      <c r="I245" t="s">
        <v>2033</v>
      </c>
      <c r="J245" s="51">
        <v>3.6527777777777777E-2</v>
      </c>
      <c r="K245" t="s">
        <v>160</v>
      </c>
      <c r="L245" t="s">
        <v>2037</v>
      </c>
      <c r="M245" t="s">
        <v>2038</v>
      </c>
      <c r="N245" t="s">
        <v>143</v>
      </c>
      <c r="O245" t="s">
        <v>144</v>
      </c>
      <c r="P245" t="s">
        <v>165</v>
      </c>
      <c r="Q245" t="s">
        <v>146</v>
      </c>
      <c r="R245" t="s">
        <v>167</v>
      </c>
      <c r="S245" t="s">
        <v>168</v>
      </c>
      <c r="T245" t="s">
        <v>169</v>
      </c>
      <c r="U245" t="s">
        <v>151</v>
      </c>
      <c r="V245">
        <v>2</v>
      </c>
      <c r="W245" t="s">
        <v>170</v>
      </c>
      <c r="X245" t="s">
        <v>2039</v>
      </c>
      <c r="Y245" t="s">
        <v>153</v>
      </c>
      <c r="Z245" s="53" t="s">
        <v>2040</v>
      </c>
      <c r="AA245">
        <v>1</v>
      </c>
      <c r="AB245"/>
      <c r="AC245">
        <v>1</v>
      </c>
      <c r="AD245"/>
      <c r="AE245"/>
      <c r="AF245"/>
      <c r="BG245" t="str">
        <f t="shared" si="3"/>
        <v/>
      </c>
      <c r="BH245" s="3" t="str" cm="1">
        <f t="array" ref="BH245">IF(AE245=1, _xlfn.TEXTJOIN(" &amp; ", TRUE, _xlfn._xlws.FILTER($AG$2:$BC$2, AG245:BC245=1)), "")</f>
        <v/>
      </c>
    </row>
    <row r="246" spans="1:60" x14ac:dyDescent="0.3">
      <c r="A246" t="s">
        <v>2041</v>
      </c>
      <c r="B246" t="s">
        <v>2045</v>
      </c>
      <c r="C246" t="s">
        <v>2042</v>
      </c>
      <c r="D246">
        <v>2024</v>
      </c>
      <c r="E246" s="52" t="s">
        <v>2046</v>
      </c>
      <c r="F246">
        <v>493900</v>
      </c>
      <c r="G246">
        <v>495080</v>
      </c>
      <c r="H246" t="s">
        <v>2047</v>
      </c>
      <c r="I246" t="s">
        <v>2041</v>
      </c>
      <c r="J246" s="51">
        <v>3.6145833333333335E-2</v>
      </c>
      <c r="K246" t="s">
        <v>140</v>
      </c>
      <c r="L246" t="s">
        <v>2043</v>
      </c>
      <c r="M246" t="s">
        <v>2044</v>
      </c>
      <c r="N246" t="s">
        <v>336</v>
      </c>
      <c r="O246" t="s">
        <v>144</v>
      </c>
      <c r="P246" t="s">
        <v>165</v>
      </c>
      <c r="Q246" t="s">
        <v>228</v>
      </c>
      <c r="R246" t="s">
        <v>147</v>
      </c>
      <c r="S246" t="s">
        <v>148</v>
      </c>
      <c r="T246" t="s">
        <v>400</v>
      </c>
      <c r="U246" t="s">
        <v>229</v>
      </c>
      <c r="V246">
        <v>3</v>
      </c>
      <c r="W246" t="s">
        <v>269</v>
      </c>
      <c r="X246" t="s">
        <v>2048</v>
      </c>
      <c r="Y246" t="s">
        <v>153</v>
      </c>
      <c r="Z246" s="53" t="s">
        <v>2049</v>
      </c>
      <c r="AA246"/>
      <c r="AB246"/>
      <c r="AC246"/>
      <c r="AD246"/>
      <c r="AE246">
        <v>1</v>
      </c>
      <c r="AF246"/>
      <c r="AY246" s="10">
        <v>1</v>
      </c>
      <c r="BG246" t="str">
        <f t="shared" si="3"/>
        <v>Cognitiva</v>
      </c>
      <c r="BH246" s="3" t="str" cm="1">
        <f t="array" ref="BH246">IF(AE246=1, _xlfn.TEXTJOIN(" &amp; ", TRUE, _xlfn._xlws.FILTER($AG$2:$BC$2, AG246:BC246=1)), "")</f>
        <v>Modulazione del grado di confidenza del parlante</v>
      </c>
    </row>
    <row r="247" spans="1:60" x14ac:dyDescent="0.3">
      <c r="A247" t="s">
        <v>2041</v>
      </c>
      <c r="B247" t="s">
        <v>2050</v>
      </c>
      <c r="C247" t="s">
        <v>2042</v>
      </c>
      <c r="D247">
        <v>2024</v>
      </c>
      <c r="E247" s="52" t="s">
        <v>2051</v>
      </c>
      <c r="F247">
        <v>891713</v>
      </c>
      <c r="G247">
        <v>893633</v>
      </c>
      <c r="H247" t="s">
        <v>2052</v>
      </c>
      <c r="I247" t="s">
        <v>2041</v>
      </c>
      <c r="J247" s="51">
        <v>3.6145833333333335E-2</v>
      </c>
      <c r="K247" t="s">
        <v>140</v>
      </c>
      <c r="L247" t="s">
        <v>2043</v>
      </c>
      <c r="M247" t="s">
        <v>2044</v>
      </c>
      <c r="N247" t="s">
        <v>336</v>
      </c>
      <c r="O247" t="s">
        <v>144</v>
      </c>
      <c r="P247" t="s">
        <v>165</v>
      </c>
      <c r="Q247" t="s">
        <v>228</v>
      </c>
      <c r="R247" t="s">
        <v>147</v>
      </c>
      <c r="S247" t="s">
        <v>148</v>
      </c>
      <c r="T247" t="s">
        <v>169</v>
      </c>
      <c r="U247" t="s">
        <v>229</v>
      </c>
      <c r="V247">
        <v>3</v>
      </c>
      <c r="W247" t="s">
        <v>269</v>
      </c>
      <c r="X247" t="s">
        <v>2053</v>
      </c>
      <c r="Y247" t="s">
        <v>153</v>
      </c>
      <c r="Z247" s="53" t="s">
        <v>2054</v>
      </c>
      <c r="AA247">
        <v>1</v>
      </c>
      <c r="AB247"/>
      <c r="AC247">
        <v>1</v>
      </c>
      <c r="AD247"/>
      <c r="AE247"/>
      <c r="AF247"/>
      <c r="BG247" t="str">
        <f t="shared" si="3"/>
        <v/>
      </c>
      <c r="BH247" s="3" t="str" cm="1">
        <f t="array" ref="BH247">IF(AE247=1, _xlfn.TEXTJOIN(" &amp; ", TRUE, _xlfn._xlws.FILTER($AG$2:$BC$2, AG247:BC247=1)), "")</f>
        <v/>
      </c>
    </row>
    <row r="248" spans="1:60" x14ac:dyDescent="0.3">
      <c r="A248" t="s">
        <v>2041</v>
      </c>
      <c r="B248" t="s">
        <v>2055</v>
      </c>
      <c r="C248" t="s">
        <v>2042</v>
      </c>
      <c r="D248">
        <v>2024</v>
      </c>
      <c r="E248" s="52" t="s">
        <v>2056</v>
      </c>
      <c r="F248">
        <v>2938089</v>
      </c>
      <c r="G248">
        <v>2938499</v>
      </c>
      <c r="H248" t="s">
        <v>2052</v>
      </c>
      <c r="I248" t="s">
        <v>2041</v>
      </c>
      <c r="J248" s="51">
        <v>3.6145833333333335E-2</v>
      </c>
      <c r="K248" t="s">
        <v>140</v>
      </c>
      <c r="L248" t="s">
        <v>2043</v>
      </c>
      <c r="M248" t="s">
        <v>2044</v>
      </c>
      <c r="N248" t="s">
        <v>336</v>
      </c>
      <c r="O248" t="s">
        <v>144</v>
      </c>
      <c r="P248" t="s">
        <v>165</v>
      </c>
      <c r="Q248" t="s">
        <v>228</v>
      </c>
      <c r="R248" t="s">
        <v>147</v>
      </c>
      <c r="S248" t="s">
        <v>148</v>
      </c>
      <c r="T248" t="s">
        <v>169</v>
      </c>
      <c r="U248" t="s">
        <v>229</v>
      </c>
      <c r="V248">
        <v>3</v>
      </c>
      <c r="W248" t="s">
        <v>269</v>
      </c>
      <c r="X248" t="s">
        <v>2057</v>
      </c>
      <c r="Y248" t="s">
        <v>153</v>
      </c>
      <c r="Z248" s="53" t="s">
        <v>2058</v>
      </c>
      <c r="AA248">
        <v>1</v>
      </c>
      <c r="AB248">
        <v>1</v>
      </c>
      <c r="AC248"/>
      <c r="AD248"/>
      <c r="AE248"/>
      <c r="AF248"/>
      <c r="BG248" t="str">
        <f t="shared" si="3"/>
        <v/>
      </c>
      <c r="BH248" s="3" t="str" cm="1">
        <f t="array" ref="BH248">IF(AE248=1, _xlfn.TEXTJOIN(" &amp; ", TRUE, _xlfn._xlws.FILTER($AG$2:$BC$2, AG248:BC248=1)), "")</f>
        <v/>
      </c>
    </row>
    <row r="249" spans="1:60" x14ac:dyDescent="0.3">
      <c r="A249" t="s">
        <v>2059</v>
      </c>
      <c r="B249" t="s">
        <v>2060</v>
      </c>
      <c r="C249" t="s">
        <v>2061</v>
      </c>
      <c r="D249">
        <v>2020</v>
      </c>
      <c r="E249" s="52" t="s">
        <v>2062</v>
      </c>
      <c r="F249">
        <v>140619</v>
      </c>
      <c r="G249">
        <v>141648</v>
      </c>
      <c r="H249" t="s">
        <v>2063</v>
      </c>
      <c r="I249" t="s">
        <v>2059</v>
      </c>
      <c r="J249" s="51">
        <v>2.4386574074074074E-2</v>
      </c>
      <c r="K249" t="s">
        <v>140</v>
      </c>
      <c r="L249" t="s">
        <v>2064</v>
      </c>
      <c r="M249" t="s">
        <v>2065</v>
      </c>
      <c r="N249" t="s">
        <v>324</v>
      </c>
      <c r="O249" t="s">
        <v>144</v>
      </c>
      <c r="P249" t="s">
        <v>2066</v>
      </c>
      <c r="Q249" t="s">
        <v>228</v>
      </c>
      <c r="R249" t="s">
        <v>147</v>
      </c>
      <c r="S249" t="s">
        <v>148</v>
      </c>
      <c r="T249" t="s">
        <v>180</v>
      </c>
      <c r="U249" t="s">
        <v>229</v>
      </c>
      <c r="V249">
        <v>3</v>
      </c>
      <c r="W249" t="s">
        <v>269</v>
      </c>
      <c r="X249" t="s">
        <v>2067</v>
      </c>
      <c r="Y249" t="s">
        <v>153</v>
      </c>
      <c r="Z249" s="53" t="s">
        <v>2068</v>
      </c>
      <c r="AA249">
        <v>1</v>
      </c>
      <c r="AB249"/>
      <c r="AC249"/>
      <c r="AD249">
        <v>1</v>
      </c>
      <c r="AE249"/>
      <c r="AF249"/>
      <c r="BG249" t="str">
        <f t="shared" si="3"/>
        <v/>
      </c>
      <c r="BH249" s="3" t="str" cm="1">
        <f t="array" ref="BH249">IF(AE249=1, _xlfn.TEXTJOIN(" &amp; ", TRUE, _xlfn._xlws.FILTER($AG$2:$BC$2, AG249:BC249=1)), "")</f>
        <v/>
      </c>
    </row>
    <row r="250" spans="1:60" x14ac:dyDescent="0.3">
      <c r="A250" t="s">
        <v>2059</v>
      </c>
      <c r="B250" t="s">
        <v>2069</v>
      </c>
      <c r="C250" t="s">
        <v>2061</v>
      </c>
      <c r="D250">
        <v>2020</v>
      </c>
      <c r="E250" s="52" t="s">
        <v>2070</v>
      </c>
      <c r="F250">
        <v>1419777</v>
      </c>
      <c r="G250">
        <v>1423089</v>
      </c>
      <c r="H250" t="s">
        <v>2063</v>
      </c>
      <c r="I250" t="s">
        <v>2059</v>
      </c>
      <c r="J250" s="51">
        <v>2.4386574074074074E-2</v>
      </c>
      <c r="K250" t="s">
        <v>140</v>
      </c>
      <c r="L250" t="s">
        <v>2064</v>
      </c>
      <c r="M250" t="s">
        <v>2065</v>
      </c>
      <c r="N250" t="s">
        <v>324</v>
      </c>
      <c r="O250" t="s">
        <v>144</v>
      </c>
      <c r="P250" t="s">
        <v>2066</v>
      </c>
      <c r="Q250" t="s">
        <v>228</v>
      </c>
      <c r="R250" t="s">
        <v>147</v>
      </c>
      <c r="S250" t="s">
        <v>148</v>
      </c>
      <c r="T250" t="s">
        <v>180</v>
      </c>
      <c r="U250" t="s">
        <v>229</v>
      </c>
      <c r="V250">
        <v>3</v>
      </c>
      <c r="W250" t="s">
        <v>269</v>
      </c>
      <c r="X250" t="s">
        <v>2071</v>
      </c>
      <c r="Y250" t="s">
        <v>153</v>
      </c>
      <c r="Z250" s="53" t="s">
        <v>2072</v>
      </c>
      <c r="AA250">
        <v>1</v>
      </c>
      <c r="AB250"/>
      <c r="AC250">
        <v>1</v>
      </c>
      <c r="AD250"/>
      <c r="AE250"/>
      <c r="AF250"/>
      <c r="BG250" t="str">
        <f t="shared" si="3"/>
        <v/>
      </c>
      <c r="BH250" s="3" t="str" cm="1">
        <f t="array" ref="BH250">IF(AE250=1, _xlfn.TEXTJOIN(" &amp; ", TRUE, _xlfn._xlws.FILTER($AG$2:$BC$2, AG250:BC250=1)), "")</f>
        <v/>
      </c>
    </row>
    <row r="251" spans="1:60" x14ac:dyDescent="0.3">
      <c r="A251" t="s">
        <v>450</v>
      </c>
      <c r="B251" t="s">
        <v>2073</v>
      </c>
      <c r="C251" t="s">
        <v>452</v>
      </c>
      <c r="D251">
        <v>2022</v>
      </c>
      <c r="E251" s="52" t="s">
        <v>2074</v>
      </c>
      <c r="F251">
        <v>1457898</v>
      </c>
      <c r="G251">
        <v>1459939</v>
      </c>
      <c r="H251" t="s">
        <v>2052</v>
      </c>
      <c r="I251" t="s">
        <v>450</v>
      </c>
      <c r="J251" s="51">
        <v>8.4895833333333337E-2</v>
      </c>
      <c r="K251" t="s">
        <v>140</v>
      </c>
      <c r="L251" t="s">
        <v>455</v>
      </c>
      <c r="M251" t="s">
        <v>456</v>
      </c>
      <c r="N251" t="s">
        <v>336</v>
      </c>
      <c r="O251" t="s">
        <v>144</v>
      </c>
      <c r="P251" t="s">
        <v>457</v>
      </c>
      <c r="Q251" t="s">
        <v>228</v>
      </c>
      <c r="R251" t="s">
        <v>147</v>
      </c>
      <c r="S251" t="s">
        <v>148</v>
      </c>
      <c r="T251" t="s">
        <v>169</v>
      </c>
      <c r="U251" t="s">
        <v>229</v>
      </c>
      <c r="V251">
        <v>3</v>
      </c>
      <c r="W251" t="s">
        <v>269</v>
      </c>
      <c r="X251" t="s">
        <v>2075</v>
      </c>
      <c r="Y251" t="s">
        <v>153</v>
      </c>
      <c r="Z251" s="53" t="s">
        <v>2076</v>
      </c>
      <c r="AA251"/>
      <c r="AB251"/>
      <c r="AC251"/>
      <c r="AD251"/>
      <c r="AE251">
        <v>1</v>
      </c>
      <c r="AF251"/>
      <c r="AM251" s="7">
        <v>1</v>
      </c>
      <c r="AY251" s="10">
        <v>1</v>
      </c>
      <c r="BD251" s="3">
        <v>1</v>
      </c>
      <c r="BG251" t="str">
        <f t="shared" si="3"/>
        <v>Interazionale &amp; Cognitiva</v>
      </c>
      <c r="BH251" s="3" t="str" cm="1">
        <f t="array" ref="BH251">IF(AE251=1, _xlfn.TEXTJOIN(" &amp; ", TRUE, _xlfn._xlws.FILTER($AG$2:$BC$2, AG251:BC251=1)), "")</f>
        <v>Marcatura della conoscenza condivisa &amp; Modulazione del grado di confidenza del parlante</v>
      </c>
    </row>
    <row r="252" spans="1:60" x14ac:dyDescent="0.3">
      <c r="A252" t="s">
        <v>450</v>
      </c>
      <c r="B252" t="s">
        <v>2077</v>
      </c>
      <c r="C252" t="s">
        <v>452</v>
      </c>
      <c r="D252">
        <v>2022</v>
      </c>
      <c r="E252" s="52" t="s">
        <v>2078</v>
      </c>
      <c r="F252">
        <v>2188640</v>
      </c>
      <c r="G252">
        <v>2194861</v>
      </c>
      <c r="H252" t="s">
        <v>454</v>
      </c>
      <c r="I252" t="s">
        <v>450</v>
      </c>
      <c r="J252" s="51">
        <v>8.4895833333333337E-2</v>
      </c>
      <c r="K252" t="s">
        <v>140</v>
      </c>
      <c r="L252" t="s">
        <v>455</v>
      </c>
      <c r="M252" t="s">
        <v>456</v>
      </c>
      <c r="N252" t="s">
        <v>415</v>
      </c>
      <c r="O252" t="s">
        <v>144</v>
      </c>
      <c r="P252" t="s">
        <v>457</v>
      </c>
      <c r="Q252" t="s">
        <v>179</v>
      </c>
      <c r="R252" t="s">
        <v>147</v>
      </c>
      <c r="S252" t="s">
        <v>148</v>
      </c>
      <c r="T252" t="s">
        <v>180</v>
      </c>
      <c r="U252" t="s">
        <v>171</v>
      </c>
      <c r="V252">
        <v>3</v>
      </c>
      <c r="W252" t="s">
        <v>269</v>
      </c>
      <c r="X252" t="s">
        <v>2079</v>
      </c>
      <c r="Y252" t="s">
        <v>153</v>
      </c>
      <c r="Z252" s="53" t="s">
        <v>2080</v>
      </c>
      <c r="AA252"/>
      <c r="AB252"/>
      <c r="AC252"/>
      <c r="AD252"/>
      <c r="AE252">
        <v>1</v>
      </c>
      <c r="AF252"/>
      <c r="AW252" s="21">
        <v>1</v>
      </c>
      <c r="BG252" t="str">
        <f t="shared" si="3"/>
        <v>Metatestuale</v>
      </c>
      <c r="BH252" s="3" t="str" cm="1">
        <f t="array" ref="BH252">IF(AE252=1, _xlfn.TEXTJOIN(" &amp; ", TRUE, _xlfn._xlws.FILTER($AG$2:$BC$2, AG252:BC252=1)), "")</f>
        <v>General extenders e marche di generalizzazione</v>
      </c>
    </row>
    <row r="253" spans="1:60" x14ac:dyDescent="0.3">
      <c r="A253" t="s">
        <v>450</v>
      </c>
      <c r="B253" t="s">
        <v>2081</v>
      </c>
      <c r="C253" t="s">
        <v>452</v>
      </c>
      <c r="D253">
        <v>2022</v>
      </c>
      <c r="E253" s="52" t="s">
        <v>2082</v>
      </c>
      <c r="F253">
        <v>2252871</v>
      </c>
      <c r="G253">
        <v>2254062</v>
      </c>
      <c r="H253" t="s">
        <v>454</v>
      </c>
      <c r="I253" t="s">
        <v>450</v>
      </c>
      <c r="J253" s="51">
        <v>8.4895833333333337E-2</v>
      </c>
      <c r="K253" t="s">
        <v>140</v>
      </c>
      <c r="L253" t="s">
        <v>455</v>
      </c>
      <c r="M253" t="s">
        <v>456</v>
      </c>
      <c r="N253" t="s">
        <v>415</v>
      </c>
      <c r="O253" t="s">
        <v>144</v>
      </c>
      <c r="P253" t="s">
        <v>457</v>
      </c>
      <c r="Q253" t="s">
        <v>179</v>
      </c>
      <c r="R253" t="s">
        <v>147</v>
      </c>
      <c r="S253" t="s">
        <v>148</v>
      </c>
      <c r="T253" t="s">
        <v>180</v>
      </c>
      <c r="U253" t="s">
        <v>171</v>
      </c>
      <c r="V253">
        <v>3</v>
      </c>
      <c r="W253" t="s">
        <v>269</v>
      </c>
      <c r="X253" t="s">
        <v>2083</v>
      </c>
      <c r="Y253" t="s">
        <v>153</v>
      </c>
      <c r="Z253" s="53" t="s">
        <v>2084</v>
      </c>
      <c r="AA253">
        <v>1</v>
      </c>
      <c r="AB253">
        <v>1</v>
      </c>
      <c r="AC253"/>
      <c r="AD253"/>
      <c r="AE253"/>
      <c r="AF253"/>
      <c r="BG253" t="str">
        <f t="shared" si="3"/>
        <v/>
      </c>
      <c r="BH253" s="3" t="str" cm="1">
        <f t="array" ref="BH253">IF(AE253=1, _xlfn.TEXTJOIN(" &amp; ", TRUE, _xlfn._xlws.FILTER($AG$2:$BC$2, AG253:BC253=1)), "")</f>
        <v/>
      </c>
    </row>
    <row r="254" spans="1:60" x14ac:dyDescent="0.3">
      <c r="A254" t="s">
        <v>450</v>
      </c>
      <c r="B254" t="s">
        <v>2085</v>
      </c>
      <c r="C254" t="s">
        <v>452</v>
      </c>
      <c r="D254">
        <v>2022</v>
      </c>
      <c r="E254" s="52" t="s">
        <v>2086</v>
      </c>
      <c r="F254">
        <v>2304850</v>
      </c>
      <c r="G254">
        <v>2308111</v>
      </c>
      <c r="H254" t="s">
        <v>454</v>
      </c>
      <c r="I254" t="s">
        <v>450</v>
      </c>
      <c r="J254" s="51">
        <v>8.4895833333333337E-2</v>
      </c>
      <c r="K254" t="s">
        <v>140</v>
      </c>
      <c r="L254" t="s">
        <v>455</v>
      </c>
      <c r="M254" t="s">
        <v>456</v>
      </c>
      <c r="N254" t="s">
        <v>415</v>
      </c>
      <c r="O254" t="s">
        <v>144</v>
      </c>
      <c r="P254" t="s">
        <v>457</v>
      </c>
      <c r="Q254" t="s">
        <v>179</v>
      </c>
      <c r="R254" t="s">
        <v>147</v>
      </c>
      <c r="S254" t="s">
        <v>148</v>
      </c>
      <c r="T254" t="s">
        <v>180</v>
      </c>
      <c r="U254" t="s">
        <v>171</v>
      </c>
      <c r="V254">
        <v>3</v>
      </c>
      <c r="W254" t="s">
        <v>269</v>
      </c>
      <c r="X254" t="s">
        <v>2087</v>
      </c>
      <c r="Y254" t="s">
        <v>153</v>
      </c>
      <c r="Z254" s="53" t="s">
        <v>2088</v>
      </c>
      <c r="AA254">
        <v>1</v>
      </c>
      <c r="AB254"/>
      <c r="AC254">
        <v>1</v>
      </c>
      <c r="AD254"/>
      <c r="AE254"/>
      <c r="AF254"/>
      <c r="BG254" t="str">
        <f t="shared" si="3"/>
        <v/>
      </c>
      <c r="BH254" s="3" t="str" cm="1">
        <f t="array" ref="BH254">IF(AE254=1, _xlfn.TEXTJOIN(" &amp; ", TRUE, _xlfn._xlws.FILTER($AG$2:$BC$2, AG254:BC254=1)), "")</f>
        <v/>
      </c>
    </row>
    <row r="255" spans="1:60" x14ac:dyDescent="0.3">
      <c r="A255" t="s">
        <v>450</v>
      </c>
      <c r="B255" t="s">
        <v>2090</v>
      </c>
      <c r="C255" t="s">
        <v>452</v>
      </c>
      <c r="D255">
        <v>2022</v>
      </c>
      <c r="E255" s="52" t="s">
        <v>2091</v>
      </c>
      <c r="F255">
        <v>3481080</v>
      </c>
      <c r="G255">
        <v>3484731</v>
      </c>
      <c r="H255" t="s">
        <v>454</v>
      </c>
      <c r="I255" t="s">
        <v>450</v>
      </c>
      <c r="J255" s="51">
        <v>8.4895833333333337E-2</v>
      </c>
      <c r="K255" t="s">
        <v>140</v>
      </c>
      <c r="L255" t="s">
        <v>455</v>
      </c>
      <c r="M255" t="s">
        <v>456</v>
      </c>
      <c r="N255" t="s">
        <v>415</v>
      </c>
      <c r="O255" t="s">
        <v>144</v>
      </c>
      <c r="P255" t="s">
        <v>457</v>
      </c>
      <c r="Q255" t="s">
        <v>179</v>
      </c>
      <c r="R255" t="s">
        <v>147</v>
      </c>
      <c r="S255" t="s">
        <v>148</v>
      </c>
      <c r="T255" t="s">
        <v>180</v>
      </c>
      <c r="U255" t="s">
        <v>171</v>
      </c>
      <c r="V255">
        <v>3</v>
      </c>
      <c r="W255" t="s">
        <v>269</v>
      </c>
      <c r="X255" t="s">
        <v>2092</v>
      </c>
      <c r="Y255" t="s">
        <v>153</v>
      </c>
      <c r="Z255" s="53" t="s">
        <v>2093</v>
      </c>
      <c r="AA255"/>
      <c r="AB255"/>
      <c r="AC255"/>
      <c r="AD255"/>
      <c r="AE255">
        <v>1</v>
      </c>
      <c r="AF255"/>
      <c r="AM255" s="7">
        <v>1</v>
      </c>
      <c r="AU255" s="21">
        <v>1</v>
      </c>
      <c r="BD255" s="3">
        <v>1</v>
      </c>
      <c r="BG255" t="str">
        <f t="shared" si="3"/>
        <v>Interazionale &amp; Metatestuale</v>
      </c>
      <c r="BH255" s="3" t="str" cm="1">
        <f t="array" ref="BH255">IF(AE255=1, _xlfn.TEXTJOIN(" &amp; ", TRUE, _xlfn._xlws.FILTER($AG$2:$BC$2, AG255:BC255=1)), "")</f>
        <v>Marcatura della conoscenza condivisa &amp; Esemplificazione</v>
      </c>
    </row>
    <row r="256" spans="1:60" x14ac:dyDescent="0.3">
      <c r="A256" t="s">
        <v>450</v>
      </c>
      <c r="B256" t="s">
        <v>2094</v>
      </c>
      <c r="C256" t="s">
        <v>452</v>
      </c>
      <c r="D256">
        <v>2022</v>
      </c>
      <c r="E256" s="52" t="s">
        <v>2095</v>
      </c>
      <c r="F256">
        <v>3558795</v>
      </c>
      <c r="G256">
        <v>3567816</v>
      </c>
      <c r="H256" t="s">
        <v>454</v>
      </c>
      <c r="I256" t="s">
        <v>450</v>
      </c>
      <c r="J256" s="51">
        <v>8.4895833333333337E-2</v>
      </c>
      <c r="K256" t="s">
        <v>140</v>
      </c>
      <c r="L256" t="s">
        <v>455</v>
      </c>
      <c r="M256" t="s">
        <v>456</v>
      </c>
      <c r="N256" t="s">
        <v>415</v>
      </c>
      <c r="O256" t="s">
        <v>144</v>
      </c>
      <c r="P256" t="s">
        <v>457</v>
      </c>
      <c r="Q256" t="s">
        <v>179</v>
      </c>
      <c r="R256" t="s">
        <v>147</v>
      </c>
      <c r="S256" t="s">
        <v>148</v>
      </c>
      <c r="T256" t="s">
        <v>180</v>
      </c>
      <c r="U256" t="s">
        <v>171</v>
      </c>
      <c r="V256">
        <v>3</v>
      </c>
      <c r="W256" t="s">
        <v>269</v>
      </c>
      <c r="X256" t="s">
        <v>2096</v>
      </c>
      <c r="Y256" t="s">
        <v>153</v>
      </c>
      <c r="Z256" s="53" t="s">
        <v>2097</v>
      </c>
      <c r="AA256">
        <v>1</v>
      </c>
      <c r="AB256">
        <v>1</v>
      </c>
      <c r="AC256"/>
      <c r="AD256"/>
      <c r="AE256"/>
      <c r="AF256"/>
      <c r="BG256" t="str">
        <f t="shared" si="3"/>
        <v/>
      </c>
      <c r="BH256" s="3" t="str" cm="1">
        <f t="array" ref="BH256">IF(AE256=1, _xlfn.TEXTJOIN(" &amp; ", TRUE, _xlfn._xlws.FILTER($AG$2:$BC$2, AG256:BC256=1)), "")</f>
        <v/>
      </c>
    </row>
    <row r="257" spans="1:60" x14ac:dyDescent="0.3">
      <c r="A257" t="s">
        <v>450</v>
      </c>
      <c r="B257" t="s">
        <v>2098</v>
      </c>
      <c r="C257" t="s">
        <v>452</v>
      </c>
      <c r="D257">
        <v>2022</v>
      </c>
      <c r="E257" s="52" t="s">
        <v>2099</v>
      </c>
      <c r="F257">
        <v>3915653</v>
      </c>
      <c r="G257">
        <v>3918597</v>
      </c>
      <c r="H257" t="s">
        <v>2089</v>
      </c>
      <c r="I257" t="s">
        <v>450</v>
      </c>
      <c r="J257" s="51">
        <v>8.4895833333333337E-2</v>
      </c>
      <c r="K257" t="s">
        <v>140</v>
      </c>
      <c r="L257" t="s">
        <v>455</v>
      </c>
      <c r="M257" t="s">
        <v>456</v>
      </c>
      <c r="N257" t="s">
        <v>197</v>
      </c>
      <c r="O257" t="s">
        <v>164</v>
      </c>
      <c r="P257" t="s">
        <v>457</v>
      </c>
      <c r="Q257" t="s">
        <v>179</v>
      </c>
      <c r="R257" t="s">
        <v>147</v>
      </c>
      <c r="S257" t="s">
        <v>148</v>
      </c>
      <c r="T257" t="s">
        <v>180</v>
      </c>
      <c r="U257" t="s">
        <v>171</v>
      </c>
      <c r="V257">
        <v>3</v>
      </c>
      <c r="W257" t="s">
        <v>269</v>
      </c>
      <c r="X257" t="s">
        <v>2100</v>
      </c>
      <c r="Y257" t="s">
        <v>153</v>
      </c>
      <c r="Z257" s="53" t="s">
        <v>2101</v>
      </c>
      <c r="AA257">
        <v>1</v>
      </c>
      <c r="AB257">
        <v>1</v>
      </c>
      <c r="AC257"/>
      <c r="AD257"/>
      <c r="AE257"/>
      <c r="AF257"/>
      <c r="BG257" t="str">
        <f t="shared" si="3"/>
        <v/>
      </c>
      <c r="BH257" s="3" t="str" cm="1">
        <f t="array" ref="BH257">IF(AE257=1, _xlfn.TEXTJOIN(" &amp; ", TRUE, _xlfn._xlws.FILTER($AG$2:$BC$2, AG257:BC257=1)), "")</f>
        <v/>
      </c>
    </row>
    <row r="258" spans="1:60" x14ac:dyDescent="0.3">
      <c r="A258" t="s">
        <v>450</v>
      </c>
      <c r="B258" t="s">
        <v>2102</v>
      </c>
      <c r="C258" t="s">
        <v>452</v>
      </c>
      <c r="D258">
        <v>2022</v>
      </c>
      <c r="E258" s="52" t="s">
        <v>2103</v>
      </c>
      <c r="F258">
        <v>4068398</v>
      </c>
      <c r="G258">
        <v>4069655</v>
      </c>
      <c r="H258" t="s">
        <v>454</v>
      </c>
      <c r="I258" t="s">
        <v>450</v>
      </c>
      <c r="J258" s="51">
        <v>8.4895833333333337E-2</v>
      </c>
      <c r="K258" t="s">
        <v>140</v>
      </c>
      <c r="L258" t="s">
        <v>455</v>
      </c>
      <c r="M258" t="s">
        <v>456</v>
      </c>
      <c r="N258" t="s">
        <v>415</v>
      </c>
      <c r="O258" t="s">
        <v>144</v>
      </c>
      <c r="P258" t="s">
        <v>457</v>
      </c>
      <c r="Q258" t="s">
        <v>179</v>
      </c>
      <c r="R258" t="s">
        <v>147</v>
      </c>
      <c r="S258" t="s">
        <v>148</v>
      </c>
      <c r="T258" t="s">
        <v>180</v>
      </c>
      <c r="U258" t="s">
        <v>171</v>
      </c>
      <c r="V258">
        <v>3</v>
      </c>
      <c r="W258" t="s">
        <v>269</v>
      </c>
      <c r="X258" t="s">
        <v>2104</v>
      </c>
      <c r="Y258" t="s">
        <v>153</v>
      </c>
      <c r="Z258" s="53" t="s">
        <v>2105</v>
      </c>
      <c r="AA258">
        <v>1</v>
      </c>
      <c r="AB258">
        <v>1</v>
      </c>
      <c r="AC258"/>
      <c r="AD258"/>
      <c r="AE258"/>
      <c r="AF258"/>
      <c r="BG258" t="str">
        <f t="shared" si="3"/>
        <v/>
      </c>
      <c r="BH258" s="3" t="str" cm="1">
        <f t="array" ref="BH258">IF(AE258=1, _xlfn.TEXTJOIN(" &amp; ", TRUE, _xlfn._xlws.FILTER($AG$2:$BC$2, AG258:BC258=1)), "")</f>
        <v/>
      </c>
    </row>
    <row r="259" spans="1:60" x14ac:dyDescent="0.3">
      <c r="A259" t="s">
        <v>450</v>
      </c>
      <c r="B259" t="s">
        <v>2106</v>
      </c>
      <c r="C259" t="s">
        <v>452</v>
      </c>
      <c r="D259">
        <v>2022</v>
      </c>
      <c r="E259" s="52" t="s">
        <v>2107</v>
      </c>
      <c r="F259">
        <v>4106356</v>
      </c>
      <c r="G259">
        <v>4107440</v>
      </c>
      <c r="H259" t="s">
        <v>2089</v>
      </c>
      <c r="I259" t="s">
        <v>450</v>
      </c>
      <c r="J259" s="51">
        <v>8.4895833333333337E-2</v>
      </c>
      <c r="K259" t="s">
        <v>140</v>
      </c>
      <c r="L259" t="s">
        <v>455</v>
      </c>
      <c r="M259" t="s">
        <v>456</v>
      </c>
      <c r="N259" t="s">
        <v>197</v>
      </c>
      <c r="O259" t="s">
        <v>164</v>
      </c>
      <c r="P259" t="s">
        <v>457</v>
      </c>
      <c r="Q259" t="s">
        <v>179</v>
      </c>
      <c r="R259" t="s">
        <v>147</v>
      </c>
      <c r="S259" t="s">
        <v>148</v>
      </c>
      <c r="T259" t="s">
        <v>180</v>
      </c>
      <c r="U259" t="s">
        <v>171</v>
      </c>
      <c r="V259">
        <v>3</v>
      </c>
      <c r="W259" t="s">
        <v>269</v>
      </c>
      <c r="X259" t="s">
        <v>2108</v>
      </c>
      <c r="Y259" t="s">
        <v>153</v>
      </c>
      <c r="Z259" s="53" t="s">
        <v>2109</v>
      </c>
      <c r="AA259">
        <v>1</v>
      </c>
      <c r="AB259"/>
      <c r="AC259">
        <v>1</v>
      </c>
      <c r="AD259"/>
      <c r="AE259"/>
      <c r="AF259"/>
      <c r="BG259" t="str">
        <f t="shared" si="3"/>
        <v/>
      </c>
      <c r="BH259" s="3" t="str" cm="1">
        <f t="array" ref="BH259">IF(AE259=1, _xlfn.TEXTJOIN(" &amp; ", TRUE, _xlfn._xlws.FILTER($AG$2:$BC$2, AG259:BC259=1)), "")</f>
        <v/>
      </c>
    </row>
    <row r="260" spans="1:60" x14ac:dyDescent="0.3">
      <c r="A260" t="s">
        <v>450</v>
      </c>
      <c r="B260" t="s">
        <v>451</v>
      </c>
      <c r="C260" t="s">
        <v>452</v>
      </c>
      <c r="D260">
        <v>2022</v>
      </c>
      <c r="E260" s="52" t="s">
        <v>453</v>
      </c>
      <c r="F260">
        <v>4783756</v>
      </c>
      <c r="G260">
        <v>4785734</v>
      </c>
      <c r="H260" t="s">
        <v>454</v>
      </c>
      <c r="I260" t="s">
        <v>450</v>
      </c>
      <c r="J260" s="51">
        <v>8.4895833333333337E-2</v>
      </c>
      <c r="K260" t="s">
        <v>140</v>
      </c>
      <c r="L260" t="s">
        <v>455</v>
      </c>
      <c r="M260" t="s">
        <v>456</v>
      </c>
      <c r="N260" t="s">
        <v>415</v>
      </c>
      <c r="O260" t="s">
        <v>144</v>
      </c>
      <c r="P260" t="s">
        <v>457</v>
      </c>
      <c r="Q260" t="s">
        <v>179</v>
      </c>
      <c r="R260" t="s">
        <v>147</v>
      </c>
      <c r="S260" t="s">
        <v>148</v>
      </c>
      <c r="T260" t="s">
        <v>180</v>
      </c>
      <c r="U260" t="s">
        <v>171</v>
      </c>
      <c r="V260">
        <v>3</v>
      </c>
      <c r="W260" t="s">
        <v>269</v>
      </c>
      <c r="X260" t="s">
        <v>458</v>
      </c>
      <c r="Y260" t="s">
        <v>153</v>
      </c>
      <c r="Z260" s="53" t="s">
        <v>459</v>
      </c>
      <c r="AA260">
        <v>1</v>
      </c>
      <c r="AB260">
        <v>1</v>
      </c>
      <c r="AC260"/>
      <c r="AD260"/>
      <c r="AE260"/>
      <c r="AF260"/>
      <c r="BG260" t="str">
        <f t="shared" ref="BG260:BG323" si="4">IF(AE260=1,_xlfn.TEXTJOIN(" &amp; ", TRUE,
    IF(COUNTIF(AG260:AO260,1)&gt;0,"Interazionale",""),
    IF(COUNTIF(AP260:AW260,1)&gt;0,"Metatestuale",""),
    IF(COUNTIF(AX260:BC260,1)&gt;0,"Cognitiva","")
),"")</f>
        <v/>
      </c>
      <c r="BH260" s="3" t="str" cm="1">
        <f t="array" ref="BH260">IF(AE260=1, _xlfn.TEXTJOIN(" &amp; ", TRUE, _xlfn._xlws.FILTER($AG$2:$BC$2, AG260:BC260=1)), "")</f>
        <v/>
      </c>
    </row>
    <row r="261" spans="1:60" x14ac:dyDescent="0.3">
      <c r="A261" t="s">
        <v>450</v>
      </c>
      <c r="B261" t="s">
        <v>2110</v>
      </c>
      <c r="C261" t="s">
        <v>452</v>
      </c>
      <c r="D261">
        <v>2022</v>
      </c>
      <c r="E261" s="52" t="s">
        <v>2111</v>
      </c>
      <c r="F261">
        <v>5055286</v>
      </c>
      <c r="G261">
        <v>5057768</v>
      </c>
      <c r="H261" t="s">
        <v>454</v>
      </c>
      <c r="I261" t="s">
        <v>450</v>
      </c>
      <c r="J261" s="51">
        <v>8.4895833333333337E-2</v>
      </c>
      <c r="K261" t="s">
        <v>140</v>
      </c>
      <c r="L261" t="s">
        <v>455</v>
      </c>
      <c r="M261" t="s">
        <v>456</v>
      </c>
      <c r="N261" t="s">
        <v>415</v>
      </c>
      <c r="O261" t="s">
        <v>144</v>
      </c>
      <c r="P261" t="s">
        <v>457</v>
      </c>
      <c r="Q261" t="s">
        <v>179</v>
      </c>
      <c r="R261" t="s">
        <v>147</v>
      </c>
      <c r="S261" t="s">
        <v>148</v>
      </c>
      <c r="T261" t="s">
        <v>180</v>
      </c>
      <c r="U261" t="s">
        <v>171</v>
      </c>
      <c r="V261">
        <v>3</v>
      </c>
      <c r="W261" t="s">
        <v>269</v>
      </c>
      <c r="X261" t="s">
        <v>2112</v>
      </c>
      <c r="Y261" t="s">
        <v>153</v>
      </c>
      <c r="Z261" s="53" t="s">
        <v>2113</v>
      </c>
      <c r="AA261">
        <v>1</v>
      </c>
      <c r="AB261">
        <v>1</v>
      </c>
      <c r="AC261"/>
      <c r="AD261"/>
      <c r="AE261"/>
      <c r="AF261"/>
      <c r="BG261" t="str">
        <f t="shared" si="4"/>
        <v/>
      </c>
      <c r="BH261" s="3" t="str" cm="1">
        <f t="array" ref="BH261">IF(AE261=1, _xlfn.TEXTJOIN(" &amp; ", TRUE, _xlfn._xlws.FILTER($AG$2:$BC$2, AG261:BC261=1)), "")</f>
        <v/>
      </c>
    </row>
    <row r="262" spans="1:60" x14ac:dyDescent="0.3">
      <c r="A262" t="s">
        <v>450</v>
      </c>
      <c r="B262" t="s">
        <v>2114</v>
      </c>
      <c r="C262" t="s">
        <v>452</v>
      </c>
      <c r="D262">
        <v>2022</v>
      </c>
      <c r="E262" s="52" t="s">
        <v>2115</v>
      </c>
      <c r="F262">
        <v>5528124</v>
      </c>
      <c r="G262">
        <v>5532327</v>
      </c>
      <c r="H262" t="s">
        <v>454</v>
      </c>
      <c r="I262" t="s">
        <v>450</v>
      </c>
      <c r="J262" s="51">
        <v>8.4895833333333337E-2</v>
      </c>
      <c r="K262" t="s">
        <v>140</v>
      </c>
      <c r="L262" t="s">
        <v>455</v>
      </c>
      <c r="M262" t="s">
        <v>456</v>
      </c>
      <c r="N262" t="s">
        <v>415</v>
      </c>
      <c r="O262" t="s">
        <v>144</v>
      </c>
      <c r="P262" t="s">
        <v>457</v>
      </c>
      <c r="Q262" t="s">
        <v>179</v>
      </c>
      <c r="R262" t="s">
        <v>147</v>
      </c>
      <c r="S262" t="s">
        <v>148</v>
      </c>
      <c r="T262" t="s">
        <v>180</v>
      </c>
      <c r="U262" t="s">
        <v>171</v>
      </c>
      <c r="V262">
        <v>3</v>
      </c>
      <c r="W262" t="s">
        <v>269</v>
      </c>
      <c r="X262" t="s">
        <v>2116</v>
      </c>
      <c r="Y262" t="s">
        <v>153</v>
      </c>
      <c r="Z262" s="53" t="s">
        <v>2117</v>
      </c>
      <c r="AA262">
        <v>1</v>
      </c>
      <c r="AB262"/>
      <c r="AC262"/>
      <c r="AD262">
        <v>1</v>
      </c>
      <c r="AE262"/>
      <c r="AF262"/>
      <c r="BG262" t="str">
        <f t="shared" si="4"/>
        <v/>
      </c>
      <c r="BH262" s="3" t="str" cm="1">
        <f t="array" ref="BH262">IF(AE262=1, _xlfn.TEXTJOIN(" &amp; ", TRUE, _xlfn._xlws.FILTER($AG$2:$BC$2, AG262:BC262=1)), "")</f>
        <v/>
      </c>
    </row>
    <row r="263" spans="1:60" x14ac:dyDescent="0.3">
      <c r="A263" t="s">
        <v>450</v>
      </c>
      <c r="B263" t="s">
        <v>2118</v>
      </c>
      <c r="C263" t="s">
        <v>452</v>
      </c>
      <c r="D263">
        <v>2022</v>
      </c>
      <c r="E263" s="52" t="s">
        <v>2119</v>
      </c>
      <c r="F263">
        <v>5788325</v>
      </c>
      <c r="G263">
        <v>5792367</v>
      </c>
      <c r="H263" t="s">
        <v>454</v>
      </c>
      <c r="I263" t="s">
        <v>450</v>
      </c>
      <c r="J263" s="51">
        <v>8.4895833333333337E-2</v>
      </c>
      <c r="K263" t="s">
        <v>140</v>
      </c>
      <c r="L263" t="s">
        <v>455</v>
      </c>
      <c r="M263" t="s">
        <v>456</v>
      </c>
      <c r="N263" t="s">
        <v>415</v>
      </c>
      <c r="O263" t="s">
        <v>144</v>
      </c>
      <c r="P263" t="s">
        <v>457</v>
      </c>
      <c r="Q263" t="s">
        <v>179</v>
      </c>
      <c r="R263" t="s">
        <v>147</v>
      </c>
      <c r="S263" t="s">
        <v>148</v>
      </c>
      <c r="T263" t="s">
        <v>180</v>
      </c>
      <c r="U263" t="s">
        <v>171</v>
      </c>
      <c r="V263">
        <v>3</v>
      </c>
      <c r="W263" t="s">
        <v>269</v>
      </c>
      <c r="X263" t="s">
        <v>2120</v>
      </c>
      <c r="Y263" t="s">
        <v>153</v>
      </c>
      <c r="Z263" s="53" t="s">
        <v>2121</v>
      </c>
      <c r="AA263"/>
      <c r="AB263"/>
      <c r="AC263"/>
      <c r="AD263"/>
      <c r="AE263">
        <v>1</v>
      </c>
      <c r="AF263"/>
      <c r="AM263" s="7">
        <v>1</v>
      </c>
      <c r="BG263" t="str">
        <f t="shared" si="4"/>
        <v>Interazionale</v>
      </c>
      <c r="BH263" s="3" t="str" cm="1">
        <f t="array" ref="BH263">IF(AE263=1, _xlfn.TEXTJOIN(" &amp; ", TRUE, _xlfn._xlws.FILTER($AG$2:$BC$2, AG263:BC263=1)), "")</f>
        <v>Marcatura della conoscenza condivisa</v>
      </c>
    </row>
    <row r="264" spans="1:60" x14ac:dyDescent="0.3">
      <c r="A264" t="s">
        <v>450</v>
      </c>
      <c r="B264" t="s">
        <v>2122</v>
      </c>
      <c r="C264" t="s">
        <v>452</v>
      </c>
      <c r="D264">
        <v>2022</v>
      </c>
      <c r="E264" s="52" t="s">
        <v>2123</v>
      </c>
      <c r="F264">
        <v>6187081</v>
      </c>
      <c r="G264">
        <v>6192673</v>
      </c>
      <c r="H264" t="s">
        <v>454</v>
      </c>
      <c r="I264" t="s">
        <v>450</v>
      </c>
      <c r="J264" s="51">
        <v>8.4895833333333337E-2</v>
      </c>
      <c r="K264" t="s">
        <v>140</v>
      </c>
      <c r="L264" t="s">
        <v>455</v>
      </c>
      <c r="M264" t="s">
        <v>456</v>
      </c>
      <c r="N264" t="s">
        <v>415</v>
      </c>
      <c r="O264" t="s">
        <v>144</v>
      </c>
      <c r="P264" t="s">
        <v>457</v>
      </c>
      <c r="Q264" t="s">
        <v>179</v>
      </c>
      <c r="R264" t="s">
        <v>147</v>
      </c>
      <c r="S264" t="s">
        <v>148</v>
      </c>
      <c r="T264" t="s">
        <v>180</v>
      </c>
      <c r="U264" t="s">
        <v>171</v>
      </c>
      <c r="V264">
        <v>3</v>
      </c>
      <c r="W264" t="s">
        <v>269</v>
      </c>
      <c r="X264" t="s">
        <v>2124</v>
      </c>
      <c r="Y264" t="s">
        <v>153</v>
      </c>
      <c r="Z264" s="53" t="s">
        <v>2125</v>
      </c>
      <c r="AA264"/>
      <c r="AB264"/>
      <c r="AC264"/>
      <c r="AD264"/>
      <c r="AE264">
        <v>1</v>
      </c>
      <c r="AF264"/>
      <c r="AM264" s="7">
        <v>1</v>
      </c>
      <c r="BG264" t="str">
        <f t="shared" si="4"/>
        <v>Interazionale</v>
      </c>
      <c r="BH264" s="3" t="str" cm="1">
        <f t="array" ref="BH264">IF(AE264=1, _xlfn.TEXTJOIN(" &amp; ", TRUE, _xlfn._xlws.FILTER($AG$2:$BC$2, AG264:BC264=1)), "")</f>
        <v>Marcatura della conoscenza condivisa</v>
      </c>
    </row>
    <row r="265" spans="1:60" x14ac:dyDescent="0.3">
      <c r="A265" t="s">
        <v>450</v>
      </c>
      <c r="B265" t="s">
        <v>2126</v>
      </c>
      <c r="C265" t="s">
        <v>452</v>
      </c>
      <c r="D265">
        <v>2022</v>
      </c>
      <c r="E265" s="52" t="s">
        <v>2127</v>
      </c>
      <c r="F265">
        <v>6409224</v>
      </c>
      <c r="G265">
        <v>6411381</v>
      </c>
      <c r="H265" t="s">
        <v>454</v>
      </c>
      <c r="I265" t="s">
        <v>450</v>
      </c>
      <c r="J265" s="51">
        <v>8.4895833333333337E-2</v>
      </c>
      <c r="K265" t="s">
        <v>140</v>
      </c>
      <c r="L265" t="s">
        <v>455</v>
      </c>
      <c r="M265" t="s">
        <v>456</v>
      </c>
      <c r="N265" t="s">
        <v>415</v>
      </c>
      <c r="O265" t="s">
        <v>144</v>
      </c>
      <c r="P265" t="s">
        <v>457</v>
      </c>
      <c r="Q265" t="s">
        <v>179</v>
      </c>
      <c r="R265" t="s">
        <v>147</v>
      </c>
      <c r="S265" t="s">
        <v>148</v>
      </c>
      <c r="T265" t="s">
        <v>180</v>
      </c>
      <c r="U265" t="s">
        <v>171</v>
      </c>
      <c r="V265">
        <v>3</v>
      </c>
      <c r="W265" t="s">
        <v>269</v>
      </c>
      <c r="X265" t="s">
        <v>2128</v>
      </c>
      <c r="Y265" t="s">
        <v>153</v>
      </c>
      <c r="Z265" s="53" t="s">
        <v>2129</v>
      </c>
      <c r="AA265"/>
      <c r="AB265"/>
      <c r="AC265"/>
      <c r="AD265"/>
      <c r="AE265">
        <v>1</v>
      </c>
      <c r="AF265"/>
      <c r="AM265" s="7">
        <v>1</v>
      </c>
      <c r="AW265" s="21">
        <v>1</v>
      </c>
      <c r="BD265" s="3">
        <v>1</v>
      </c>
      <c r="BG265" t="str">
        <f t="shared" si="4"/>
        <v>Interazionale &amp; Metatestuale</v>
      </c>
      <c r="BH265" s="3" t="str" cm="1">
        <f t="array" ref="BH265">IF(AE265=1, _xlfn.TEXTJOIN(" &amp; ", TRUE, _xlfn._xlws.FILTER($AG$2:$BC$2, AG265:BC265=1)), "")</f>
        <v>Marcatura della conoscenza condivisa &amp; General extenders e marche di generalizzazione</v>
      </c>
    </row>
    <row r="266" spans="1:60" x14ac:dyDescent="0.3">
      <c r="A266" t="s">
        <v>450</v>
      </c>
      <c r="B266" t="s">
        <v>2130</v>
      </c>
      <c r="C266" t="s">
        <v>452</v>
      </c>
      <c r="D266">
        <v>2022</v>
      </c>
      <c r="E266" s="52" t="s">
        <v>2131</v>
      </c>
      <c r="F266">
        <v>6513091</v>
      </c>
      <c r="G266">
        <v>6515755</v>
      </c>
      <c r="H266" t="s">
        <v>454</v>
      </c>
      <c r="I266" t="s">
        <v>450</v>
      </c>
      <c r="J266" s="51">
        <v>8.4895833333333337E-2</v>
      </c>
      <c r="K266" t="s">
        <v>140</v>
      </c>
      <c r="L266" t="s">
        <v>455</v>
      </c>
      <c r="M266" t="s">
        <v>456</v>
      </c>
      <c r="N266" t="s">
        <v>415</v>
      </c>
      <c r="O266" t="s">
        <v>144</v>
      </c>
      <c r="P266" t="s">
        <v>457</v>
      </c>
      <c r="Q266" t="s">
        <v>179</v>
      </c>
      <c r="R266" t="s">
        <v>147</v>
      </c>
      <c r="S266" t="s">
        <v>148</v>
      </c>
      <c r="T266" t="s">
        <v>180</v>
      </c>
      <c r="U266" t="s">
        <v>171</v>
      </c>
      <c r="V266">
        <v>3</v>
      </c>
      <c r="W266" t="s">
        <v>269</v>
      </c>
      <c r="X266" t="s">
        <v>2132</v>
      </c>
      <c r="Y266" t="s">
        <v>153</v>
      </c>
      <c r="Z266" s="53" t="s">
        <v>2133</v>
      </c>
      <c r="AA266">
        <v>1</v>
      </c>
      <c r="AB266">
        <v>1</v>
      </c>
      <c r="AC266"/>
      <c r="AD266"/>
      <c r="AE266"/>
      <c r="AF266"/>
      <c r="BG266" t="str">
        <f t="shared" si="4"/>
        <v/>
      </c>
      <c r="BH266" s="3" t="str" cm="1">
        <f t="array" ref="BH266">IF(AE266=1, _xlfn.TEXTJOIN(" &amp; ", TRUE, _xlfn._xlws.FILTER($AG$2:$BC$2, AG266:BC266=1)), "")</f>
        <v/>
      </c>
    </row>
    <row r="267" spans="1:60" x14ac:dyDescent="0.3">
      <c r="A267" t="s">
        <v>2134</v>
      </c>
      <c r="B267" t="s">
        <v>2135</v>
      </c>
      <c r="C267" t="s">
        <v>2136</v>
      </c>
      <c r="D267">
        <v>2022</v>
      </c>
      <c r="E267" s="52" t="s">
        <v>2137</v>
      </c>
      <c r="F267">
        <v>850367</v>
      </c>
      <c r="G267">
        <v>854228</v>
      </c>
      <c r="H267" t="s">
        <v>2138</v>
      </c>
      <c r="I267" t="s">
        <v>2134</v>
      </c>
      <c r="J267" s="51">
        <v>2.2905092592592591E-2</v>
      </c>
      <c r="K267" t="s">
        <v>140</v>
      </c>
      <c r="L267" t="s">
        <v>2139</v>
      </c>
      <c r="M267" t="s">
        <v>2140</v>
      </c>
      <c r="N267" t="s">
        <v>143</v>
      </c>
      <c r="O267" t="s">
        <v>144</v>
      </c>
      <c r="P267" t="s">
        <v>115</v>
      </c>
      <c r="Q267" t="s">
        <v>146</v>
      </c>
      <c r="R267" t="s">
        <v>147</v>
      </c>
      <c r="S267" t="s">
        <v>148</v>
      </c>
      <c r="T267" t="s">
        <v>491</v>
      </c>
      <c r="U267" t="s">
        <v>151</v>
      </c>
      <c r="V267">
        <v>2</v>
      </c>
      <c r="W267" t="s">
        <v>269</v>
      </c>
      <c r="X267" t="s">
        <v>2141</v>
      </c>
      <c r="Y267" t="s">
        <v>153</v>
      </c>
      <c r="Z267" s="53" t="s">
        <v>2142</v>
      </c>
      <c r="AA267">
        <v>1</v>
      </c>
      <c r="AB267"/>
      <c r="AC267"/>
      <c r="AD267">
        <v>1</v>
      </c>
      <c r="AE267"/>
      <c r="AF267"/>
      <c r="BG267" t="str">
        <f t="shared" si="4"/>
        <v/>
      </c>
      <c r="BH267" s="3" t="str" cm="1">
        <f t="array" ref="BH267">IF(AE267=1, _xlfn.TEXTJOIN(" &amp; ", TRUE, _xlfn._xlws.FILTER($AG$2:$BC$2, AG267:BC267=1)), "")</f>
        <v/>
      </c>
    </row>
    <row r="268" spans="1:60" x14ac:dyDescent="0.3">
      <c r="A268" t="s">
        <v>2143</v>
      </c>
      <c r="B268" t="s">
        <v>2144</v>
      </c>
      <c r="C268" t="s">
        <v>2145</v>
      </c>
      <c r="D268" t="s">
        <v>204</v>
      </c>
      <c r="E268" s="52" t="s">
        <v>2146</v>
      </c>
      <c r="F268">
        <v>242387</v>
      </c>
      <c r="G268">
        <v>246468</v>
      </c>
      <c r="H268" t="s">
        <v>2147</v>
      </c>
      <c r="I268" t="s">
        <v>2143</v>
      </c>
      <c r="J268" s="51">
        <v>1.0613425925925925E-2</v>
      </c>
      <c r="K268" t="s">
        <v>140</v>
      </c>
      <c r="L268" t="s">
        <v>2148</v>
      </c>
      <c r="M268" t="s">
        <v>2149</v>
      </c>
      <c r="N268" t="s">
        <v>143</v>
      </c>
      <c r="O268" t="s">
        <v>144</v>
      </c>
      <c r="P268" t="s">
        <v>165</v>
      </c>
      <c r="Q268" t="s">
        <v>146</v>
      </c>
      <c r="R268" t="s">
        <v>147</v>
      </c>
      <c r="S268" t="s">
        <v>148</v>
      </c>
      <c r="T268" t="s">
        <v>666</v>
      </c>
      <c r="U268" t="s">
        <v>151</v>
      </c>
      <c r="V268">
        <v>2</v>
      </c>
      <c r="W268" t="s">
        <v>150</v>
      </c>
      <c r="X268" t="s">
        <v>2150</v>
      </c>
      <c r="Y268" t="s">
        <v>153</v>
      </c>
      <c r="Z268" s="53" t="s">
        <v>2151</v>
      </c>
      <c r="AA268">
        <v>1</v>
      </c>
      <c r="AB268"/>
      <c r="AC268">
        <v>1</v>
      </c>
      <c r="AD268"/>
      <c r="AE268"/>
      <c r="AF268"/>
      <c r="BG268" t="str">
        <f t="shared" si="4"/>
        <v/>
      </c>
      <c r="BH268" s="3" t="str" cm="1">
        <f t="array" ref="BH268">IF(AE268=1, _xlfn.TEXTJOIN(" &amp; ", TRUE, _xlfn._xlws.FILTER($AG$2:$BC$2, AG268:BC268=1)), "")</f>
        <v/>
      </c>
    </row>
    <row r="269" spans="1:60" x14ac:dyDescent="0.3">
      <c r="A269" t="s">
        <v>2143</v>
      </c>
      <c r="B269" t="s">
        <v>2152</v>
      </c>
      <c r="C269" t="s">
        <v>2145</v>
      </c>
      <c r="D269" t="s">
        <v>204</v>
      </c>
      <c r="E269" s="52" t="s">
        <v>2153</v>
      </c>
      <c r="F269">
        <v>283799</v>
      </c>
      <c r="G269">
        <v>285212</v>
      </c>
      <c r="H269" t="s">
        <v>2154</v>
      </c>
      <c r="I269" t="s">
        <v>2143</v>
      </c>
      <c r="J269" s="51">
        <v>1.0613425925925925E-2</v>
      </c>
      <c r="K269" t="s">
        <v>140</v>
      </c>
      <c r="L269" t="s">
        <v>2148</v>
      </c>
      <c r="M269" t="s">
        <v>2149</v>
      </c>
      <c r="N269" t="s">
        <v>143</v>
      </c>
      <c r="O269" t="s">
        <v>144</v>
      </c>
      <c r="P269" t="s">
        <v>165</v>
      </c>
      <c r="Q269" t="s">
        <v>146</v>
      </c>
      <c r="R269" t="s">
        <v>147</v>
      </c>
      <c r="S269" t="s">
        <v>148</v>
      </c>
      <c r="T269" t="s">
        <v>364</v>
      </c>
      <c r="U269" t="s">
        <v>151</v>
      </c>
      <c r="V269">
        <v>2</v>
      </c>
      <c r="W269" t="s">
        <v>150</v>
      </c>
      <c r="X269" t="s">
        <v>2155</v>
      </c>
      <c r="Y269" t="s">
        <v>153</v>
      </c>
      <c r="Z269" s="53" t="s">
        <v>2156</v>
      </c>
      <c r="AA269">
        <v>1</v>
      </c>
      <c r="AB269"/>
      <c r="AC269"/>
      <c r="AD269">
        <v>1</v>
      </c>
      <c r="AE269"/>
      <c r="AF269"/>
      <c r="BG269" t="str">
        <f t="shared" si="4"/>
        <v/>
      </c>
      <c r="BH269" s="3" t="str" cm="1">
        <f t="array" ref="BH269">IF(AE269=1, _xlfn.TEXTJOIN(" &amp; ", TRUE, _xlfn._xlws.FILTER($AG$2:$BC$2, AG269:BC269=1)), "")</f>
        <v/>
      </c>
    </row>
    <row r="270" spans="1:60" x14ac:dyDescent="0.3">
      <c r="A270" t="s">
        <v>2143</v>
      </c>
      <c r="B270" t="s">
        <v>2157</v>
      </c>
      <c r="C270" t="s">
        <v>2145</v>
      </c>
      <c r="D270" t="s">
        <v>204</v>
      </c>
      <c r="E270" s="52" t="s">
        <v>2158</v>
      </c>
      <c r="F270">
        <v>671340</v>
      </c>
      <c r="G270">
        <v>673354</v>
      </c>
      <c r="H270" t="s">
        <v>2147</v>
      </c>
      <c r="I270" t="s">
        <v>2143</v>
      </c>
      <c r="J270" s="51">
        <v>1.0613425925925925E-2</v>
      </c>
      <c r="K270" t="s">
        <v>140</v>
      </c>
      <c r="L270" t="s">
        <v>2148</v>
      </c>
      <c r="M270" t="s">
        <v>2149</v>
      </c>
      <c r="N270" t="s">
        <v>143</v>
      </c>
      <c r="O270" t="s">
        <v>144</v>
      </c>
      <c r="P270" t="s">
        <v>165</v>
      </c>
      <c r="Q270" t="s">
        <v>146</v>
      </c>
      <c r="R270" t="s">
        <v>147</v>
      </c>
      <c r="S270" t="s">
        <v>148</v>
      </c>
      <c r="T270" t="s">
        <v>666</v>
      </c>
      <c r="U270" t="s">
        <v>151</v>
      </c>
      <c r="V270">
        <v>2</v>
      </c>
      <c r="W270" t="s">
        <v>150</v>
      </c>
      <c r="X270" t="s">
        <v>2159</v>
      </c>
      <c r="Y270" t="s">
        <v>153</v>
      </c>
      <c r="Z270" s="53" t="s">
        <v>2160</v>
      </c>
      <c r="AA270">
        <v>1</v>
      </c>
      <c r="AB270">
        <v>1</v>
      </c>
      <c r="AC270"/>
      <c r="AD270"/>
      <c r="AE270"/>
      <c r="AF270"/>
      <c r="BG270" t="str">
        <f t="shared" si="4"/>
        <v/>
      </c>
      <c r="BH270" s="3" t="str" cm="1">
        <f t="array" ref="BH270">IF(AE270=1, _xlfn.TEXTJOIN(" &amp; ", TRUE, _xlfn._xlws.FILTER($AG$2:$BC$2, AG270:BC270=1)), "")</f>
        <v/>
      </c>
    </row>
    <row r="271" spans="1:60" x14ac:dyDescent="0.3">
      <c r="A271" t="s">
        <v>460</v>
      </c>
      <c r="B271" t="s">
        <v>2161</v>
      </c>
      <c r="C271" t="s">
        <v>462</v>
      </c>
      <c r="D271">
        <v>2019</v>
      </c>
      <c r="E271" s="52" t="s">
        <v>2162</v>
      </c>
      <c r="F271">
        <v>366270</v>
      </c>
      <c r="G271">
        <v>366670</v>
      </c>
      <c r="H271" t="s">
        <v>517</v>
      </c>
      <c r="I271" t="s">
        <v>460</v>
      </c>
      <c r="J271" s="51">
        <v>3.8460648148148147E-2</v>
      </c>
      <c r="K271" t="s">
        <v>160</v>
      </c>
      <c r="L271" t="s">
        <v>465</v>
      </c>
      <c r="M271" t="s">
        <v>466</v>
      </c>
      <c r="N271" t="s">
        <v>143</v>
      </c>
      <c r="O271" t="s">
        <v>144</v>
      </c>
      <c r="P271" t="s">
        <v>145</v>
      </c>
      <c r="Q271" t="s">
        <v>146</v>
      </c>
      <c r="R271" t="s">
        <v>167</v>
      </c>
      <c r="S271" t="s">
        <v>168</v>
      </c>
      <c r="T271" t="s">
        <v>149</v>
      </c>
      <c r="U271" t="s">
        <v>151</v>
      </c>
      <c r="V271">
        <v>4</v>
      </c>
      <c r="W271" t="s">
        <v>170</v>
      </c>
      <c r="X271" t="s">
        <v>2163</v>
      </c>
      <c r="Y271" t="s">
        <v>153</v>
      </c>
      <c r="Z271" s="53" t="s">
        <v>2164</v>
      </c>
      <c r="AA271">
        <v>1</v>
      </c>
      <c r="AB271"/>
      <c r="AC271">
        <v>1</v>
      </c>
      <c r="AD271"/>
      <c r="AE271"/>
      <c r="AF271"/>
      <c r="BG271" t="str">
        <f t="shared" si="4"/>
        <v/>
      </c>
      <c r="BH271" s="3" t="str" cm="1">
        <f t="array" ref="BH271">IF(AE271=1, _xlfn.TEXTJOIN(" &amp; ", TRUE, _xlfn._xlws.FILTER($AG$2:$BC$2, AG271:BC271=1)), "")</f>
        <v/>
      </c>
    </row>
    <row r="272" spans="1:60" x14ac:dyDescent="0.3">
      <c r="A272" t="s">
        <v>460</v>
      </c>
      <c r="B272" t="s">
        <v>2165</v>
      </c>
      <c r="C272" t="s">
        <v>462</v>
      </c>
      <c r="D272">
        <v>2019</v>
      </c>
      <c r="E272" s="52" t="s">
        <v>2166</v>
      </c>
      <c r="F272">
        <v>448565</v>
      </c>
      <c r="G272">
        <v>449105</v>
      </c>
      <c r="H272" t="s">
        <v>517</v>
      </c>
      <c r="I272" t="s">
        <v>460</v>
      </c>
      <c r="J272" s="51">
        <v>3.8460648148148147E-2</v>
      </c>
      <c r="K272" t="s">
        <v>160</v>
      </c>
      <c r="L272" t="s">
        <v>465</v>
      </c>
      <c r="M272" t="s">
        <v>466</v>
      </c>
      <c r="N272" t="s">
        <v>143</v>
      </c>
      <c r="O272" t="s">
        <v>144</v>
      </c>
      <c r="P272" t="s">
        <v>145</v>
      </c>
      <c r="Q272" t="s">
        <v>146</v>
      </c>
      <c r="R272" t="s">
        <v>167</v>
      </c>
      <c r="S272" t="s">
        <v>168</v>
      </c>
      <c r="T272" t="s">
        <v>149</v>
      </c>
      <c r="U272" t="s">
        <v>151</v>
      </c>
      <c r="V272">
        <v>4</v>
      </c>
      <c r="W272" t="s">
        <v>170</v>
      </c>
      <c r="X272" t="s">
        <v>2167</v>
      </c>
      <c r="Y272" t="s">
        <v>153</v>
      </c>
      <c r="Z272" s="53" t="s">
        <v>2168</v>
      </c>
      <c r="AA272">
        <v>1</v>
      </c>
      <c r="AB272"/>
      <c r="AC272">
        <v>1</v>
      </c>
      <c r="AD272"/>
      <c r="AE272"/>
      <c r="AF272"/>
      <c r="BG272" t="str">
        <f t="shared" si="4"/>
        <v/>
      </c>
      <c r="BH272" s="3" t="str" cm="1">
        <f t="array" ref="BH272">IF(AE272=1, _xlfn.TEXTJOIN(" &amp; ", TRUE, _xlfn._xlws.FILTER($AG$2:$BC$2, AG272:BC272=1)), "")</f>
        <v/>
      </c>
    </row>
    <row r="273" spans="1:60" x14ac:dyDescent="0.3">
      <c r="A273" t="s">
        <v>460</v>
      </c>
      <c r="B273" t="s">
        <v>461</v>
      </c>
      <c r="C273" t="s">
        <v>462</v>
      </c>
      <c r="D273">
        <v>2019</v>
      </c>
      <c r="E273" s="52" t="s">
        <v>463</v>
      </c>
      <c r="F273">
        <v>992030</v>
      </c>
      <c r="G273">
        <v>995520</v>
      </c>
      <c r="H273" t="s">
        <v>464</v>
      </c>
      <c r="I273" t="s">
        <v>460</v>
      </c>
      <c r="J273" s="51">
        <v>3.8460648148148147E-2</v>
      </c>
      <c r="K273" t="s">
        <v>160</v>
      </c>
      <c r="L273" t="s">
        <v>465</v>
      </c>
      <c r="M273" t="s">
        <v>466</v>
      </c>
      <c r="N273" t="s">
        <v>336</v>
      </c>
      <c r="O273" t="s">
        <v>144</v>
      </c>
      <c r="P273" t="s">
        <v>145</v>
      </c>
      <c r="Q273" t="s">
        <v>467</v>
      </c>
      <c r="R273" t="s">
        <v>167</v>
      </c>
      <c r="S273" t="s">
        <v>168</v>
      </c>
      <c r="T273" t="s">
        <v>149</v>
      </c>
      <c r="U273" t="s">
        <v>171</v>
      </c>
      <c r="V273">
        <v>4</v>
      </c>
      <c r="W273" t="s">
        <v>170</v>
      </c>
      <c r="X273" t="s">
        <v>468</v>
      </c>
      <c r="Y273" t="s">
        <v>153</v>
      </c>
      <c r="Z273" s="53" t="s">
        <v>469</v>
      </c>
      <c r="AA273">
        <v>1</v>
      </c>
      <c r="AB273"/>
      <c r="AC273">
        <v>1</v>
      </c>
      <c r="AD273"/>
      <c r="AE273"/>
      <c r="AF273"/>
      <c r="BG273" t="str">
        <f t="shared" si="4"/>
        <v/>
      </c>
      <c r="BH273" s="3" t="str" cm="1">
        <f t="array" ref="BH273">IF(AE273=1, _xlfn.TEXTJOIN(" &amp; ", TRUE, _xlfn._xlws.FILTER($AG$2:$BC$2, AG273:BC273=1)), "")</f>
        <v/>
      </c>
    </row>
    <row r="274" spans="1:60" x14ac:dyDescent="0.3">
      <c r="A274" t="s">
        <v>460</v>
      </c>
      <c r="B274" t="s">
        <v>470</v>
      </c>
      <c r="C274" t="s">
        <v>462</v>
      </c>
      <c r="D274">
        <v>2019</v>
      </c>
      <c r="E274" s="52" t="s">
        <v>471</v>
      </c>
      <c r="F274">
        <v>1003920</v>
      </c>
      <c r="G274">
        <v>1007926</v>
      </c>
      <c r="H274" t="s">
        <v>464</v>
      </c>
      <c r="I274" t="s">
        <v>460</v>
      </c>
      <c r="J274" s="51">
        <v>3.8460648148148147E-2</v>
      </c>
      <c r="K274" t="s">
        <v>160</v>
      </c>
      <c r="L274" t="s">
        <v>465</v>
      </c>
      <c r="M274" t="s">
        <v>466</v>
      </c>
      <c r="N274" t="s">
        <v>336</v>
      </c>
      <c r="O274" t="s">
        <v>144</v>
      </c>
      <c r="P274" t="s">
        <v>145</v>
      </c>
      <c r="Q274" t="s">
        <v>467</v>
      </c>
      <c r="R274" t="s">
        <v>167</v>
      </c>
      <c r="S274" t="s">
        <v>168</v>
      </c>
      <c r="T274" t="s">
        <v>149</v>
      </c>
      <c r="U274" t="s">
        <v>171</v>
      </c>
      <c r="V274">
        <v>4</v>
      </c>
      <c r="W274" t="s">
        <v>170</v>
      </c>
      <c r="X274" t="s">
        <v>472</v>
      </c>
      <c r="Y274" t="s">
        <v>153</v>
      </c>
      <c r="Z274" s="53" t="s">
        <v>473</v>
      </c>
      <c r="AA274">
        <v>1</v>
      </c>
      <c r="AB274"/>
      <c r="AC274">
        <v>1</v>
      </c>
      <c r="AD274"/>
      <c r="AE274"/>
      <c r="AF274"/>
      <c r="BG274" t="str">
        <f t="shared" si="4"/>
        <v/>
      </c>
      <c r="BH274" s="3" t="str" cm="1">
        <f t="array" ref="BH274">IF(AE274=1, _xlfn.TEXTJOIN(" &amp; ", TRUE, _xlfn._xlws.FILTER($AG$2:$BC$2, AG274:BC274=1)), "")</f>
        <v/>
      </c>
    </row>
    <row r="275" spans="1:60" x14ac:dyDescent="0.3">
      <c r="A275" t="s">
        <v>460</v>
      </c>
      <c r="B275" t="s">
        <v>2169</v>
      </c>
      <c r="C275" t="s">
        <v>462</v>
      </c>
      <c r="D275">
        <v>2019</v>
      </c>
      <c r="E275" s="52" t="s">
        <v>2170</v>
      </c>
      <c r="F275">
        <v>1076325</v>
      </c>
      <c r="G275">
        <v>1078620</v>
      </c>
      <c r="H275" t="s">
        <v>2171</v>
      </c>
      <c r="I275" t="s">
        <v>460</v>
      </c>
      <c r="J275" s="51">
        <v>3.8460648148148147E-2</v>
      </c>
      <c r="K275" t="s">
        <v>160</v>
      </c>
      <c r="L275" t="s">
        <v>465</v>
      </c>
      <c r="M275" t="s">
        <v>466</v>
      </c>
      <c r="N275" t="s">
        <v>363</v>
      </c>
      <c r="O275" t="s">
        <v>164</v>
      </c>
      <c r="P275" t="s">
        <v>145</v>
      </c>
      <c r="Q275" t="s">
        <v>625</v>
      </c>
      <c r="R275" t="s">
        <v>167</v>
      </c>
      <c r="S275" t="s">
        <v>168</v>
      </c>
      <c r="T275" t="s">
        <v>149</v>
      </c>
      <c r="U275" t="s">
        <v>171</v>
      </c>
      <c r="V275">
        <v>4</v>
      </c>
      <c r="W275" t="s">
        <v>170</v>
      </c>
      <c r="X275" t="s">
        <v>2172</v>
      </c>
      <c r="Y275" t="s">
        <v>153</v>
      </c>
      <c r="Z275" s="53" t="s">
        <v>2173</v>
      </c>
      <c r="AA275"/>
      <c r="AB275"/>
      <c r="AC275"/>
      <c r="AD275"/>
      <c r="AE275">
        <v>1</v>
      </c>
      <c r="AF275"/>
      <c r="AM275" s="7">
        <v>1</v>
      </c>
      <c r="BG275" t="str">
        <f t="shared" si="4"/>
        <v>Interazionale</v>
      </c>
      <c r="BH275" s="3" t="str" cm="1">
        <f t="array" ref="BH275">IF(AE275=1, _xlfn.TEXTJOIN(" &amp; ", TRUE, _xlfn._xlws.FILTER($AG$2:$BC$2, AG275:BC275=1)), "")</f>
        <v>Marcatura della conoscenza condivisa</v>
      </c>
    </row>
    <row r="276" spans="1:60" x14ac:dyDescent="0.3">
      <c r="A276" t="s">
        <v>460</v>
      </c>
      <c r="B276" t="s">
        <v>2174</v>
      </c>
      <c r="C276" t="s">
        <v>462</v>
      </c>
      <c r="D276">
        <v>2019</v>
      </c>
      <c r="E276" s="52" t="s">
        <v>2175</v>
      </c>
      <c r="F276">
        <v>1098216</v>
      </c>
      <c r="G276">
        <v>1099956</v>
      </c>
      <c r="H276" t="s">
        <v>464</v>
      </c>
      <c r="I276" t="s">
        <v>460</v>
      </c>
      <c r="J276" s="51">
        <v>3.8460648148148147E-2</v>
      </c>
      <c r="K276" t="s">
        <v>160</v>
      </c>
      <c r="L276" t="s">
        <v>465</v>
      </c>
      <c r="M276" t="s">
        <v>466</v>
      </c>
      <c r="N276" t="s">
        <v>336</v>
      </c>
      <c r="O276" t="s">
        <v>144</v>
      </c>
      <c r="P276" t="s">
        <v>145</v>
      </c>
      <c r="Q276" t="s">
        <v>467</v>
      </c>
      <c r="R276" t="s">
        <v>167</v>
      </c>
      <c r="S276" t="s">
        <v>168</v>
      </c>
      <c r="T276" t="s">
        <v>149</v>
      </c>
      <c r="U276" t="s">
        <v>171</v>
      </c>
      <c r="V276">
        <v>4</v>
      </c>
      <c r="W276" t="s">
        <v>170</v>
      </c>
      <c r="X276" t="s">
        <v>2176</v>
      </c>
      <c r="Y276" t="s">
        <v>153</v>
      </c>
      <c r="Z276" s="53" t="s">
        <v>2177</v>
      </c>
      <c r="AA276"/>
      <c r="AB276"/>
      <c r="AC276"/>
      <c r="AD276"/>
      <c r="AE276">
        <v>1</v>
      </c>
      <c r="AF276">
        <v>1</v>
      </c>
      <c r="AM276" s="7">
        <v>1</v>
      </c>
      <c r="AZ276" s="23">
        <v>1</v>
      </c>
      <c r="BD276" s="3">
        <v>1</v>
      </c>
      <c r="BG276" t="str">
        <f t="shared" si="4"/>
        <v>Interazionale &amp; Cognitiva</v>
      </c>
      <c r="BH276" s="3" t="str" cm="1">
        <f t="array" ref="BH276">IF(AE276=1, _xlfn.TEXTJOIN(" &amp; ", TRUE, _xlfn._xlws.FILTER($AG$2:$BC$2, AG276:BC276=1)), "")</f>
        <v>Marcatura della conoscenza condivisa &amp; Approssimazione</v>
      </c>
    </row>
    <row r="277" spans="1:60" x14ac:dyDescent="0.3">
      <c r="A277" t="s">
        <v>460</v>
      </c>
      <c r="B277" t="s">
        <v>2178</v>
      </c>
      <c r="C277" t="s">
        <v>462</v>
      </c>
      <c r="D277">
        <v>2019</v>
      </c>
      <c r="E277" s="52" t="s">
        <v>2179</v>
      </c>
      <c r="F277">
        <v>1273593</v>
      </c>
      <c r="G277">
        <v>1277883</v>
      </c>
      <c r="H277" t="s">
        <v>2171</v>
      </c>
      <c r="I277" t="s">
        <v>460</v>
      </c>
      <c r="J277" s="51">
        <v>3.8460648148148147E-2</v>
      </c>
      <c r="K277" t="s">
        <v>160</v>
      </c>
      <c r="L277" t="s">
        <v>465</v>
      </c>
      <c r="M277" t="s">
        <v>466</v>
      </c>
      <c r="N277" t="s">
        <v>363</v>
      </c>
      <c r="O277" t="s">
        <v>164</v>
      </c>
      <c r="P277" t="s">
        <v>145</v>
      </c>
      <c r="Q277" t="s">
        <v>625</v>
      </c>
      <c r="R277" t="s">
        <v>167</v>
      </c>
      <c r="S277" t="s">
        <v>168</v>
      </c>
      <c r="T277" t="s">
        <v>149</v>
      </c>
      <c r="U277" t="s">
        <v>171</v>
      </c>
      <c r="V277">
        <v>4</v>
      </c>
      <c r="W277" t="s">
        <v>170</v>
      </c>
      <c r="X277" t="s">
        <v>2180</v>
      </c>
      <c r="Y277" t="s">
        <v>153</v>
      </c>
      <c r="Z277" s="53" t="s">
        <v>2181</v>
      </c>
      <c r="AA277">
        <v>1</v>
      </c>
      <c r="AB277"/>
      <c r="AC277">
        <v>1</v>
      </c>
      <c r="AD277"/>
      <c r="AE277"/>
      <c r="AF277"/>
      <c r="AY277" s="10">
        <v>1</v>
      </c>
      <c r="BD277" s="3">
        <v>1</v>
      </c>
      <c r="BG277" t="str">
        <f t="shared" si="4"/>
        <v/>
      </c>
      <c r="BH277" s="3" t="str" cm="1">
        <f t="array" ref="BH277">IF(AE277=1, _xlfn.TEXTJOIN(" &amp; ", TRUE, _xlfn._xlws.FILTER($AG$2:$BC$2, AG277:BC277=1)), "")</f>
        <v/>
      </c>
    </row>
    <row r="278" spans="1:60" x14ac:dyDescent="0.3">
      <c r="A278" t="s">
        <v>460</v>
      </c>
      <c r="B278" t="s">
        <v>2182</v>
      </c>
      <c r="C278" t="s">
        <v>462</v>
      </c>
      <c r="D278">
        <v>2019</v>
      </c>
      <c r="E278" s="52" t="s">
        <v>2183</v>
      </c>
      <c r="F278">
        <v>1659080</v>
      </c>
      <c r="G278">
        <v>1662870</v>
      </c>
      <c r="H278" t="s">
        <v>2171</v>
      </c>
      <c r="I278" t="s">
        <v>460</v>
      </c>
      <c r="J278" s="51">
        <v>3.8460648148148147E-2</v>
      </c>
      <c r="K278" t="s">
        <v>160</v>
      </c>
      <c r="L278" t="s">
        <v>465</v>
      </c>
      <c r="M278" t="s">
        <v>466</v>
      </c>
      <c r="N278" t="s">
        <v>363</v>
      </c>
      <c r="O278" t="s">
        <v>164</v>
      </c>
      <c r="P278" t="s">
        <v>145</v>
      </c>
      <c r="Q278" t="s">
        <v>625</v>
      </c>
      <c r="R278" t="s">
        <v>167</v>
      </c>
      <c r="S278" t="s">
        <v>168</v>
      </c>
      <c r="T278" t="s">
        <v>149</v>
      </c>
      <c r="U278" t="s">
        <v>171</v>
      </c>
      <c r="V278">
        <v>4</v>
      </c>
      <c r="W278" t="s">
        <v>170</v>
      </c>
      <c r="X278" t="s">
        <v>2184</v>
      </c>
      <c r="Y278" t="s">
        <v>153</v>
      </c>
      <c r="Z278" s="53" t="s">
        <v>2185</v>
      </c>
      <c r="AA278"/>
      <c r="AB278"/>
      <c r="AC278"/>
      <c r="AD278"/>
      <c r="AE278">
        <v>1</v>
      </c>
      <c r="AF278"/>
      <c r="AM278" s="7">
        <v>1</v>
      </c>
      <c r="AP278" s="9">
        <v>1</v>
      </c>
      <c r="BD278" s="3">
        <v>1</v>
      </c>
      <c r="BG278" t="str">
        <f t="shared" si="4"/>
        <v>Interazionale &amp; Metatestuale</v>
      </c>
      <c r="BH278" s="3" t="str" cm="1">
        <f t="array" ref="BH278">IF(AE278=1, _xlfn.TEXTJOIN(" &amp; ", TRUE, _xlfn._xlws.FILTER($AG$2:$BC$2, AG278:BC278=1)), "")</f>
        <v>Marcatura della conoscenza condivisa &amp; Gestione del topic: introduzione o ripresa di topic</v>
      </c>
    </row>
    <row r="279" spans="1:60" x14ac:dyDescent="0.3">
      <c r="A279" t="s">
        <v>460</v>
      </c>
      <c r="B279" t="s">
        <v>2186</v>
      </c>
      <c r="C279" t="s">
        <v>462</v>
      </c>
      <c r="D279">
        <v>2019</v>
      </c>
      <c r="E279" s="52" t="s">
        <v>2187</v>
      </c>
      <c r="F279">
        <v>2597210</v>
      </c>
      <c r="G279">
        <v>2599415</v>
      </c>
      <c r="H279" t="s">
        <v>517</v>
      </c>
      <c r="I279" t="s">
        <v>460</v>
      </c>
      <c r="J279" s="51">
        <v>3.8460648148148147E-2</v>
      </c>
      <c r="K279" t="s">
        <v>160</v>
      </c>
      <c r="L279" t="s">
        <v>465</v>
      </c>
      <c r="M279" t="s">
        <v>466</v>
      </c>
      <c r="N279" t="s">
        <v>143</v>
      </c>
      <c r="O279" t="s">
        <v>144</v>
      </c>
      <c r="P279" t="s">
        <v>145</v>
      </c>
      <c r="Q279" t="s">
        <v>146</v>
      </c>
      <c r="R279" t="s">
        <v>167</v>
      </c>
      <c r="S279" t="s">
        <v>168</v>
      </c>
      <c r="T279" t="s">
        <v>149</v>
      </c>
      <c r="U279" t="s">
        <v>151</v>
      </c>
      <c r="V279">
        <v>4</v>
      </c>
      <c r="W279" t="s">
        <v>170</v>
      </c>
      <c r="X279" t="s">
        <v>2188</v>
      </c>
      <c r="Y279" t="s">
        <v>153</v>
      </c>
      <c r="Z279" s="53" t="s">
        <v>2189</v>
      </c>
      <c r="AA279">
        <v>1</v>
      </c>
      <c r="AB279">
        <v>1</v>
      </c>
      <c r="AC279"/>
      <c r="AD279"/>
      <c r="AE279"/>
      <c r="AF279"/>
      <c r="BG279" t="str">
        <f t="shared" si="4"/>
        <v/>
      </c>
      <c r="BH279" s="3" t="str" cm="1">
        <f t="array" ref="BH279">IF(AE279=1, _xlfn.TEXTJOIN(" &amp; ", TRUE, _xlfn._xlws.FILTER($AG$2:$BC$2, AG279:BC279=1)), "")</f>
        <v/>
      </c>
    </row>
    <row r="280" spans="1:60" x14ac:dyDescent="0.3">
      <c r="A280" t="s">
        <v>460</v>
      </c>
      <c r="B280" t="s">
        <v>2190</v>
      </c>
      <c r="C280" t="s">
        <v>462</v>
      </c>
      <c r="D280">
        <v>2019</v>
      </c>
      <c r="E280" s="52" t="s">
        <v>2191</v>
      </c>
      <c r="F280">
        <v>2613013</v>
      </c>
      <c r="G280">
        <v>2616113</v>
      </c>
      <c r="H280" t="s">
        <v>517</v>
      </c>
      <c r="I280" t="s">
        <v>460</v>
      </c>
      <c r="J280" s="51">
        <v>3.8460648148148147E-2</v>
      </c>
      <c r="K280" t="s">
        <v>160</v>
      </c>
      <c r="L280" t="s">
        <v>465</v>
      </c>
      <c r="M280" t="s">
        <v>466</v>
      </c>
      <c r="N280" t="s">
        <v>143</v>
      </c>
      <c r="O280" t="s">
        <v>144</v>
      </c>
      <c r="P280" t="s">
        <v>145</v>
      </c>
      <c r="Q280" t="s">
        <v>146</v>
      </c>
      <c r="R280" t="s">
        <v>167</v>
      </c>
      <c r="S280" t="s">
        <v>168</v>
      </c>
      <c r="T280" t="s">
        <v>149</v>
      </c>
      <c r="U280" t="s">
        <v>151</v>
      </c>
      <c r="V280">
        <v>4</v>
      </c>
      <c r="W280" t="s">
        <v>170</v>
      </c>
      <c r="X280" t="s">
        <v>2192</v>
      </c>
      <c r="Y280" t="s">
        <v>153</v>
      </c>
      <c r="Z280" s="53" t="s">
        <v>2193</v>
      </c>
      <c r="AA280">
        <v>1</v>
      </c>
      <c r="AB280"/>
      <c r="AC280">
        <v>1</v>
      </c>
      <c r="AD280"/>
      <c r="AE280"/>
      <c r="AF280"/>
      <c r="BG280" t="str">
        <f t="shared" si="4"/>
        <v/>
      </c>
      <c r="BH280" s="3" t="str" cm="1">
        <f t="array" ref="BH280">IF(AE280=1, _xlfn.TEXTJOIN(" &amp; ", TRUE, _xlfn._xlws.FILTER($AG$2:$BC$2, AG280:BC280=1)), "")</f>
        <v/>
      </c>
    </row>
    <row r="281" spans="1:60" x14ac:dyDescent="0.3">
      <c r="A281" t="s">
        <v>474</v>
      </c>
      <c r="B281" t="s">
        <v>2194</v>
      </c>
      <c r="C281" t="s">
        <v>476</v>
      </c>
      <c r="D281">
        <v>2023</v>
      </c>
      <c r="E281" s="52" t="s">
        <v>2195</v>
      </c>
      <c r="F281">
        <v>507684</v>
      </c>
      <c r="G281">
        <v>509592</v>
      </c>
      <c r="H281" t="s">
        <v>478</v>
      </c>
      <c r="I281" t="s">
        <v>474</v>
      </c>
      <c r="J281" s="51">
        <v>3.138888888888889E-2</v>
      </c>
      <c r="K281" t="s">
        <v>160</v>
      </c>
      <c r="L281" t="s">
        <v>479</v>
      </c>
      <c r="M281" t="s">
        <v>480</v>
      </c>
      <c r="N281" t="s">
        <v>163</v>
      </c>
      <c r="O281" t="s">
        <v>144</v>
      </c>
      <c r="P281" t="s">
        <v>165</v>
      </c>
      <c r="Q281" t="s">
        <v>481</v>
      </c>
      <c r="R281" t="s">
        <v>167</v>
      </c>
      <c r="S281" t="s">
        <v>168</v>
      </c>
      <c r="T281" t="s">
        <v>169</v>
      </c>
      <c r="U281" t="s">
        <v>318</v>
      </c>
      <c r="V281">
        <v>2</v>
      </c>
      <c r="W281" t="s">
        <v>170</v>
      </c>
      <c r="X281" t="s">
        <v>2196</v>
      </c>
      <c r="Y281" t="s">
        <v>153</v>
      </c>
      <c r="Z281" s="53" t="s">
        <v>2197</v>
      </c>
      <c r="AA281">
        <v>1</v>
      </c>
      <c r="AB281"/>
      <c r="AC281">
        <v>1</v>
      </c>
      <c r="AD281"/>
      <c r="AE281"/>
      <c r="AF281"/>
      <c r="BG281" t="str">
        <f t="shared" si="4"/>
        <v/>
      </c>
      <c r="BH281" s="3" t="str" cm="1">
        <f t="array" ref="BH281">IF(AE281=1, _xlfn.TEXTJOIN(" &amp; ", TRUE, _xlfn._xlws.FILTER($AG$2:$BC$2, AG281:BC281=1)), "")</f>
        <v/>
      </c>
    </row>
    <row r="282" spans="1:60" x14ac:dyDescent="0.3">
      <c r="A282" t="s">
        <v>474</v>
      </c>
      <c r="B282" t="s">
        <v>475</v>
      </c>
      <c r="C282" t="s">
        <v>476</v>
      </c>
      <c r="D282">
        <v>2023</v>
      </c>
      <c r="E282" s="52" t="s">
        <v>477</v>
      </c>
      <c r="F282">
        <v>2623280</v>
      </c>
      <c r="G282">
        <v>2630523</v>
      </c>
      <c r="H282" t="s">
        <v>478</v>
      </c>
      <c r="I282" t="s">
        <v>474</v>
      </c>
      <c r="J282" s="51">
        <v>3.138888888888889E-2</v>
      </c>
      <c r="K282" t="s">
        <v>160</v>
      </c>
      <c r="L282" t="s">
        <v>479</v>
      </c>
      <c r="M282" t="s">
        <v>480</v>
      </c>
      <c r="N282" t="s">
        <v>163</v>
      </c>
      <c r="O282" t="s">
        <v>144</v>
      </c>
      <c r="P282" t="s">
        <v>165</v>
      </c>
      <c r="Q282" t="s">
        <v>481</v>
      </c>
      <c r="R282" t="s">
        <v>167</v>
      </c>
      <c r="S282" t="s">
        <v>168</v>
      </c>
      <c r="T282" t="s">
        <v>169</v>
      </c>
      <c r="U282" t="s">
        <v>318</v>
      </c>
      <c r="V282">
        <v>2</v>
      </c>
      <c r="W282" t="s">
        <v>170</v>
      </c>
      <c r="X282" t="s">
        <v>482</v>
      </c>
      <c r="Y282" t="s">
        <v>153</v>
      </c>
      <c r="Z282" s="53" t="s">
        <v>483</v>
      </c>
      <c r="AA282"/>
      <c r="AB282"/>
      <c r="AC282"/>
      <c r="AD282"/>
      <c r="AE282">
        <v>1</v>
      </c>
      <c r="AF282"/>
      <c r="AM282" s="7">
        <v>1</v>
      </c>
      <c r="AX282" s="23">
        <v>1</v>
      </c>
      <c r="BD282" s="3">
        <v>1</v>
      </c>
      <c r="BG282" t="str">
        <f t="shared" si="4"/>
        <v>Interazionale &amp; Cognitiva</v>
      </c>
      <c r="BH282" s="3" t="str" cm="1">
        <f t="array" ref="BH282">IF(AE282=1, _xlfn.TEXTJOIN(" &amp; ", TRUE, _xlfn._xlws.FILTER($AG$2:$BC$2, AG282:BC282=1)), "")</f>
        <v>Marcatura della conoscenza condivisa &amp; Marcatura dell'inferenza</v>
      </c>
    </row>
    <row r="283" spans="1:60" x14ac:dyDescent="0.3">
      <c r="A283" t="s">
        <v>2199</v>
      </c>
      <c r="B283" t="s">
        <v>2200</v>
      </c>
      <c r="C283" t="s">
        <v>2201</v>
      </c>
      <c r="D283">
        <v>2022</v>
      </c>
      <c r="E283" s="52" t="s">
        <v>2202</v>
      </c>
      <c r="F283">
        <v>630488</v>
      </c>
      <c r="G283">
        <v>638388</v>
      </c>
      <c r="H283" t="s">
        <v>2203</v>
      </c>
      <c r="I283" t="s">
        <v>2199</v>
      </c>
      <c r="J283" s="51">
        <v>2.3009259259259261E-2</v>
      </c>
      <c r="K283" t="s">
        <v>160</v>
      </c>
      <c r="L283" t="s">
        <v>2204</v>
      </c>
      <c r="M283" t="s">
        <v>2205</v>
      </c>
      <c r="N283" t="s">
        <v>363</v>
      </c>
      <c r="O283" t="s">
        <v>144</v>
      </c>
      <c r="P283" t="s">
        <v>165</v>
      </c>
      <c r="Q283" t="s">
        <v>228</v>
      </c>
      <c r="R283" t="s">
        <v>167</v>
      </c>
      <c r="S283" t="s">
        <v>168</v>
      </c>
      <c r="T283" t="s">
        <v>169</v>
      </c>
      <c r="U283" t="s">
        <v>229</v>
      </c>
      <c r="V283">
        <v>2</v>
      </c>
      <c r="W283" t="s">
        <v>170</v>
      </c>
      <c r="X283" t="s">
        <v>2206</v>
      </c>
      <c r="Y283" t="s">
        <v>153</v>
      </c>
      <c r="Z283" s="53" t="s">
        <v>2207</v>
      </c>
      <c r="AA283">
        <v>1</v>
      </c>
      <c r="AB283">
        <v>1</v>
      </c>
      <c r="AC283"/>
      <c r="AD283"/>
      <c r="AE283"/>
      <c r="AF283"/>
      <c r="BG283" t="str">
        <f t="shared" si="4"/>
        <v/>
      </c>
      <c r="BH283" s="3" t="str" cm="1">
        <f t="array" ref="BH283">IF(AE283=1, _xlfn.TEXTJOIN(" &amp; ", TRUE, _xlfn._xlws.FILTER($AG$2:$BC$2, AG283:BC283=1)), "")</f>
        <v/>
      </c>
    </row>
    <row r="284" spans="1:60" x14ac:dyDescent="0.3">
      <c r="A284" t="s">
        <v>2208</v>
      </c>
      <c r="B284" t="s">
        <v>2213</v>
      </c>
      <c r="C284" t="s">
        <v>2209</v>
      </c>
      <c r="D284">
        <v>2020</v>
      </c>
      <c r="E284" s="52" t="s">
        <v>2214</v>
      </c>
      <c r="F284">
        <v>874084</v>
      </c>
      <c r="G284">
        <v>875604</v>
      </c>
      <c r="H284" t="s">
        <v>2210</v>
      </c>
      <c r="I284" t="s">
        <v>2208</v>
      </c>
      <c r="J284" s="51">
        <v>2.1724537037037039E-2</v>
      </c>
      <c r="K284" t="s">
        <v>140</v>
      </c>
      <c r="L284" t="s">
        <v>2211</v>
      </c>
      <c r="M284" t="s">
        <v>2212</v>
      </c>
      <c r="N284" t="s">
        <v>143</v>
      </c>
      <c r="O284" t="s">
        <v>164</v>
      </c>
      <c r="P284" t="s">
        <v>1054</v>
      </c>
      <c r="Q284" t="s">
        <v>228</v>
      </c>
      <c r="R284" t="s">
        <v>147</v>
      </c>
      <c r="S284" t="s">
        <v>148</v>
      </c>
      <c r="T284" t="s">
        <v>180</v>
      </c>
      <c r="U284" t="s">
        <v>349</v>
      </c>
      <c r="V284">
        <v>4</v>
      </c>
      <c r="W284" t="s">
        <v>269</v>
      </c>
      <c r="X284" t="s">
        <v>2215</v>
      </c>
      <c r="Y284" t="s">
        <v>153</v>
      </c>
      <c r="Z284" s="53" t="s">
        <v>2216</v>
      </c>
      <c r="AA284">
        <v>1</v>
      </c>
      <c r="AB284"/>
      <c r="AC284">
        <v>1</v>
      </c>
      <c r="AD284"/>
      <c r="AE284"/>
      <c r="AF284"/>
      <c r="BG284" t="str">
        <f t="shared" si="4"/>
        <v/>
      </c>
      <c r="BH284" s="3" t="str" cm="1">
        <f t="array" ref="BH284">IF(AE284=1, _xlfn.TEXTJOIN(" &amp; ", TRUE, _xlfn._xlws.FILTER($AG$2:$BC$2, AG284:BC284=1)), "")</f>
        <v/>
      </c>
    </row>
    <row r="285" spans="1:60" x14ac:dyDescent="0.3">
      <c r="A285" t="s">
        <v>2208</v>
      </c>
      <c r="B285" t="s">
        <v>2217</v>
      </c>
      <c r="C285" t="s">
        <v>2209</v>
      </c>
      <c r="D285">
        <v>2020</v>
      </c>
      <c r="E285" s="52" t="s">
        <v>2218</v>
      </c>
      <c r="F285">
        <v>1290470</v>
      </c>
      <c r="G285">
        <v>1290918</v>
      </c>
      <c r="H285" t="s">
        <v>2210</v>
      </c>
      <c r="I285" t="s">
        <v>2208</v>
      </c>
      <c r="J285" s="51">
        <v>2.1724537037037039E-2</v>
      </c>
      <c r="K285" t="s">
        <v>140</v>
      </c>
      <c r="L285" t="s">
        <v>2211</v>
      </c>
      <c r="M285" t="s">
        <v>2212</v>
      </c>
      <c r="N285" t="s">
        <v>143</v>
      </c>
      <c r="O285" t="s">
        <v>164</v>
      </c>
      <c r="P285" t="s">
        <v>1054</v>
      </c>
      <c r="Q285" t="s">
        <v>228</v>
      </c>
      <c r="R285" t="s">
        <v>147</v>
      </c>
      <c r="S285" t="s">
        <v>148</v>
      </c>
      <c r="T285" t="s">
        <v>180</v>
      </c>
      <c r="U285" t="s">
        <v>349</v>
      </c>
      <c r="V285">
        <v>4</v>
      </c>
      <c r="W285" t="s">
        <v>269</v>
      </c>
      <c r="X285" t="s">
        <v>2219</v>
      </c>
      <c r="Y285" t="s">
        <v>153</v>
      </c>
      <c r="Z285" s="53" t="s">
        <v>2220</v>
      </c>
      <c r="AA285">
        <v>1</v>
      </c>
      <c r="AB285"/>
      <c r="AC285">
        <v>1</v>
      </c>
      <c r="AD285"/>
      <c r="AE285"/>
      <c r="AF285"/>
      <c r="BG285" t="str">
        <f t="shared" si="4"/>
        <v/>
      </c>
      <c r="BH285" s="3" t="str" cm="1">
        <f t="array" ref="BH285">IF(AE285=1, _xlfn.TEXTJOIN(" &amp; ", TRUE, _xlfn._xlws.FILTER($AG$2:$BC$2, AG285:BC285=1)), "")</f>
        <v/>
      </c>
    </row>
    <row r="286" spans="1:60" x14ac:dyDescent="0.3">
      <c r="A286" t="s">
        <v>2221</v>
      </c>
      <c r="B286" t="s">
        <v>2222</v>
      </c>
      <c r="C286" t="s">
        <v>2223</v>
      </c>
      <c r="D286">
        <v>2022</v>
      </c>
      <c r="E286" s="52" t="s">
        <v>2224</v>
      </c>
      <c r="F286">
        <v>419820</v>
      </c>
      <c r="G286">
        <v>422880</v>
      </c>
      <c r="H286" t="s">
        <v>2225</v>
      </c>
      <c r="I286" t="s">
        <v>2221</v>
      </c>
      <c r="J286" s="51">
        <v>4.4641203703703704E-2</v>
      </c>
      <c r="K286" t="s">
        <v>140</v>
      </c>
      <c r="L286" t="s">
        <v>2226</v>
      </c>
      <c r="M286" t="s">
        <v>2227</v>
      </c>
      <c r="N286" t="s">
        <v>143</v>
      </c>
      <c r="O286" t="s">
        <v>144</v>
      </c>
      <c r="P286" t="s">
        <v>2228</v>
      </c>
      <c r="Q286" t="s">
        <v>146</v>
      </c>
      <c r="R286" t="s">
        <v>147</v>
      </c>
      <c r="S286" t="s">
        <v>148</v>
      </c>
      <c r="T286" t="s">
        <v>714</v>
      </c>
      <c r="U286" t="s">
        <v>151</v>
      </c>
      <c r="V286">
        <v>3</v>
      </c>
      <c r="W286" t="s">
        <v>269</v>
      </c>
      <c r="X286" t="s">
        <v>2229</v>
      </c>
      <c r="Y286" t="s">
        <v>153</v>
      </c>
      <c r="Z286" s="53" t="s">
        <v>2230</v>
      </c>
      <c r="AA286">
        <v>1</v>
      </c>
      <c r="AB286">
        <v>1</v>
      </c>
      <c r="AC286"/>
      <c r="AD286"/>
      <c r="AE286"/>
      <c r="AF286"/>
      <c r="BG286" t="str">
        <f t="shared" si="4"/>
        <v/>
      </c>
      <c r="BH286" s="3" t="str" cm="1">
        <f t="array" ref="BH286">IF(AE286=1, _xlfn.TEXTJOIN(" &amp; ", TRUE, _xlfn._xlws.FILTER($AG$2:$BC$2, AG286:BC286=1)), "")</f>
        <v/>
      </c>
    </row>
    <row r="287" spans="1:60" x14ac:dyDescent="0.3">
      <c r="A287" t="s">
        <v>2221</v>
      </c>
      <c r="B287" t="s">
        <v>2231</v>
      </c>
      <c r="C287" t="s">
        <v>2223</v>
      </c>
      <c r="D287">
        <v>2022</v>
      </c>
      <c r="E287" s="52" t="s">
        <v>2232</v>
      </c>
      <c r="F287">
        <v>1705121</v>
      </c>
      <c r="G287">
        <v>1706838</v>
      </c>
      <c r="H287" t="s">
        <v>2225</v>
      </c>
      <c r="I287" t="s">
        <v>2221</v>
      </c>
      <c r="J287" s="51">
        <v>4.4641203703703704E-2</v>
      </c>
      <c r="K287" t="s">
        <v>140</v>
      </c>
      <c r="L287" t="s">
        <v>2226</v>
      </c>
      <c r="M287" t="s">
        <v>2227</v>
      </c>
      <c r="N287" t="s">
        <v>143</v>
      </c>
      <c r="O287" t="s">
        <v>144</v>
      </c>
      <c r="P287" t="s">
        <v>2228</v>
      </c>
      <c r="Q287" t="s">
        <v>146</v>
      </c>
      <c r="R287" t="s">
        <v>147</v>
      </c>
      <c r="S287" t="s">
        <v>148</v>
      </c>
      <c r="T287" t="s">
        <v>714</v>
      </c>
      <c r="U287" t="s">
        <v>151</v>
      </c>
      <c r="V287">
        <v>3</v>
      </c>
      <c r="W287" t="s">
        <v>269</v>
      </c>
      <c r="X287" t="s">
        <v>2233</v>
      </c>
      <c r="Y287" t="s">
        <v>153</v>
      </c>
      <c r="Z287" s="53" t="s">
        <v>2234</v>
      </c>
      <c r="AA287">
        <v>1</v>
      </c>
      <c r="AB287">
        <v>1</v>
      </c>
      <c r="AC287"/>
      <c r="AD287"/>
      <c r="AE287"/>
      <c r="AF287"/>
      <c r="BG287" t="str">
        <f t="shared" si="4"/>
        <v/>
      </c>
      <c r="BH287" s="3" t="str" cm="1">
        <f t="array" ref="BH287">IF(AE287=1, _xlfn.TEXTJOIN(" &amp; ", TRUE, _xlfn._xlws.FILTER($AG$2:$BC$2, AG287:BC287=1)), "")</f>
        <v/>
      </c>
    </row>
    <row r="288" spans="1:60" x14ac:dyDescent="0.3">
      <c r="A288" t="s">
        <v>2221</v>
      </c>
      <c r="B288" t="s">
        <v>2235</v>
      </c>
      <c r="C288" t="s">
        <v>2223</v>
      </c>
      <c r="D288">
        <v>2022</v>
      </c>
      <c r="E288" s="52" t="s">
        <v>2236</v>
      </c>
      <c r="F288">
        <v>1719717</v>
      </c>
      <c r="G288">
        <v>1723141</v>
      </c>
      <c r="H288" t="s">
        <v>2225</v>
      </c>
      <c r="I288" t="s">
        <v>2221</v>
      </c>
      <c r="J288" s="51">
        <v>4.4641203703703704E-2</v>
      </c>
      <c r="K288" t="s">
        <v>140</v>
      </c>
      <c r="L288" t="s">
        <v>2226</v>
      </c>
      <c r="M288" t="s">
        <v>2227</v>
      </c>
      <c r="N288" t="s">
        <v>143</v>
      </c>
      <c r="O288" t="s">
        <v>144</v>
      </c>
      <c r="P288" t="s">
        <v>2228</v>
      </c>
      <c r="Q288" t="s">
        <v>146</v>
      </c>
      <c r="R288" t="s">
        <v>147</v>
      </c>
      <c r="S288" t="s">
        <v>148</v>
      </c>
      <c r="T288" t="s">
        <v>714</v>
      </c>
      <c r="U288" t="s">
        <v>151</v>
      </c>
      <c r="V288">
        <v>3</v>
      </c>
      <c r="W288" t="s">
        <v>269</v>
      </c>
      <c r="X288" t="s">
        <v>2237</v>
      </c>
      <c r="Y288" t="s">
        <v>153</v>
      </c>
      <c r="Z288" s="53" t="s">
        <v>2238</v>
      </c>
      <c r="AA288">
        <v>1</v>
      </c>
      <c r="AB288">
        <v>1</v>
      </c>
      <c r="AC288"/>
      <c r="AD288"/>
      <c r="AE288"/>
      <c r="AF288"/>
      <c r="BG288" t="str">
        <f t="shared" si="4"/>
        <v/>
      </c>
      <c r="BH288" s="3" t="str" cm="1">
        <f t="array" ref="BH288">IF(AE288=1, _xlfn.TEXTJOIN(" &amp; ", TRUE, _xlfn._xlws.FILTER($AG$2:$BC$2, AG288:BC288=1)), "")</f>
        <v/>
      </c>
    </row>
    <row r="289" spans="1:60" x14ac:dyDescent="0.3">
      <c r="A289" t="s">
        <v>484</v>
      </c>
      <c r="B289" t="s">
        <v>2239</v>
      </c>
      <c r="C289" t="s">
        <v>485</v>
      </c>
      <c r="D289">
        <v>2020</v>
      </c>
      <c r="E289" s="52" t="s">
        <v>2240</v>
      </c>
      <c r="F289">
        <v>51400</v>
      </c>
      <c r="G289">
        <v>51806</v>
      </c>
      <c r="H289" t="s">
        <v>490</v>
      </c>
      <c r="I289" t="s">
        <v>484</v>
      </c>
      <c r="J289" s="51">
        <v>2.1898148148148149E-2</v>
      </c>
      <c r="K289" t="s">
        <v>140</v>
      </c>
      <c r="L289" t="s">
        <v>487</v>
      </c>
      <c r="M289" t="s">
        <v>488</v>
      </c>
      <c r="N289" t="s">
        <v>415</v>
      </c>
      <c r="O289" t="s">
        <v>144</v>
      </c>
      <c r="P289" t="s">
        <v>489</v>
      </c>
      <c r="Q289" t="s">
        <v>228</v>
      </c>
      <c r="R289" t="s">
        <v>147</v>
      </c>
      <c r="S289" t="s">
        <v>148</v>
      </c>
      <c r="T289" t="s">
        <v>491</v>
      </c>
      <c r="U289" t="s">
        <v>229</v>
      </c>
      <c r="V289">
        <v>4</v>
      </c>
      <c r="W289" t="s">
        <v>269</v>
      </c>
      <c r="X289" t="s">
        <v>2241</v>
      </c>
      <c r="Y289" t="s">
        <v>153</v>
      </c>
      <c r="Z289" s="53" t="s">
        <v>2242</v>
      </c>
      <c r="AA289"/>
      <c r="AB289"/>
      <c r="AC289"/>
      <c r="AD289"/>
      <c r="AE289">
        <v>1</v>
      </c>
      <c r="AF289">
        <v>1</v>
      </c>
      <c r="AM289" s="7">
        <v>1</v>
      </c>
      <c r="BG289" t="str">
        <f t="shared" si="4"/>
        <v>Interazionale</v>
      </c>
      <c r="BH289" s="3" t="str" cm="1">
        <f t="array" ref="BH289">IF(AE289=1, _xlfn.TEXTJOIN(" &amp; ", TRUE, _xlfn._xlws.FILTER($AG$2:$BC$2, AG289:BC289=1)), "")</f>
        <v>Marcatura della conoscenza condivisa</v>
      </c>
    </row>
    <row r="290" spans="1:60" x14ac:dyDescent="0.3">
      <c r="A290" t="s">
        <v>484</v>
      </c>
      <c r="B290" t="s">
        <v>2243</v>
      </c>
      <c r="C290" t="s">
        <v>485</v>
      </c>
      <c r="D290">
        <v>2020</v>
      </c>
      <c r="E290" s="52" t="s">
        <v>2244</v>
      </c>
      <c r="F290">
        <v>1746613</v>
      </c>
      <c r="G290">
        <v>1746926</v>
      </c>
      <c r="H290" t="s">
        <v>490</v>
      </c>
      <c r="I290" t="s">
        <v>484</v>
      </c>
      <c r="J290" s="51">
        <v>2.1898148148148149E-2</v>
      </c>
      <c r="K290" t="s">
        <v>140</v>
      </c>
      <c r="L290" t="s">
        <v>487</v>
      </c>
      <c r="M290" t="s">
        <v>488</v>
      </c>
      <c r="N290" t="s">
        <v>415</v>
      </c>
      <c r="O290" t="s">
        <v>144</v>
      </c>
      <c r="P290" t="s">
        <v>489</v>
      </c>
      <c r="Q290" t="s">
        <v>228</v>
      </c>
      <c r="R290" t="s">
        <v>147</v>
      </c>
      <c r="S290" t="s">
        <v>148</v>
      </c>
      <c r="T290" t="s">
        <v>491</v>
      </c>
      <c r="U290" t="s">
        <v>229</v>
      </c>
      <c r="V290">
        <v>4</v>
      </c>
      <c r="W290" t="s">
        <v>269</v>
      </c>
      <c r="X290" t="s">
        <v>2245</v>
      </c>
      <c r="Y290" t="s">
        <v>153</v>
      </c>
      <c r="Z290" s="53" t="s">
        <v>2246</v>
      </c>
      <c r="AA290"/>
      <c r="AB290"/>
      <c r="AC290"/>
      <c r="AD290"/>
      <c r="AE290">
        <v>1</v>
      </c>
      <c r="AF290">
        <v>1</v>
      </c>
      <c r="AH290" s="8">
        <v>1</v>
      </c>
      <c r="AM290" s="7">
        <v>1</v>
      </c>
      <c r="BD290" s="3">
        <v>1</v>
      </c>
      <c r="BG290" t="str">
        <f t="shared" si="4"/>
        <v>Interazionale</v>
      </c>
      <c r="BH290" s="3" t="str" cm="1">
        <f t="array" ref="BH290">IF(AE290=1, _xlfn.TEXTJOIN(" &amp; ", TRUE, _xlfn._xlws.FILTER($AG$2:$BC$2, AG290:BC290=1)), "")</f>
        <v>Richiesta di accordo/conferma &amp; Marcatura della conoscenza condivisa</v>
      </c>
    </row>
    <row r="291" spans="1:60" x14ac:dyDescent="0.3">
      <c r="A291" t="s">
        <v>492</v>
      </c>
      <c r="B291" t="s">
        <v>2247</v>
      </c>
      <c r="C291" t="s">
        <v>493</v>
      </c>
      <c r="D291">
        <v>2023</v>
      </c>
      <c r="E291" s="52" t="s">
        <v>2248</v>
      </c>
      <c r="F291">
        <v>1177664</v>
      </c>
      <c r="G291">
        <v>1180966</v>
      </c>
      <c r="H291" t="s">
        <v>494</v>
      </c>
      <c r="I291" t="s">
        <v>492</v>
      </c>
      <c r="J291" s="51">
        <v>3.8796296296296294E-2</v>
      </c>
      <c r="K291" t="s">
        <v>160</v>
      </c>
      <c r="L291" t="s">
        <v>495</v>
      </c>
      <c r="M291" t="s">
        <v>496</v>
      </c>
      <c r="N291" t="s">
        <v>143</v>
      </c>
      <c r="O291" t="s">
        <v>164</v>
      </c>
      <c r="P291" t="s">
        <v>165</v>
      </c>
      <c r="Q291" t="s">
        <v>166</v>
      </c>
      <c r="R291" t="s">
        <v>167</v>
      </c>
      <c r="S291" t="s">
        <v>168</v>
      </c>
      <c r="T291" t="s">
        <v>169</v>
      </c>
      <c r="U291" t="s">
        <v>171</v>
      </c>
      <c r="V291">
        <v>3</v>
      </c>
      <c r="W291" t="s">
        <v>170</v>
      </c>
      <c r="X291" t="s">
        <v>2249</v>
      </c>
      <c r="Y291" t="s">
        <v>153</v>
      </c>
      <c r="Z291" s="53" t="s">
        <v>2250</v>
      </c>
      <c r="AA291"/>
      <c r="AB291"/>
      <c r="AC291"/>
      <c r="AD291"/>
      <c r="AE291">
        <v>1</v>
      </c>
      <c r="AF291"/>
      <c r="AV291" s="9">
        <v>1</v>
      </c>
      <c r="BG291" t="str">
        <f t="shared" si="4"/>
        <v>Metatestuale</v>
      </c>
      <c r="BH291" s="3" t="str" cm="1">
        <f t="array" ref="BH291">IF(AE291=1, _xlfn.TEXTJOIN(" &amp; ", TRUE, _xlfn._xlws.FILTER($AG$2:$BC$2, AG291:BC291=1)), "")</f>
        <v>Filler, riempimento dei tempi di formulazione</v>
      </c>
    </row>
    <row r="292" spans="1:60" x14ac:dyDescent="0.3">
      <c r="A292" t="s">
        <v>492</v>
      </c>
      <c r="B292" t="s">
        <v>2251</v>
      </c>
      <c r="C292" t="s">
        <v>493</v>
      </c>
      <c r="D292">
        <v>2023</v>
      </c>
      <c r="E292" s="52" t="s">
        <v>2252</v>
      </c>
      <c r="F292">
        <v>1181305</v>
      </c>
      <c r="G292">
        <v>1184213</v>
      </c>
      <c r="H292" t="s">
        <v>494</v>
      </c>
      <c r="I292" t="s">
        <v>492</v>
      </c>
      <c r="J292" s="51">
        <v>3.8796296296296294E-2</v>
      </c>
      <c r="K292" t="s">
        <v>160</v>
      </c>
      <c r="L292" t="s">
        <v>495</v>
      </c>
      <c r="M292" t="s">
        <v>496</v>
      </c>
      <c r="N292" t="s">
        <v>143</v>
      </c>
      <c r="O292" t="s">
        <v>164</v>
      </c>
      <c r="P292" t="s">
        <v>165</v>
      </c>
      <c r="Q292" t="s">
        <v>166</v>
      </c>
      <c r="R292" t="s">
        <v>167</v>
      </c>
      <c r="S292" t="s">
        <v>168</v>
      </c>
      <c r="T292" t="s">
        <v>169</v>
      </c>
      <c r="U292" t="s">
        <v>171</v>
      </c>
      <c r="V292">
        <v>3</v>
      </c>
      <c r="W292" t="s">
        <v>170</v>
      </c>
      <c r="X292" t="s">
        <v>2253</v>
      </c>
      <c r="Y292" t="s">
        <v>153</v>
      </c>
      <c r="Z292" s="53" t="s">
        <v>2254</v>
      </c>
      <c r="AA292"/>
      <c r="AB292"/>
      <c r="AC292"/>
      <c r="AD292"/>
      <c r="AE292">
        <v>1</v>
      </c>
      <c r="AF292"/>
      <c r="AM292" s="7">
        <v>1</v>
      </c>
      <c r="AV292" s="9">
        <v>1</v>
      </c>
      <c r="BD292" s="3">
        <v>1</v>
      </c>
      <c r="BG292" t="str">
        <f t="shared" si="4"/>
        <v>Interazionale &amp; Metatestuale</v>
      </c>
      <c r="BH292" s="3" t="str" cm="1">
        <f t="array" ref="BH292">IF(AE292=1, _xlfn.TEXTJOIN(" &amp; ", TRUE, _xlfn._xlws.FILTER($AG$2:$BC$2, AG292:BC292=1)), "")</f>
        <v>Marcatura della conoscenza condivisa &amp; Filler, riempimento dei tempi di formulazione</v>
      </c>
    </row>
    <row r="293" spans="1:60" x14ac:dyDescent="0.3">
      <c r="A293" t="s">
        <v>492</v>
      </c>
      <c r="B293" t="s">
        <v>2255</v>
      </c>
      <c r="C293" t="s">
        <v>493</v>
      </c>
      <c r="D293">
        <v>2023</v>
      </c>
      <c r="E293" s="52" t="s">
        <v>2256</v>
      </c>
      <c r="F293">
        <v>1317848</v>
      </c>
      <c r="G293">
        <v>1321967</v>
      </c>
      <c r="H293" t="s">
        <v>494</v>
      </c>
      <c r="I293" t="s">
        <v>492</v>
      </c>
      <c r="J293" s="51">
        <v>3.8796296296296294E-2</v>
      </c>
      <c r="K293" t="s">
        <v>160</v>
      </c>
      <c r="L293" t="s">
        <v>495</v>
      </c>
      <c r="M293" t="s">
        <v>496</v>
      </c>
      <c r="N293" t="s">
        <v>143</v>
      </c>
      <c r="O293" t="s">
        <v>164</v>
      </c>
      <c r="P293" t="s">
        <v>165</v>
      </c>
      <c r="Q293" t="s">
        <v>166</v>
      </c>
      <c r="R293" t="s">
        <v>167</v>
      </c>
      <c r="S293" t="s">
        <v>168</v>
      </c>
      <c r="T293" t="s">
        <v>169</v>
      </c>
      <c r="U293" t="s">
        <v>171</v>
      </c>
      <c r="V293">
        <v>3</v>
      </c>
      <c r="W293" t="s">
        <v>170</v>
      </c>
      <c r="X293" t="s">
        <v>2257</v>
      </c>
      <c r="Y293" t="s">
        <v>153</v>
      </c>
      <c r="Z293" s="53" t="s">
        <v>2258</v>
      </c>
      <c r="AA293">
        <v>1</v>
      </c>
      <c r="AB293">
        <v>1</v>
      </c>
      <c r="AC293"/>
      <c r="AD293"/>
      <c r="AE293"/>
      <c r="AF293"/>
      <c r="BG293" t="str">
        <f t="shared" si="4"/>
        <v/>
      </c>
      <c r="BH293" s="3" t="str" cm="1">
        <f t="array" ref="BH293">IF(AE293=1, _xlfn.TEXTJOIN(" &amp; ", TRUE, _xlfn._xlws.FILTER($AG$2:$BC$2, AG293:BC293=1)), "")</f>
        <v/>
      </c>
    </row>
    <row r="294" spans="1:60" x14ac:dyDescent="0.3">
      <c r="A294" t="s">
        <v>492</v>
      </c>
      <c r="B294" t="s">
        <v>2259</v>
      </c>
      <c r="C294" t="s">
        <v>493</v>
      </c>
      <c r="D294">
        <v>2023</v>
      </c>
      <c r="E294" s="52" t="s">
        <v>2260</v>
      </c>
      <c r="F294">
        <v>1527616</v>
      </c>
      <c r="G294">
        <v>1530977</v>
      </c>
      <c r="H294" t="s">
        <v>494</v>
      </c>
      <c r="I294" t="s">
        <v>492</v>
      </c>
      <c r="J294" s="51">
        <v>3.8796296296296294E-2</v>
      </c>
      <c r="K294" t="s">
        <v>160</v>
      </c>
      <c r="L294" t="s">
        <v>495</v>
      </c>
      <c r="M294" t="s">
        <v>496</v>
      </c>
      <c r="N294" t="s">
        <v>143</v>
      </c>
      <c r="O294" t="s">
        <v>164</v>
      </c>
      <c r="P294" t="s">
        <v>165</v>
      </c>
      <c r="Q294" t="s">
        <v>166</v>
      </c>
      <c r="R294" t="s">
        <v>167</v>
      </c>
      <c r="S294" t="s">
        <v>168</v>
      </c>
      <c r="T294" t="s">
        <v>169</v>
      </c>
      <c r="U294" t="s">
        <v>171</v>
      </c>
      <c r="V294">
        <v>3</v>
      </c>
      <c r="W294" t="s">
        <v>170</v>
      </c>
      <c r="X294" t="s">
        <v>2261</v>
      </c>
      <c r="Y294" t="s">
        <v>153</v>
      </c>
      <c r="Z294" s="53" t="s">
        <v>2262</v>
      </c>
      <c r="AA294">
        <v>1</v>
      </c>
      <c r="AB294"/>
      <c r="AC294"/>
      <c r="AD294">
        <v>1</v>
      </c>
      <c r="AE294"/>
      <c r="AF294"/>
      <c r="BG294" t="str">
        <f t="shared" si="4"/>
        <v/>
      </c>
      <c r="BH294" s="3" t="str" cm="1">
        <f t="array" ref="BH294">IF(AE294=1, _xlfn.TEXTJOIN(" &amp; ", TRUE, _xlfn._xlws.FILTER($AG$2:$BC$2, AG294:BC294=1)), "")</f>
        <v/>
      </c>
    </row>
    <row r="295" spans="1:60" x14ac:dyDescent="0.3">
      <c r="A295" t="s">
        <v>492</v>
      </c>
      <c r="B295" t="s">
        <v>2263</v>
      </c>
      <c r="C295" t="s">
        <v>493</v>
      </c>
      <c r="D295">
        <v>2023</v>
      </c>
      <c r="E295" s="52" t="s">
        <v>2264</v>
      </c>
      <c r="F295">
        <v>1650191</v>
      </c>
      <c r="G295">
        <v>1653475</v>
      </c>
      <c r="H295" t="s">
        <v>186</v>
      </c>
      <c r="I295" t="s">
        <v>492</v>
      </c>
      <c r="J295" s="51">
        <v>3.8796296296296294E-2</v>
      </c>
      <c r="K295" t="s">
        <v>160</v>
      </c>
      <c r="L295" t="s">
        <v>495</v>
      </c>
      <c r="M295" t="s">
        <v>496</v>
      </c>
      <c r="N295" t="s">
        <v>143</v>
      </c>
      <c r="O295" t="s">
        <v>144</v>
      </c>
      <c r="P295" t="s">
        <v>165</v>
      </c>
      <c r="Q295" t="s">
        <v>146</v>
      </c>
      <c r="R295" t="s">
        <v>167</v>
      </c>
      <c r="S295" t="s">
        <v>168</v>
      </c>
      <c r="T295" t="s">
        <v>189</v>
      </c>
      <c r="U295" t="s">
        <v>151</v>
      </c>
      <c r="V295">
        <v>3</v>
      </c>
      <c r="W295" t="s">
        <v>170</v>
      </c>
      <c r="X295" t="s">
        <v>2265</v>
      </c>
      <c r="Y295" t="s">
        <v>153</v>
      </c>
      <c r="Z295" s="53" t="s">
        <v>2266</v>
      </c>
      <c r="AA295">
        <v>1</v>
      </c>
      <c r="AB295">
        <v>1</v>
      </c>
      <c r="AC295"/>
      <c r="AD295"/>
      <c r="AE295"/>
      <c r="AF295"/>
      <c r="BG295" t="str">
        <f t="shared" si="4"/>
        <v/>
      </c>
      <c r="BH295" s="3" t="str" cm="1">
        <f t="array" ref="BH295">IF(AE295=1, _xlfn.TEXTJOIN(" &amp; ", TRUE, _xlfn._xlws.FILTER($AG$2:$BC$2, AG295:BC295=1)), "")</f>
        <v/>
      </c>
    </row>
    <row r="296" spans="1:60" x14ac:dyDescent="0.3">
      <c r="A296" t="s">
        <v>492</v>
      </c>
      <c r="B296" t="s">
        <v>2267</v>
      </c>
      <c r="C296" t="s">
        <v>493</v>
      </c>
      <c r="D296">
        <v>2023</v>
      </c>
      <c r="E296" s="52" t="s">
        <v>2268</v>
      </c>
      <c r="F296">
        <v>2154723</v>
      </c>
      <c r="G296">
        <v>2156194</v>
      </c>
      <c r="H296" t="s">
        <v>186</v>
      </c>
      <c r="I296" t="s">
        <v>492</v>
      </c>
      <c r="J296" s="51">
        <v>3.8796296296296294E-2</v>
      </c>
      <c r="K296" t="s">
        <v>160</v>
      </c>
      <c r="L296" t="s">
        <v>495</v>
      </c>
      <c r="M296" t="s">
        <v>496</v>
      </c>
      <c r="N296" t="s">
        <v>143</v>
      </c>
      <c r="O296" t="s">
        <v>144</v>
      </c>
      <c r="P296" t="s">
        <v>165</v>
      </c>
      <c r="Q296" t="s">
        <v>146</v>
      </c>
      <c r="R296" t="s">
        <v>167</v>
      </c>
      <c r="S296" t="s">
        <v>168</v>
      </c>
      <c r="T296" t="s">
        <v>189</v>
      </c>
      <c r="U296" t="s">
        <v>151</v>
      </c>
      <c r="V296">
        <v>3</v>
      </c>
      <c r="W296" t="s">
        <v>170</v>
      </c>
      <c r="X296" t="s">
        <v>2269</v>
      </c>
      <c r="Y296" t="s">
        <v>153</v>
      </c>
      <c r="Z296" s="53" t="s">
        <v>2270</v>
      </c>
      <c r="AA296">
        <v>1</v>
      </c>
      <c r="AB296"/>
      <c r="AC296"/>
      <c r="AD296">
        <v>1</v>
      </c>
      <c r="AE296"/>
      <c r="AF296"/>
      <c r="BG296" t="str">
        <f t="shared" si="4"/>
        <v/>
      </c>
      <c r="BH296" s="3" t="str" cm="1">
        <f t="array" ref="BH296">IF(AE296=1, _xlfn.TEXTJOIN(" &amp; ", TRUE, _xlfn._xlws.FILTER($AG$2:$BC$2, AG296:BC296=1)), "")</f>
        <v/>
      </c>
    </row>
    <row r="297" spans="1:60" x14ac:dyDescent="0.3">
      <c r="A297" t="s">
        <v>492</v>
      </c>
      <c r="B297" t="s">
        <v>2271</v>
      </c>
      <c r="C297" t="s">
        <v>493</v>
      </c>
      <c r="D297">
        <v>2023</v>
      </c>
      <c r="E297" s="52" t="s">
        <v>2272</v>
      </c>
      <c r="F297">
        <v>2625070</v>
      </c>
      <c r="G297">
        <v>2628666</v>
      </c>
      <c r="H297" t="s">
        <v>494</v>
      </c>
      <c r="I297" t="s">
        <v>492</v>
      </c>
      <c r="J297" s="51">
        <v>3.8796296296296294E-2</v>
      </c>
      <c r="K297" t="s">
        <v>160</v>
      </c>
      <c r="L297" t="s">
        <v>495</v>
      </c>
      <c r="M297" t="s">
        <v>496</v>
      </c>
      <c r="N297" t="s">
        <v>143</v>
      </c>
      <c r="O297" t="s">
        <v>164</v>
      </c>
      <c r="P297" t="s">
        <v>165</v>
      </c>
      <c r="Q297" t="s">
        <v>166</v>
      </c>
      <c r="R297" t="s">
        <v>167</v>
      </c>
      <c r="S297" t="s">
        <v>168</v>
      </c>
      <c r="T297" t="s">
        <v>169</v>
      </c>
      <c r="U297" t="s">
        <v>171</v>
      </c>
      <c r="V297">
        <v>3</v>
      </c>
      <c r="W297" t="s">
        <v>170</v>
      </c>
      <c r="X297" t="s">
        <v>2273</v>
      </c>
      <c r="Y297" t="s">
        <v>153</v>
      </c>
      <c r="Z297" s="53" t="s">
        <v>2274</v>
      </c>
      <c r="AA297">
        <v>1</v>
      </c>
      <c r="AB297">
        <v>1</v>
      </c>
      <c r="AC297"/>
      <c r="AD297"/>
      <c r="AE297"/>
      <c r="AF297"/>
      <c r="BG297" t="str">
        <f t="shared" si="4"/>
        <v/>
      </c>
      <c r="BH297" s="3" t="str" cm="1">
        <f t="array" ref="BH297">IF(AE297=1, _xlfn.TEXTJOIN(" &amp; ", TRUE, _xlfn._xlws.FILTER($AG$2:$BC$2, AG297:BC297=1)), "")</f>
        <v/>
      </c>
    </row>
    <row r="298" spans="1:60" x14ac:dyDescent="0.3">
      <c r="A298" t="s">
        <v>492</v>
      </c>
      <c r="B298" t="s">
        <v>2275</v>
      </c>
      <c r="C298" t="s">
        <v>493</v>
      </c>
      <c r="D298">
        <v>2023</v>
      </c>
      <c r="E298" s="52" t="s">
        <v>2276</v>
      </c>
      <c r="F298">
        <v>3104102</v>
      </c>
      <c r="G298">
        <v>3104692</v>
      </c>
      <c r="H298" t="s">
        <v>494</v>
      </c>
      <c r="I298" t="s">
        <v>492</v>
      </c>
      <c r="J298" s="51">
        <v>3.8796296296296294E-2</v>
      </c>
      <c r="K298" t="s">
        <v>160</v>
      </c>
      <c r="L298" t="s">
        <v>495</v>
      </c>
      <c r="M298" t="s">
        <v>496</v>
      </c>
      <c r="N298" t="s">
        <v>143</v>
      </c>
      <c r="O298" t="s">
        <v>164</v>
      </c>
      <c r="P298" t="s">
        <v>165</v>
      </c>
      <c r="Q298" t="s">
        <v>166</v>
      </c>
      <c r="R298" t="s">
        <v>167</v>
      </c>
      <c r="S298" t="s">
        <v>168</v>
      </c>
      <c r="T298" t="s">
        <v>169</v>
      </c>
      <c r="U298" t="s">
        <v>171</v>
      </c>
      <c r="V298">
        <v>3</v>
      </c>
      <c r="W298" t="s">
        <v>170</v>
      </c>
      <c r="X298" t="s">
        <v>2277</v>
      </c>
      <c r="Y298" t="s">
        <v>153</v>
      </c>
      <c r="Z298" s="53" t="s">
        <v>2278</v>
      </c>
      <c r="AA298"/>
      <c r="AB298"/>
      <c r="AC298"/>
      <c r="AD298"/>
      <c r="AE298">
        <v>1</v>
      </c>
      <c r="AF298">
        <v>1</v>
      </c>
      <c r="AV298" s="9">
        <v>1</v>
      </c>
      <c r="AX298" s="23">
        <v>1</v>
      </c>
      <c r="BD298" s="3">
        <v>1</v>
      </c>
      <c r="BG298" t="str">
        <f t="shared" si="4"/>
        <v>Metatestuale &amp; Cognitiva</v>
      </c>
      <c r="BH298" s="3" t="str" cm="1">
        <f t="array" ref="BH298">IF(AE298=1, _xlfn.TEXTJOIN(" &amp; ", TRUE, _xlfn._xlws.FILTER($AG$2:$BC$2, AG298:BC298=1)), "")</f>
        <v>Filler, riempimento dei tempi di formulazione &amp; Marcatura dell'inferenza</v>
      </c>
    </row>
    <row r="299" spans="1:60" x14ac:dyDescent="0.3">
      <c r="A299" t="s">
        <v>492</v>
      </c>
      <c r="B299" t="s">
        <v>2279</v>
      </c>
      <c r="C299" t="s">
        <v>493</v>
      </c>
      <c r="D299">
        <v>2023</v>
      </c>
      <c r="E299" s="52" t="s">
        <v>2280</v>
      </c>
      <c r="F299">
        <v>3108230</v>
      </c>
      <c r="G299">
        <v>3112354</v>
      </c>
      <c r="H299" t="s">
        <v>494</v>
      </c>
      <c r="I299" t="s">
        <v>492</v>
      </c>
      <c r="J299" s="51">
        <v>3.8796296296296294E-2</v>
      </c>
      <c r="K299" t="s">
        <v>160</v>
      </c>
      <c r="L299" t="s">
        <v>495</v>
      </c>
      <c r="M299" t="s">
        <v>496</v>
      </c>
      <c r="N299" t="s">
        <v>143</v>
      </c>
      <c r="O299" t="s">
        <v>164</v>
      </c>
      <c r="P299" t="s">
        <v>165</v>
      </c>
      <c r="Q299" t="s">
        <v>166</v>
      </c>
      <c r="R299" t="s">
        <v>167</v>
      </c>
      <c r="S299" t="s">
        <v>168</v>
      </c>
      <c r="T299" t="s">
        <v>169</v>
      </c>
      <c r="U299" t="s">
        <v>171</v>
      </c>
      <c r="V299">
        <v>3</v>
      </c>
      <c r="W299" t="s">
        <v>170</v>
      </c>
      <c r="X299" t="s">
        <v>2281</v>
      </c>
      <c r="Y299" t="s">
        <v>153</v>
      </c>
      <c r="Z299" s="53" t="s">
        <v>2282</v>
      </c>
      <c r="AA299"/>
      <c r="AB299"/>
      <c r="AC299"/>
      <c r="AD299"/>
      <c r="AE299">
        <v>1</v>
      </c>
      <c r="AF299">
        <v>1</v>
      </c>
      <c r="AP299" s="9">
        <v>1</v>
      </c>
      <c r="BG299" t="str">
        <f t="shared" si="4"/>
        <v>Metatestuale</v>
      </c>
      <c r="BH299" s="3" t="str" cm="1">
        <f t="array" ref="BH299">IF(AE299=1, _xlfn.TEXTJOIN(" &amp; ", TRUE, _xlfn._xlws.FILTER($AG$2:$BC$2, AG299:BC299=1)), "")</f>
        <v>Gestione del topic: introduzione o ripresa di topic</v>
      </c>
    </row>
    <row r="300" spans="1:60" x14ac:dyDescent="0.3">
      <c r="A300" t="s">
        <v>2283</v>
      </c>
      <c r="B300" t="s">
        <v>2288</v>
      </c>
      <c r="C300" t="s">
        <v>2284</v>
      </c>
      <c r="D300">
        <v>2020</v>
      </c>
      <c r="E300" t="s">
        <v>2289</v>
      </c>
      <c r="F300">
        <v>1530828</v>
      </c>
      <c r="G300">
        <v>1534073</v>
      </c>
      <c r="H300" t="s">
        <v>2285</v>
      </c>
      <c r="I300" t="s">
        <v>2283</v>
      </c>
      <c r="J300" s="51">
        <v>2.3657407407407408E-2</v>
      </c>
      <c r="K300" t="s">
        <v>140</v>
      </c>
      <c r="L300" t="s">
        <v>2286</v>
      </c>
      <c r="M300" t="s">
        <v>2287</v>
      </c>
      <c r="N300" t="s">
        <v>324</v>
      </c>
      <c r="O300" t="s">
        <v>144</v>
      </c>
      <c r="P300" t="s">
        <v>287</v>
      </c>
      <c r="Q300" t="s">
        <v>179</v>
      </c>
      <c r="R300" t="s">
        <v>147</v>
      </c>
      <c r="S300" t="s">
        <v>148</v>
      </c>
      <c r="T300" t="s">
        <v>288</v>
      </c>
      <c r="U300" t="s">
        <v>171</v>
      </c>
      <c r="V300">
        <v>3</v>
      </c>
      <c r="W300" t="s">
        <v>269</v>
      </c>
      <c r="X300" t="s">
        <v>2290</v>
      </c>
      <c r="Y300" t="s">
        <v>153</v>
      </c>
      <c r="Z300" s="53" t="s">
        <v>2291</v>
      </c>
      <c r="AA300">
        <v>1</v>
      </c>
      <c r="AB300"/>
      <c r="AC300">
        <v>1</v>
      </c>
      <c r="AD300"/>
      <c r="AE300"/>
      <c r="AF300"/>
      <c r="BG300" t="str">
        <f t="shared" si="4"/>
        <v/>
      </c>
      <c r="BH300" s="3" t="str" cm="1">
        <f t="array" ref="BH300">IF(AE300=1, _xlfn.TEXTJOIN(" &amp; ", TRUE, _xlfn._xlws.FILTER($AG$2:$BC$2, AG300:BC300=1)), "")</f>
        <v/>
      </c>
    </row>
    <row r="301" spans="1:60" x14ac:dyDescent="0.3">
      <c r="A301" t="s">
        <v>2292</v>
      </c>
      <c r="B301" t="s">
        <v>2293</v>
      </c>
      <c r="C301" t="s">
        <v>2294</v>
      </c>
      <c r="D301">
        <v>2023</v>
      </c>
      <c r="E301" s="52" t="s">
        <v>2295</v>
      </c>
      <c r="F301">
        <v>433068</v>
      </c>
      <c r="G301">
        <v>434719</v>
      </c>
      <c r="H301" t="s">
        <v>2198</v>
      </c>
      <c r="I301" t="s">
        <v>2292</v>
      </c>
      <c r="J301" s="51">
        <v>3.1608796296296295E-2</v>
      </c>
      <c r="K301" t="s">
        <v>160</v>
      </c>
      <c r="L301" t="s">
        <v>2296</v>
      </c>
      <c r="M301" t="s">
        <v>2297</v>
      </c>
      <c r="N301" t="s">
        <v>143</v>
      </c>
      <c r="O301" t="s">
        <v>144</v>
      </c>
      <c r="P301" t="s">
        <v>165</v>
      </c>
      <c r="Q301" t="s">
        <v>146</v>
      </c>
      <c r="R301" t="s">
        <v>167</v>
      </c>
      <c r="S301" t="s">
        <v>168</v>
      </c>
      <c r="T301" t="s">
        <v>169</v>
      </c>
      <c r="U301" t="s">
        <v>151</v>
      </c>
      <c r="V301">
        <v>2</v>
      </c>
      <c r="W301" t="s">
        <v>170</v>
      </c>
      <c r="X301" t="s">
        <v>2298</v>
      </c>
      <c r="Y301" t="s">
        <v>153</v>
      </c>
      <c r="Z301" s="53" t="s">
        <v>2299</v>
      </c>
      <c r="AA301">
        <v>1</v>
      </c>
      <c r="AB301"/>
      <c r="AC301"/>
      <c r="AD301">
        <v>1</v>
      </c>
      <c r="AE301"/>
      <c r="AF301"/>
      <c r="BG301" t="str">
        <f t="shared" si="4"/>
        <v/>
      </c>
      <c r="BH301" s="3" t="str" cm="1">
        <f t="array" ref="BH301">IF(AE301=1, _xlfn.TEXTJOIN(" &amp; ", TRUE, _xlfn._xlws.FILTER($AG$2:$BC$2, AG301:BC301=1)), "")</f>
        <v/>
      </c>
    </row>
    <row r="302" spans="1:60" x14ac:dyDescent="0.3">
      <c r="A302" t="s">
        <v>2292</v>
      </c>
      <c r="B302" t="s">
        <v>2300</v>
      </c>
      <c r="C302" t="s">
        <v>2294</v>
      </c>
      <c r="D302">
        <v>2023</v>
      </c>
      <c r="E302" s="52" t="s">
        <v>2301</v>
      </c>
      <c r="F302">
        <v>1135912</v>
      </c>
      <c r="G302">
        <v>1140197</v>
      </c>
      <c r="H302" t="s">
        <v>2302</v>
      </c>
      <c r="I302" t="s">
        <v>2292</v>
      </c>
      <c r="J302" s="51">
        <v>3.1608796296296295E-2</v>
      </c>
      <c r="K302" t="s">
        <v>160</v>
      </c>
      <c r="L302" t="s">
        <v>2296</v>
      </c>
      <c r="M302" t="s">
        <v>2297</v>
      </c>
      <c r="N302" t="s">
        <v>143</v>
      </c>
      <c r="O302" t="s">
        <v>144</v>
      </c>
      <c r="P302" t="s">
        <v>165</v>
      </c>
      <c r="Q302" t="s">
        <v>146</v>
      </c>
      <c r="R302" t="s">
        <v>167</v>
      </c>
      <c r="S302" t="s">
        <v>168</v>
      </c>
      <c r="T302" t="s">
        <v>169</v>
      </c>
      <c r="U302" t="s">
        <v>151</v>
      </c>
      <c r="V302">
        <v>2</v>
      </c>
      <c r="W302" t="s">
        <v>170</v>
      </c>
      <c r="X302" t="s">
        <v>2303</v>
      </c>
      <c r="Y302" t="s">
        <v>153</v>
      </c>
      <c r="Z302" s="53" t="s">
        <v>2304</v>
      </c>
      <c r="AA302">
        <v>1</v>
      </c>
      <c r="AB302"/>
      <c r="AC302">
        <v>1</v>
      </c>
      <c r="AD302"/>
      <c r="AE302"/>
      <c r="AF302"/>
      <c r="BG302" t="str">
        <f t="shared" si="4"/>
        <v/>
      </c>
      <c r="BH302" s="3" t="str" cm="1">
        <f t="array" ref="BH302">IF(AE302=1, _xlfn.TEXTJOIN(" &amp; ", TRUE, _xlfn._xlws.FILTER($AG$2:$BC$2, AG302:BC302=1)), "")</f>
        <v/>
      </c>
    </row>
    <row r="303" spans="1:60" x14ac:dyDescent="0.3">
      <c r="A303" t="s">
        <v>2292</v>
      </c>
      <c r="B303" t="s">
        <v>2305</v>
      </c>
      <c r="C303" t="s">
        <v>2294</v>
      </c>
      <c r="D303">
        <v>2023</v>
      </c>
      <c r="E303" s="52" t="s">
        <v>2306</v>
      </c>
      <c r="F303">
        <v>1625710</v>
      </c>
      <c r="G303">
        <v>1628303</v>
      </c>
      <c r="H303" t="s">
        <v>2302</v>
      </c>
      <c r="I303" t="s">
        <v>2292</v>
      </c>
      <c r="J303" s="51">
        <v>3.1608796296296295E-2</v>
      </c>
      <c r="K303" t="s">
        <v>160</v>
      </c>
      <c r="L303" t="s">
        <v>2296</v>
      </c>
      <c r="M303" t="s">
        <v>2297</v>
      </c>
      <c r="N303" t="s">
        <v>143</v>
      </c>
      <c r="O303" t="s">
        <v>144</v>
      </c>
      <c r="P303" t="s">
        <v>165</v>
      </c>
      <c r="Q303" t="s">
        <v>146</v>
      </c>
      <c r="R303" t="s">
        <v>167</v>
      </c>
      <c r="S303" t="s">
        <v>168</v>
      </c>
      <c r="T303" t="s">
        <v>169</v>
      </c>
      <c r="U303" t="s">
        <v>151</v>
      </c>
      <c r="V303">
        <v>2</v>
      </c>
      <c r="W303" t="s">
        <v>170</v>
      </c>
      <c r="X303" t="s">
        <v>2307</v>
      </c>
      <c r="Y303" t="s">
        <v>153</v>
      </c>
      <c r="Z303" s="53" t="s">
        <v>2308</v>
      </c>
      <c r="AA303">
        <v>1</v>
      </c>
      <c r="AB303"/>
      <c r="AC303">
        <v>1</v>
      </c>
      <c r="AD303"/>
      <c r="AE303"/>
      <c r="AF303"/>
      <c r="BG303" t="str">
        <f t="shared" si="4"/>
        <v/>
      </c>
      <c r="BH303" s="3" t="str" cm="1">
        <f t="array" ref="BH303">IF(AE303=1, _xlfn.TEXTJOIN(" &amp; ", TRUE, _xlfn._xlws.FILTER($AG$2:$BC$2, AG303:BC303=1)), "")</f>
        <v/>
      </c>
    </row>
    <row r="304" spans="1:60" x14ac:dyDescent="0.3">
      <c r="A304" t="s">
        <v>497</v>
      </c>
      <c r="B304" t="s">
        <v>2309</v>
      </c>
      <c r="C304" t="s">
        <v>499</v>
      </c>
      <c r="D304" t="s">
        <v>204</v>
      </c>
      <c r="E304" s="52" t="s">
        <v>2310</v>
      </c>
      <c r="F304">
        <v>75054</v>
      </c>
      <c r="G304">
        <v>76052</v>
      </c>
      <c r="H304" t="s">
        <v>512</v>
      </c>
      <c r="I304" t="s">
        <v>497</v>
      </c>
      <c r="J304" s="51">
        <v>5.2534722222222219E-2</v>
      </c>
      <c r="K304" t="s">
        <v>140</v>
      </c>
      <c r="L304" t="s">
        <v>502</v>
      </c>
      <c r="M304" t="s">
        <v>503</v>
      </c>
      <c r="N304" t="s">
        <v>143</v>
      </c>
      <c r="O304" t="s">
        <v>144</v>
      </c>
      <c r="P304" t="s">
        <v>165</v>
      </c>
      <c r="Q304" t="s">
        <v>146</v>
      </c>
      <c r="R304" t="s">
        <v>147</v>
      </c>
      <c r="S304" t="s">
        <v>148</v>
      </c>
      <c r="T304" t="s">
        <v>288</v>
      </c>
      <c r="U304" t="s">
        <v>151</v>
      </c>
      <c r="V304">
        <v>4</v>
      </c>
      <c r="W304" t="s">
        <v>150</v>
      </c>
      <c r="X304" t="s">
        <v>2311</v>
      </c>
      <c r="Y304" t="s">
        <v>153</v>
      </c>
      <c r="Z304" s="53" t="s">
        <v>2312</v>
      </c>
      <c r="AA304"/>
      <c r="AB304"/>
      <c r="AC304"/>
      <c r="AD304"/>
      <c r="AE304">
        <v>1</v>
      </c>
      <c r="AF304">
        <v>1</v>
      </c>
      <c r="AV304" s="9">
        <v>1</v>
      </c>
      <c r="BG304" t="str">
        <f t="shared" si="4"/>
        <v>Metatestuale</v>
      </c>
      <c r="BH304" s="3" t="str" cm="1">
        <f t="array" ref="BH304">IF(AE304=1, _xlfn.TEXTJOIN(" &amp; ", TRUE, _xlfn._xlws.FILTER($AG$2:$BC$2, AG304:BC304=1)), "")</f>
        <v>Filler, riempimento dei tempi di formulazione</v>
      </c>
    </row>
    <row r="305" spans="1:60" x14ac:dyDescent="0.3">
      <c r="A305" t="s">
        <v>497</v>
      </c>
      <c r="B305" t="s">
        <v>2313</v>
      </c>
      <c r="C305" t="s">
        <v>499</v>
      </c>
      <c r="D305" t="s">
        <v>204</v>
      </c>
      <c r="E305" s="52" t="s">
        <v>2314</v>
      </c>
      <c r="F305">
        <v>426242</v>
      </c>
      <c r="G305">
        <v>427305</v>
      </c>
      <c r="H305" t="s">
        <v>501</v>
      </c>
      <c r="I305" t="s">
        <v>497</v>
      </c>
      <c r="J305" s="51">
        <v>5.2534722222222219E-2</v>
      </c>
      <c r="K305" t="s">
        <v>140</v>
      </c>
      <c r="L305" t="s">
        <v>502</v>
      </c>
      <c r="M305" t="s">
        <v>503</v>
      </c>
      <c r="N305" t="s">
        <v>143</v>
      </c>
      <c r="O305" t="s">
        <v>144</v>
      </c>
      <c r="P305" t="s">
        <v>165</v>
      </c>
      <c r="Q305" t="s">
        <v>146</v>
      </c>
      <c r="R305" t="s">
        <v>147</v>
      </c>
      <c r="S305" t="s">
        <v>148</v>
      </c>
      <c r="T305" t="s">
        <v>504</v>
      </c>
      <c r="U305" t="s">
        <v>151</v>
      </c>
      <c r="V305">
        <v>4</v>
      </c>
      <c r="W305" t="s">
        <v>150</v>
      </c>
      <c r="X305" t="s">
        <v>2315</v>
      </c>
      <c r="Y305" t="s">
        <v>153</v>
      </c>
      <c r="Z305" s="53" t="s">
        <v>2316</v>
      </c>
      <c r="AA305">
        <v>1</v>
      </c>
      <c r="AB305"/>
      <c r="AC305">
        <v>1</v>
      </c>
      <c r="AD305"/>
      <c r="AE305"/>
      <c r="AF305"/>
      <c r="BG305" t="str">
        <f t="shared" si="4"/>
        <v/>
      </c>
      <c r="BH305" s="3" t="str" cm="1">
        <f t="array" ref="BH305">IF(AE305=1, _xlfn.TEXTJOIN(" &amp; ", TRUE, _xlfn._xlws.FILTER($AG$2:$BC$2, AG305:BC305=1)), "")</f>
        <v/>
      </c>
    </row>
    <row r="306" spans="1:60" x14ac:dyDescent="0.3">
      <c r="A306" t="s">
        <v>497</v>
      </c>
      <c r="B306" t="s">
        <v>2317</v>
      </c>
      <c r="C306" t="s">
        <v>499</v>
      </c>
      <c r="D306" t="s">
        <v>204</v>
      </c>
      <c r="E306" s="52" t="s">
        <v>2318</v>
      </c>
      <c r="F306">
        <v>1150863</v>
      </c>
      <c r="G306">
        <v>1151810</v>
      </c>
      <c r="H306" t="s">
        <v>501</v>
      </c>
      <c r="I306" t="s">
        <v>497</v>
      </c>
      <c r="J306" s="51">
        <v>5.2534722222222219E-2</v>
      </c>
      <c r="K306" t="s">
        <v>140</v>
      </c>
      <c r="L306" t="s">
        <v>502</v>
      </c>
      <c r="M306" t="s">
        <v>503</v>
      </c>
      <c r="N306" t="s">
        <v>143</v>
      </c>
      <c r="O306" t="s">
        <v>144</v>
      </c>
      <c r="P306" t="s">
        <v>165</v>
      </c>
      <c r="Q306" t="s">
        <v>146</v>
      </c>
      <c r="R306" t="s">
        <v>147</v>
      </c>
      <c r="S306" t="s">
        <v>148</v>
      </c>
      <c r="T306" t="s">
        <v>504</v>
      </c>
      <c r="U306" t="s">
        <v>151</v>
      </c>
      <c r="V306">
        <v>4</v>
      </c>
      <c r="W306" t="s">
        <v>150</v>
      </c>
      <c r="X306" t="s">
        <v>2319</v>
      </c>
      <c r="Y306" t="s">
        <v>153</v>
      </c>
      <c r="Z306" s="53" t="s">
        <v>2320</v>
      </c>
      <c r="AA306">
        <v>1</v>
      </c>
      <c r="AB306"/>
      <c r="AC306"/>
      <c r="AD306">
        <v>1</v>
      </c>
      <c r="AE306"/>
      <c r="AF306"/>
      <c r="BG306" t="str">
        <f t="shared" si="4"/>
        <v/>
      </c>
      <c r="BH306" s="3" t="str" cm="1">
        <f t="array" ref="BH306">IF(AE306=1, _xlfn.TEXTJOIN(" &amp; ", TRUE, _xlfn._xlws.FILTER($AG$2:$BC$2, AG306:BC306=1)), "")</f>
        <v/>
      </c>
    </row>
    <row r="307" spans="1:60" x14ac:dyDescent="0.3">
      <c r="A307" t="s">
        <v>497</v>
      </c>
      <c r="B307" t="s">
        <v>498</v>
      </c>
      <c r="C307" t="s">
        <v>499</v>
      </c>
      <c r="D307" t="s">
        <v>204</v>
      </c>
      <c r="E307" s="52" t="s">
        <v>500</v>
      </c>
      <c r="F307">
        <v>1610452</v>
      </c>
      <c r="G307">
        <v>1612268</v>
      </c>
      <c r="H307" t="s">
        <v>501</v>
      </c>
      <c r="I307" t="s">
        <v>497</v>
      </c>
      <c r="J307" s="51">
        <v>5.2534722222222219E-2</v>
      </c>
      <c r="K307" t="s">
        <v>140</v>
      </c>
      <c r="L307" t="s">
        <v>502</v>
      </c>
      <c r="M307" t="s">
        <v>503</v>
      </c>
      <c r="N307" t="s">
        <v>143</v>
      </c>
      <c r="O307" t="s">
        <v>144</v>
      </c>
      <c r="P307" t="s">
        <v>165</v>
      </c>
      <c r="Q307" t="s">
        <v>146</v>
      </c>
      <c r="R307" t="s">
        <v>147</v>
      </c>
      <c r="S307" t="s">
        <v>148</v>
      </c>
      <c r="T307" t="s">
        <v>504</v>
      </c>
      <c r="U307" t="s">
        <v>151</v>
      </c>
      <c r="V307">
        <v>4</v>
      </c>
      <c r="W307" t="s">
        <v>150</v>
      </c>
      <c r="X307" t="s">
        <v>505</v>
      </c>
      <c r="Y307" t="s">
        <v>153</v>
      </c>
      <c r="Z307" s="53" t="s">
        <v>506</v>
      </c>
      <c r="AA307">
        <v>1</v>
      </c>
      <c r="AB307"/>
      <c r="AC307">
        <v>1</v>
      </c>
      <c r="AD307"/>
      <c r="AE307"/>
      <c r="AF307"/>
      <c r="BG307" t="str">
        <f t="shared" si="4"/>
        <v/>
      </c>
      <c r="BH307" s="3" t="str" cm="1">
        <f t="array" ref="BH307">IF(AE307=1, _xlfn.TEXTJOIN(" &amp; ", TRUE, _xlfn._xlws.FILTER($AG$2:$BC$2, AG307:BC307=1)), "")</f>
        <v/>
      </c>
    </row>
    <row r="308" spans="1:60" x14ac:dyDescent="0.3">
      <c r="A308" t="s">
        <v>497</v>
      </c>
      <c r="B308" t="s">
        <v>2321</v>
      </c>
      <c r="C308" t="s">
        <v>499</v>
      </c>
      <c r="D308" t="s">
        <v>204</v>
      </c>
      <c r="E308" s="52" t="s">
        <v>2322</v>
      </c>
      <c r="F308">
        <v>1767899</v>
      </c>
      <c r="G308">
        <v>1768812</v>
      </c>
      <c r="H308" t="s">
        <v>512</v>
      </c>
      <c r="I308" t="s">
        <v>497</v>
      </c>
      <c r="J308" s="51">
        <v>5.2534722222222219E-2</v>
      </c>
      <c r="K308" t="s">
        <v>140</v>
      </c>
      <c r="L308" t="s">
        <v>502</v>
      </c>
      <c r="M308" t="s">
        <v>503</v>
      </c>
      <c r="N308" t="s">
        <v>143</v>
      </c>
      <c r="O308" t="s">
        <v>144</v>
      </c>
      <c r="P308" t="s">
        <v>165</v>
      </c>
      <c r="Q308" t="s">
        <v>146</v>
      </c>
      <c r="R308" t="s">
        <v>147</v>
      </c>
      <c r="S308" t="s">
        <v>148</v>
      </c>
      <c r="T308" t="s">
        <v>288</v>
      </c>
      <c r="U308" t="s">
        <v>151</v>
      </c>
      <c r="V308">
        <v>4</v>
      </c>
      <c r="W308" t="s">
        <v>150</v>
      </c>
      <c r="X308" t="s">
        <v>2323</v>
      </c>
      <c r="Y308" t="s">
        <v>153</v>
      </c>
      <c r="Z308" s="53" t="s">
        <v>2324</v>
      </c>
      <c r="AA308">
        <v>1</v>
      </c>
      <c r="AB308">
        <v>1</v>
      </c>
      <c r="AC308"/>
      <c r="AD308"/>
      <c r="AE308"/>
      <c r="AF308"/>
      <c r="BG308" t="str">
        <f t="shared" si="4"/>
        <v/>
      </c>
      <c r="BH308" s="3" t="str" cm="1">
        <f t="array" ref="BH308">IF(AE308=1, _xlfn.TEXTJOIN(" &amp; ", TRUE, _xlfn._xlws.FILTER($AG$2:$BC$2, AG308:BC308=1)), "")</f>
        <v/>
      </c>
    </row>
    <row r="309" spans="1:60" x14ac:dyDescent="0.3">
      <c r="A309" t="s">
        <v>497</v>
      </c>
      <c r="B309" t="s">
        <v>507</v>
      </c>
      <c r="C309" t="s">
        <v>499</v>
      </c>
      <c r="D309" t="s">
        <v>204</v>
      </c>
      <c r="E309" s="52" t="s">
        <v>508</v>
      </c>
      <c r="F309">
        <v>2859129</v>
      </c>
      <c r="G309">
        <v>2861987</v>
      </c>
      <c r="H309" t="s">
        <v>509</v>
      </c>
      <c r="I309" t="s">
        <v>497</v>
      </c>
      <c r="J309" s="51">
        <v>5.2534722222222219E-2</v>
      </c>
      <c r="K309" t="s">
        <v>140</v>
      </c>
      <c r="L309" t="s">
        <v>502</v>
      </c>
      <c r="M309" t="s">
        <v>503</v>
      </c>
      <c r="N309" t="s">
        <v>143</v>
      </c>
      <c r="O309" t="s">
        <v>144</v>
      </c>
      <c r="P309" t="s">
        <v>165</v>
      </c>
      <c r="Q309" t="s">
        <v>146</v>
      </c>
      <c r="R309" t="s">
        <v>147</v>
      </c>
      <c r="S309" t="s">
        <v>148</v>
      </c>
      <c r="T309" t="s">
        <v>149</v>
      </c>
      <c r="U309" t="s">
        <v>151</v>
      </c>
      <c r="V309">
        <v>4</v>
      </c>
      <c r="W309" t="s">
        <v>150</v>
      </c>
      <c r="X309" t="s">
        <v>510</v>
      </c>
      <c r="Y309" t="s">
        <v>153</v>
      </c>
      <c r="Z309" s="53" t="s">
        <v>511</v>
      </c>
      <c r="AA309">
        <v>1</v>
      </c>
      <c r="AB309"/>
      <c r="AC309">
        <v>1</v>
      </c>
      <c r="AD309"/>
      <c r="AE309"/>
      <c r="AF309"/>
      <c r="BG309" t="str">
        <f t="shared" si="4"/>
        <v/>
      </c>
      <c r="BH309" s="3" t="str" cm="1">
        <f t="array" ref="BH309">IF(AE309=1, _xlfn.TEXTJOIN(" &amp; ", TRUE, _xlfn._xlws.FILTER($AG$2:$BC$2, AG309:BC309=1)), "")</f>
        <v/>
      </c>
    </row>
    <row r="310" spans="1:60" x14ac:dyDescent="0.3">
      <c r="A310" t="s">
        <v>497</v>
      </c>
      <c r="B310" t="s">
        <v>2325</v>
      </c>
      <c r="C310" t="s">
        <v>499</v>
      </c>
      <c r="D310" t="s">
        <v>204</v>
      </c>
      <c r="E310" s="52" t="s">
        <v>2326</v>
      </c>
      <c r="F310">
        <v>3385515</v>
      </c>
      <c r="G310">
        <v>3388326</v>
      </c>
      <c r="H310" t="s">
        <v>501</v>
      </c>
      <c r="I310" t="s">
        <v>497</v>
      </c>
      <c r="J310" s="51">
        <v>5.2534722222222219E-2</v>
      </c>
      <c r="K310" t="s">
        <v>140</v>
      </c>
      <c r="L310" t="s">
        <v>502</v>
      </c>
      <c r="M310" t="s">
        <v>503</v>
      </c>
      <c r="N310" t="s">
        <v>143</v>
      </c>
      <c r="O310" t="s">
        <v>144</v>
      </c>
      <c r="P310" t="s">
        <v>165</v>
      </c>
      <c r="Q310" t="s">
        <v>146</v>
      </c>
      <c r="R310" t="s">
        <v>147</v>
      </c>
      <c r="S310" t="s">
        <v>148</v>
      </c>
      <c r="T310" t="s">
        <v>504</v>
      </c>
      <c r="U310" t="s">
        <v>151</v>
      </c>
      <c r="V310">
        <v>4</v>
      </c>
      <c r="W310" t="s">
        <v>150</v>
      </c>
      <c r="X310" t="s">
        <v>2327</v>
      </c>
      <c r="Y310" t="s">
        <v>153</v>
      </c>
      <c r="Z310" s="53" t="s">
        <v>2328</v>
      </c>
      <c r="AA310">
        <v>1</v>
      </c>
      <c r="AB310">
        <v>1</v>
      </c>
      <c r="AC310"/>
      <c r="AD310"/>
      <c r="AE310"/>
      <c r="AF310"/>
      <c r="BG310" t="str">
        <f t="shared" si="4"/>
        <v/>
      </c>
      <c r="BH310" s="3" t="str" cm="1">
        <f t="array" ref="BH310">IF(AE310=1, _xlfn.TEXTJOIN(" &amp; ", TRUE, _xlfn._xlws.FILTER($AG$2:$BC$2, AG310:BC310=1)), "")</f>
        <v/>
      </c>
    </row>
    <row r="311" spans="1:60" x14ac:dyDescent="0.3">
      <c r="A311" t="s">
        <v>497</v>
      </c>
      <c r="B311" t="s">
        <v>2329</v>
      </c>
      <c r="C311" t="s">
        <v>499</v>
      </c>
      <c r="D311" t="s">
        <v>204</v>
      </c>
      <c r="E311" s="52" t="s">
        <v>2330</v>
      </c>
      <c r="F311">
        <v>3814579</v>
      </c>
      <c r="G311">
        <v>3821609</v>
      </c>
      <c r="H311" t="s">
        <v>512</v>
      </c>
      <c r="I311" t="s">
        <v>497</v>
      </c>
      <c r="J311" s="51">
        <v>5.2534722222222219E-2</v>
      </c>
      <c r="K311" t="s">
        <v>140</v>
      </c>
      <c r="L311" t="s">
        <v>502</v>
      </c>
      <c r="M311" t="s">
        <v>503</v>
      </c>
      <c r="N311" t="s">
        <v>143</v>
      </c>
      <c r="O311" t="s">
        <v>144</v>
      </c>
      <c r="P311" t="s">
        <v>165</v>
      </c>
      <c r="Q311" t="s">
        <v>146</v>
      </c>
      <c r="R311" t="s">
        <v>147</v>
      </c>
      <c r="S311" t="s">
        <v>148</v>
      </c>
      <c r="T311" t="s">
        <v>288</v>
      </c>
      <c r="U311" t="s">
        <v>151</v>
      </c>
      <c r="V311">
        <v>4</v>
      </c>
      <c r="W311" t="s">
        <v>150</v>
      </c>
      <c r="X311" t="s">
        <v>2331</v>
      </c>
      <c r="Y311" t="s">
        <v>153</v>
      </c>
      <c r="Z311" s="53" t="s">
        <v>2332</v>
      </c>
      <c r="AA311">
        <v>1</v>
      </c>
      <c r="AB311"/>
      <c r="AC311"/>
      <c r="AD311">
        <v>1</v>
      </c>
      <c r="AE311"/>
      <c r="AF311"/>
      <c r="BG311" t="str">
        <f t="shared" si="4"/>
        <v/>
      </c>
      <c r="BH311" s="3" t="str" cm="1">
        <f t="array" ref="BH311">IF(AE311=1, _xlfn.TEXTJOIN(" &amp; ", TRUE, _xlfn._xlws.FILTER($AG$2:$BC$2, AG311:BC311=1)), "")</f>
        <v/>
      </c>
    </row>
    <row r="312" spans="1:60" x14ac:dyDescent="0.3">
      <c r="A312" t="s">
        <v>513</v>
      </c>
      <c r="B312" t="s">
        <v>2333</v>
      </c>
      <c r="C312" t="s">
        <v>515</v>
      </c>
      <c r="D312">
        <v>2019</v>
      </c>
      <c r="E312" s="52" t="s">
        <v>2334</v>
      </c>
      <c r="F312">
        <v>133255</v>
      </c>
      <c r="G312">
        <v>136500</v>
      </c>
      <c r="H312" t="s">
        <v>517</v>
      </c>
      <c r="I312" t="s">
        <v>513</v>
      </c>
      <c r="J312" s="51">
        <v>6.1192129629629631E-2</v>
      </c>
      <c r="K312" t="s">
        <v>160</v>
      </c>
      <c r="L312" t="s">
        <v>518</v>
      </c>
      <c r="M312" t="s">
        <v>519</v>
      </c>
      <c r="N312" t="s">
        <v>143</v>
      </c>
      <c r="O312" t="s">
        <v>144</v>
      </c>
      <c r="P312" t="s">
        <v>145</v>
      </c>
      <c r="Q312" t="s">
        <v>146</v>
      </c>
      <c r="R312" t="s">
        <v>167</v>
      </c>
      <c r="S312" t="s">
        <v>168</v>
      </c>
      <c r="T312" t="s">
        <v>149</v>
      </c>
      <c r="U312" t="s">
        <v>151</v>
      </c>
      <c r="V312">
        <v>2</v>
      </c>
      <c r="W312" t="s">
        <v>170</v>
      </c>
      <c r="X312" t="s">
        <v>2335</v>
      </c>
      <c r="Y312" t="s">
        <v>153</v>
      </c>
      <c r="Z312" s="53" t="s">
        <v>2336</v>
      </c>
      <c r="AA312">
        <v>1</v>
      </c>
      <c r="AB312"/>
      <c r="AC312">
        <v>1</v>
      </c>
      <c r="AD312"/>
      <c r="AE312"/>
      <c r="AF312"/>
      <c r="BG312" t="str">
        <f t="shared" si="4"/>
        <v/>
      </c>
      <c r="BH312" s="3" t="str" cm="1">
        <f t="array" ref="BH312">IF(AE312=1, _xlfn.TEXTJOIN(" &amp; ", TRUE, _xlfn._xlws.FILTER($AG$2:$BC$2, AG312:BC312=1)), "")</f>
        <v/>
      </c>
    </row>
    <row r="313" spans="1:60" x14ac:dyDescent="0.3">
      <c r="A313" t="s">
        <v>513</v>
      </c>
      <c r="B313" t="s">
        <v>2337</v>
      </c>
      <c r="C313" t="s">
        <v>515</v>
      </c>
      <c r="D313">
        <v>2019</v>
      </c>
      <c r="E313" s="52" t="s">
        <v>2338</v>
      </c>
      <c r="F313">
        <v>1864371</v>
      </c>
      <c r="G313">
        <v>1865940</v>
      </c>
      <c r="H313" t="s">
        <v>2339</v>
      </c>
      <c r="I313" t="s">
        <v>513</v>
      </c>
      <c r="J313" s="51">
        <v>6.1192129629629631E-2</v>
      </c>
      <c r="K313" t="s">
        <v>160</v>
      </c>
      <c r="L313" t="s">
        <v>518</v>
      </c>
      <c r="M313" t="s">
        <v>519</v>
      </c>
      <c r="N313" t="s">
        <v>182</v>
      </c>
      <c r="O313" t="s">
        <v>144</v>
      </c>
      <c r="P313" t="s">
        <v>145</v>
      </c>
      <c r="Q313" t="s">
        <v>179</v>
      </c>
      <c r="R313" t="s">
        <v>167</v>
      </c>
      <c r="S313" t="s">
        <v>168</v>
      </c>
      <c r="T313" t="s">
        <v>364</v>
      </c>
      <c r="U313" t="s">
        <v>198</v>
      </c>
      <c r="V313">
        <v>2</v>
      </c>
      <c r="W313" t="s">
        <v>170</v>
      </c>
      <c r="X313" t="s">
        <v>2340</v>
      </c>
      <c r="Y313" t="s">
        <v>153</v>
      </c>
      <c r="Z313" s="53" t="s">
        <v>2341</v>
      </c>
      <c r="AA313">
        <v>1</v>
      </c>
      <c r="AB313">
        <v>1</v>
      </c>
      <c r="AC313"/>
      <c r="AD313"/>
      <c r="AE313"/>
      <c r="AF313"/>
      <c r="BG313" t="str">
        <f t="shared" si="4"/>
        <v/>
      </c>
      <c r="BH313" s="3" t="str" cm="1">
        <f t="array" ref="BH313">IF(AE313=1, _xlfn.TEXTJOIN(" &amp; ", TRUE, _xlfn._xlws.FILTER($AG$2:$BC$2, AG313:BC313=1)), "")</f>
        <v/>
      </c>
    </row>
    <row r="314" spans="1:60" x14ac:dyDescent="0.3">
      <c r="A314" t="s">
        <v>513</v>
      </c>
      <c r="B314" t="s">
        <v>514</v>
      </c>
      <c r="C314" t="s">
        <v>515</v>
      </c>
      <c r="D314">
        <v>2019</v>
      </c>
      <c r="E314" s="52" t="s">
        <v>516</v>
      </c>
      <c r="F314">
        <v>3396159</v>
      </c>
      <c r="G314">
        <v>3397459</v>
      </c>
      <c r="H314" t="s">
        <v>517</v>
      </c>
      <c r="I314" t="s">
        <v>513</v>
      </c>
      <c r="J314" s="51">
        <v>6.1192129629629631E-2</v>
      </c>
      <c r="K314" t="s">
        <v>160</v>
      </c>
      <c r="L314" t="s">
        <v>518</v>
      </c>
      <c r="M314" t="s">
        <v>519</v>
      </c>
      <c r="N314" t="s">
        <v>143</v>
      </c>
      <c r="O314" t="s">
        <v>144</v>
      </c>
      <c r="P314" t="s">
        <v>145</v>
      </c>
      <c r="Q314" t="s">
        <v>146</v>
      </c>
      <c r="R314" t="s">
        <v>167</v>
      </c>
      <c r="S314" t="s">
        <v>168</v>
      </c>
      <c r="T314" t="s">
        <v>149</v>
      </c>
      <c r="U314" t="s">
        <v>151</v>
      </c>
      <c r="V314">
        <v>2</v>
      </c>
      <c r="W314" t="s">
        <v>170</v>
      </c>
      <c r="X314" t="s">
        <v>520</v>
      </c>
      <c r="Y314" t="s">
        <v>153</v>
      </c>
      <c r="Z314" s="53" t="s">
        <v>521</v>
      </c>
      <c r="AA314"/>
      <c r="AB314"/>
      <c r="AC314"/>
      <c r="AD314"/>
      <c r="AE314">
        <v>1</v>
      </c>
      <c r="AF314"/>
      <c r="AM314" s="7">
        <v>1</v>
      </c>
      <c r="AU314" s="21">
        <v>1</v>
      </c>
      <c r="BD314" s="3">
        <v>1</v>
      </c>
      <c r="BG314" t="str">
        <f t="shared" si="4"/>
        <v>Interazionale &amp; Metatestuale</v>
      </c>
      <c r="BH314" s="3" t="str" cm="1">
        <f t="array" ref="BH314">IF(AE314=1, _xlfn.TEXTJOIN(" &amp; ", TRUE, _xlfn._xlws.FILTER($AG$2:$BC$2, AG314:BC314=1)), "")</f>
        <v>Marcatura della conoscenza condivisa &amp; Esemplificazione</v>
      </c>
    </row>
    <row r="315" spans="1:60" x14ac:dyDescent="0.3">
      <c r="A315" t="s">
        <v>2342</v>
      </c>
      <c r="B315" t="s">
        <v>2343</v>
      </c>
      <c r="C315" t="s">
        <v>2344</v>
      </c>
      <c r="D315">
        <v>2019</v>
      </c>
      <c r="E315" s="52" t="s">
        <v>2345</v>
      </c>
      <c r="F315">
        <v>2601940</v>
      </c>
      <c r="G315">
        <v>2602580</v>
      </c>
      <c r="H315" t="s">
        <v>2346</v>
      </c>
      <c r="I315" t="s">
        <v>2342</v>
      </c>
      <c r="J315" s="51">
        <v>5.4074074074074073E-2</v>
      </c>
      <c r="K315" t="s">
        <v>160</v>
      </c>
      <c r="L315" t="s">
        <v>2347</v>
      </c>
      <c r="M315" t="s">
        <v>2348</v>
      </c>
      <c r="N315" t="s">
        <v>178</v>
      </c>
      <c r="O315" t="s">
        <v>164</v>
      </c>
      <c r="P315" t="s">
        <v>145</v>
      </c>
      <c r="Q315" t="s">
        <v>179</v>
      </c>
      <c r="R315" t="s">
        <v>167</v>
      </c>
      <c r="S315" t="s">
        <v>168</v>
      </c>
      <c r="T315" t="s">
        <v>658</v>
      </c>
      <c r="U315" t="s">
        <v>198</v>
      </c>
      <c r="V315">
        <v>3</v>
      </c>
      <c r="W315" t="s">
        <v>170</v>
      </c>
      <c r="X315" t="s">
        <v>2349</v>
      </c>
      <c r="Y315" t="s">
        <v>153</v>
      </c>
      <c r="Z315" s="53" t="s">
        <v>2350</v>
      </c>
      <c r="AA315"/>
      <c r="AB315"/>
      <c r="AC315"/>
      <c r="AD315"/>
      <c r="AE315">
        <v>1</v>
      </c>
      <c r="AF315"/>
      <c r="AM315" s="7">
        <v>1</v>
      </c>
      <c r="BG315" t="str">
        <f t="shared" si="4"/>
        <v>Interazionale</v>
      </c>
      <c r="BH315" s="3" t="str" cm="1">
        <f t="array" ref="BH315">IF(AE315=1, _xlfn.TEXTJOIN(" &amp; ", TRUE, _xlfn._xlws.FILTER($AG$2:$BC$2, AG315:BC315=1)), "")</f>
        <v>Marcatura della conoscenza condivisa</v>
      </c>
    </row>
    <row r="316" spans="1:60" x14ac:dyDescent="0.3">
      <c r="A316" t="s">
        <v>2351</v>
      </c>
      <c r="B316" t="s">
        <v>2352</v>
      </c>
      <c r="C316" t="s">
        <v>2353</v>
      </c>
      <c r="D316">
        <v>2020</v>
      </c>
      <c r="E316" s="52" t="s">
        <v>2354</v>
      </c>
      <c r="F316">
        <v>38746</v>
      </c>
      <c r="G316">
        <v>40820</v>
      </c>
      <c r="H316" t="s">
        <v>673</v>
      </c>
      <c r="I316" t="s">
        <v>2351</v>
      </c>
      <c r="J316" s="51">
        <v>2.6412037037037036E-2</v>
      </c>
      <c r="K316" t="s">
        <v>140</v>
      </c>
      <c r="L316" t="s">
        <v>2355</v>
      </c>
      <c r="M316" t="s">
        <v>2356</v>
      </c>
      <c r="N316" t="s">
        <v>381</v>
      </c>
      <c r="O316" t="s">
        <v>144</v>
      </c>
      <c r="P316" t="s">
        <v>676</v>
      </c>
      <c r="Q316" t="s">
        <v>677</v>
      </c>
      <c r="R316" t="s">
        <v>147</v>
      </c>
      <c r="S316" t="s">
        <v>148</v>
      </c>
      <c r="T316" t="s">
        <v>169</v>
      </c>
      <c r="U316" t="s">
        <v>171</v>
      </c>
      <c r="V316">
        <v>3</v>
      </c>
      <c r="W316" t="s">
        <v>269</v>
      </c>
      <c r="X316" t="s">
        <v>2357</v>
      </c>
      <c r="Y316" t="s">
        <v>153</v>
      </c>
      <c r="Z316" s="53" t="s">
        <v>2358</v>
      </c>
      <c r="AA316"/>
      <c r="AB316"/>
      <c r="AC316"/>
      <c r="AD316"/>
      <c r="AE316">
        <v>1</v>
      </c>
      <c r="AF316">
        <v>1</v>
      </c>
      <c r="AM316" s="7">
        <v>1</v>
      </c>
      <c r="BG316" t="str">
        <f t="shared" si="4"/>
        <v>Interazionale</v>
      </c>
      <c r="BH316" s="3" t="str" cm="1">
        <f t="array" ref="BH316">IF(AE316=1, _xlfn.TEXTJOIN(" &amp; ", TRUE, _xlfn._xlws.FILTER($AG$2:$BC$2, AG316:BC316=1)), "")</f>
        <v>Marcatura della conoscenza condivisa</v>
      </c>
    </row>
    <row r="317" spans="1:60" x14ac:dyDescent="0.3">
      <c r="A317" t="s">
        <v>2351</v>
      </c>
      <c r="B317" t="s">
        <v>2359</v>
      </c>
      <c r="C317" t="s">
        <v>2353</v>
      </c>
      <c r="D317">
        <v>2020</v>
      </c>
      <c r="E317" s="52" t="s">
        <v>2360</v>
      </c>
      <c r="F317">
        <v>215460</v>
      </c>
      <c r="G317">
        <v>219630</v>
      </c>
      <c r="H317" t="s">
        <v>673</v>
      </c>
      <c r="I317" t="s">
        <v>2351</v>
      </c>
      <c r="J317" s="51">
        <v>2.6412037037037036E-2</v>
      </c>
      <c r="K317" t="s">
        <v>140</v>
      </c>
      <c r="L317" t="s">
        <v>2355</v>
      </c>
      <c r="M317" t="s">
        <v>2356</v>
      </c>
      <c r="N317" t="s">
        <v>381</v>
      </c>
      <c r="O317" t="s">
        <v>144</v>
      </c>
      <c r="P317" t="s">
        <v>676</v>
      </c>
      <c r="Q317" t="s">
        <v>677</v>
      </c>
      <c r="R317" t="s">
        <v>147</v>
      </c>
      <c r="S317" t="s">
        <v>148</v>
      </c>
      <c r="T317" t="s">
        <v>169</v>
      </c>
      <c r="U317" t="s">
        <v>171</v>
      </c>
      <c r="V317">
        <v>3</v>
      </c>
      <c r="W317" t="s">
        <v>269</v>
      </c>
      <c r="X317" t="s">
        <v>2361</v>
      </c>
      <c r="Y317" t="s">
        <v>153</v>
      </c>
      <c r="Z317" s="53" t="s">
        <v>2362</v>
      </c>
      <c r="AA317"/>
      <c r="AB317"/>
      <c r="AC317"/>
      <c r="AD317"/>
      <c r="AE317">
        <v>1</v>
      </c>
      <c r="AF317">
        <v>1</v>
      </c>
      <c r="AM317" s="7">
        <v>1</v>
      </c>
      <c r="BG317" t="str">
        <f t="shared" si="4"/>
        <v>Interazionale</v>
      </c>
      <c r="BH317" s="3" t="str" cm="1">
        <f t="array" ref="BH317">IF(AE317=1, _xlfn.TEXTJOIN(" &amp; ", TRUE, _xlfn._xlws.FILTER($AG$2:$BC$2, AG317:BC317=1)), "")</f>
        <v>Marcatura della conoscenza condivisa</v>
      </c>
    </row>
    <row r="318" spans="1:60" x14ac:dyDescent="0.3">
      <c r="A318" t="s">
        <v>2351</v>
      </c>
      <c r="B318" t="s">
        <v>2363</v>
      </c>
      <c r="C318" t="s">
        <v>2353</v>
      </c>
      <c r="D318">
        <v>2020</v>
      </c>
      <c r="E318" s="52" t="s">
        <v>2364</v>
      </c>
      <c r="F318">
        <v>1493106</v>
      </c>
      <c r="G318">
        <v>1497188</v>
      </c>
      <c r="H318" t="s">
        <v>2365</v>
      </c>
      <c r="I318" t="s">
        <v>2351</v>
      </c>
      <c r="J318" s="51">
        <v>2.6412037037037036E-2</v>
      </c>
      <c r="K318" t="s">
        <v>140</v>
      </c>
      <c r="L318" t="s">
        <v>2355</v>
      </c>
      <c r="M318" t="s">
        <v>2356</v>
      </c>
      <c r="N318" t="s">
        <v>381</v>
      </c>
      <c r="O318" t="s">
        <v>164</v>
      </c>
      <c r="P318" t="s">
        <v>676</v>
      </c>
      <c r="Q318" t="s">
        <v>699</v>
      </c>
      <c r="R318" t="s">
        <v>147</v>
      </c>
      <c r="S318" t="s">
        <v>148</v>
      </c>
      <c r="T318" t="s">
        <v>169</v>
      </c>
      <c r="U318" t="s">
        <v>229</v>
      </c>
      <c r="V318">
        <v>3</v>
      </c>
      <c r="W318" t="s">
        <v>269</v>
      </c>
      <c r="X318" t="s">
        <v>2366</v>
      </c>
      <c r="Y318" t="s">
        <v>153</v>
      </c>
      <c r="Z318" s="53" t="s">
        <v>2367</v>
      </c>
      <c r="AA318"/>
      <c r="AB318"/>
      <c r="AC318"/>
      <c r="AD318"/>
      <c r="AE318">
        <v>1</v>
      </c>
      <c r="AF318">
        <v>1</v>
      </c>
      <c r="AM318" s="7">
        <v>1</v>
      </c>
      <c r="AX318" s="23">
        <v>1</v>
      </c>
      <c r="BD318" s="3">
        <v>1</v>
      </c>
      <c r="BG318" t="str">
        <f t="shared" si="4"/>
        <v>Interazionale &amp; Cognitiva</v>
      </c>
      <c r="BH318" s="3" t="str" cm="1">
        <f t="array" ref="BH318">IF(AE318=1, _xlfn.TEXTJOIN(" &amp; ", TRUE, _xlfn._xlws.FILTER($AG$2:$BC$2, AG318:BC318=1)), "")</f>
        <v>Marcatura della conoscenza condivisa &amp; Marcatura dell'inferenza</v>
      </c>
    </row>
    <row r="319" spans="1:60" x14ac:dyDescent="0.3">
      <c r="A319" t="s">
        <v>2351</v>
      </c>
      <c r="B319" t="s">
        <v>2368</v>
      </c>
      <c r="C319" t="s">
        <v>2353</v>
      </c>
      <c r="D319">
        <v>2020</v>
      </c>
      <c r="E319" s="52" t="s">
        <v>2369</v>
      </c>
      <c r="F319">
        <v>1723560</v>
      </c>
      <c r="G319">
        <v>1727308</v>
      </c>
      <c r="H319" t="s">
        <v>2365</v>
      </c>
      <c r="I319" t="s">
        <v>2351</v>
      </c>
      <c r="J319" s="51">
        <v>2.6412037037037036E-2</v>
      </c>
      <c r="K319" t="s">
        <v>140</v>
      </c>
      <c r="L319" t="s">
        <v>2355</v>
      </c>
      <c r="M319" t="s">
        <v>2356</v>
      </c>
      <c r="N319" t="s">
        <v>381</v>
      </c>
      <c r="O319" t="s">
        <v>164</v>
      </c>
      <c r="P319" t="s">
        <v>676</v>
      </c>
      <c r="Q319" t="s">
        <v>699</v>
      </c>
      <c r="R319" t="s">
        <v>147</v>
      </c>
      <c r="S319" t="s">
        <v>148</v>
      </c>
      <c r="T319" t="s">
        <v>169</v>
      </c>
      <c r="U319" t="s">
        <v>229</v>
      </c>
      <c r="V319">
        <v>3</v>
      </c>
      <c r="W319" t="s">
        <v>269</v>
      </c>
      <c r="X319" t="s">
        <v>2370</v>
      </c>
      <c r="Y319" t="s">
        <v>153</v>
      </c>
      <c r="Z319" s="53" t="s">
        <v>2371</v>
      </c>
      <c r="AA319">
        <v>1</v>
      </c>
      <c r="AB319">
        <v>1</v>
      </c>
      <c r="AC319"/>
      <c r="AD319"/>
      <c r="AE319"/>
      <c r="AF319"/>
      <c r="BG319" t="str">
        <f t="shared" si="4"/>
        <v/>
      </c>
      <c r="BH319" s="3" t="str" cm="1">
        <f t="array" ref="BH319">IF(AE319=1, _xlfn.TEXTJOIN(" &amp; ", TRUE, _xlfn._xlws.FILTER($AG$2:$BC$2, AG319:BC319=1)), "")</f>
        <v/>
      </c>
    </row>
    <row r="320" spans="1:60" x14ac:dyDescent="0.3">
      <c r="A320" t="s">
        <v>2351</v>
      </c>
      <c r="B320" t="s">
        <v>2372</v>
      </c>
      <c r="C320" t="s">
        <v>2353</v>
      </c>
      <c r="D320">
        <v>2020</v>
      </c>
      <c r="E320" s="52" t="s">
        <v>2373</v>
      </c>
      <c r="F320">
        <v>1846800</v>
      </c>
      <c r="G320">
        <v>1850400</v>
      </c>
      <c r="H320" t="s">
        <v>2374</v>
      </c>
      <c r="I320" t="s">
        <v>2351</v>
      </c>
      <c r="J320" s="51">
        <v>2.6412037037037036E-2</v>
      </c>
      <c r="K320" t="s">
        <v>140</v>
      </c>
      <c r="L320" t="s">
        <v>2355</v>
      </c>
      <c r="M320" t="s">
        <v>2356</v>
      </c>
      <c r="N320" t="s">
        <v>143</v>
      </c>
      <c r="O320" t="s">
        <v>144</v>
      </c>
      <c r="P320" t="s">
        <v>676</v>
      </c>
      <c r="Q320" t="s">
        <v>146</v>
      </c>
      <c r="R320" t="s">
        <v>147</v>
      </c>
      <c r="S320" t="s">
        <v>148</v>
      </c>
      <c r="T320" t="s">
        <v>169</v>
      </c>
      <c r="U320" t="s">
        <v>151</v>
      </c>
      <c r="V320">
        <v>3</v>
      </c>
      <c r="W320" t="s">
        <v>269</v>
      </c>
      <c r="X320" t="s">
        <v>2375</v>
      </c>
      <c r="Y320" t="s">
        <v>153</v>
      </c>
      <c r="Z320" s="53" t="s">
        <v>2376</v>
      </c>
      <c r="AA320">
        <v>1</v>
      </c>
      <c r="AB320"/>
      <c r="AC320"/>
      <c r="AD320">
        <v>1</v>
      </c>
      <c r="AE320"/>
      <c r="AF320"/>
      <c r="BG320" t="str">
        <f t="shared" si="4"/>
        <v/>
      </c>
      <c r="BH320" s="3" t="str" cm="1">
        <f t="array" ref="BH320">IF(AE320=1, _xlfn.TEXTJOIN(" &amp; ", TRUE, _xlfn._xlws.FILTER($AG$2:$BC$2, AG320:BC320=1)), "")</f>
        <v/>
      </c>
    </row>
    <row r="321" spans="1:60" x14ac:dyDescent="0.3">
      <c r="A321" t="s">
        <v>2377</v>
      </c>
      <c r="B321" t="s">
        <v>2378</v>
      </c>
      <c r="C321" t="s">
        <v>2379</v>
      </c>
      <c r="D321">
        <v>2019</v>
      </c>
      <c r="E321" s="52" t="s">
        <v>2380</v>
      </c>
      <c r="F321">
        <v>1286679</v>
      </c>
      <c r="G321">
        <v>1287817</v>
      </c>
      <c r="H321" t="s">
        <v>2381</v>
      </c>
      <c r="I321" t="s">
        <v>2377</v>
      </c>
      <c r="J321" s="51">
        <v>4.1064814814814818E-2</v>
      </c>
      <c r="K321" t="s">
        <v>160</v>
      </c>
      <c r="L321" t="s">
        <v>2382</v>
      </c>
      <c r="M321" t="s">
        <v>2383</v>
      </c>
      <c r="N321" t="s">
        <v>363</v>
      </c>
      <c r="O321" t="s">
        <v>144</v>
      </c>
      <c r="P321" t="s">
        <v>145</v>
      </c>
      <c r="Q321" t="s">
        <v>228</v>
      </c>
      <c r="R321" t="s">
        <v>167</v>
      </c>
      <c r="S321" t="s">
        <v>168</v>
      </c>
      <c r="T321" t="s">
        <v>149</v>
      </c>
      <c r="U321" t="s">
        <v>229</v>
      </c>
      <c r="V321">
        <v>3</v>
      </c>
      <c r="W321" t="s">
        <v>170</v>
      </c>
      <c r="X321" t="s">
        <v>2384</v>
      </c>
      <c r="Y321" t="s">
        <v>153</v>
      </c>
      <c r="Z321" s="53" t="s">
        <v>2385</v>
      </c>
      <c r="AA321"/>
      <c r="AB321"/>
      <c r="AC321"/>
      <c r="AD321"/>
      <c r="AE321">
        <v>1</v>
      </c>
      <c r="AF321"/>
      <c r="AM321" s="7">
        <v>1</v>
      </c>
      <c r="AR321" s="9">
        <v>1</v>
      </c>
      <c r="BD321" s="3">
        <v>1</v>
      </c>
      <c r="BG321" t="str">
        <f t="shared" si="4"/>
        <v>Interazionale &amp; Metatestuale</v>
      </c>
      <c r="BH321" s="3" t="str" cm="1">
        <f t="array" ref="BH321">IF(AE321=1, _xlfn.TEXTJOIN(" &amp; ", TRUE, _xlfn._xlws.FILTER($AG$2:$BC$2, AG321:BC321=1)), "")</f>
        <v>Marcatura della conoscenza condivisa &amp; Prolettico, marca di formulazione: ecco</v>
      </c>
    </row>
    <row r="322" spans="1:60" x14ac:dyDescent="0.3">
      <c r="A322" t="s">
        <v>2386</v>
      </c>
      <c r="B322" t="s">
        <v>2387</v>
      </c>
      <c r="C322" t="s">
        <v>2388</v>
      </c>
      <c r="D322">
        <v>2022</v>
      </c>
      <c r="E322" s="52" t="s">
        <v>2389</v>
      </c>
      <c r="F322">
        <v>499645</v>
      </c>
      <c r="G322">
        <v>507060</v>
      </c>
      <c r="H322" t="s">
        <v>2390</v>
      </c>
      <c r="I322" t="s">
        <v>2386</v>
      </c>
      <c r="J322" s="51">
        <v>1.579861111111111E-2</v>
      </c>
      <c r="K322" t="s">
        <v>160</v>
      </c>
      <c r="L322" t="s">
        <v>2391</v>
      </c>
      <c r="M322" t="s">
        <v>2392</v>
      </c>
      <c r="N322" t="s">
        <v>2393</v>
      </c>
      <c r="O322" t="s">
        <v>164</v>
      </c>
      <c r="P322" t="s">
        <v>165</v>
      </c>
      <c r="Q322" t="s">
        <v>337</v>
      </c>
      <c r="R322" t="s">
        <v>167</v>
      </c>
      <c r="S322" t="s">
        <v>168</v>
      </c>
      <c r="T322" t="s">
        <v>288</v>
      </c>
      <c r="U322" t="s">
        <v>171</v>
      </c>
      <c r="V322">
        <v>3</v>
      </c>
      <c r="W322" t="s">
        <v>170</v>
      </c>
      <c r="X322" t="s">
        <v>2394</v>
      </c>
      <c r="Y322" t="s">
        <v>153</v>
      </c>
      <c r="Z322" s="53" t="s">
        <v>2395</v>
      </c>
      <c r="AA322"/>
      <c r="AB322"/>
      <c r="AC322"/>
      <c r="AD322"/>
      <c r="AE322">
        <v>1</v>
      </c>
      <c r="AF322"/>
      <c r="AM322" s="7">
        <v>1</v>
      </c>
      <c r="BG322" t="str">
        <f t="shared" si="4"/>
        <v>Interazionale</v>
      </c>
      <c r="BH322" s="3" t="str" cm="1">
        <f t="array" ref="BH322">IF(AE322=1, _xlfn.TEXTJOIN(" &amp; ", TRUE, _xlfn._xlws.FILTER($AG$2:$BC$2, AG322:BC322=1)), "")</f>
        <v>Marcatura della conoscenza condivisa</v>
      </c>
    </row>
    <row r="323" spans="1:60" x14ac:dyDescent="0.3">
      <c r="A323" t="s">
        <v>2396</v>
      </c>
      <c r="B323" t="s">
        <v>2397</v>
      </c>
      <c r="C323" t="s">
        <v>2398</v>
      </c>
      <c r="D323" t="s">
        <v>204</v>
      </c>
      <c r="E323" s="52" t="s">
        <v>2399</v>
      </c>
      <c r="F323">
        <v>406850</v>
      </c>
      <c r="G323">
        <v>410520</v>
      </c>
      <c r="H323" t="s">
        <v>2400</v>
      </c>
      <c r="I323" t="s">
        <v>2396</v>
      </c>
      <c r="J323" s="51">
        <v>6.7708333333333336E-3</v>
      </c>
      <c r="K323" t="s">
        <v>140</v>
      </c>
      <c r="L323" t="s">
        <v>2401</v>
      </c>
      <c r="M323" t="s">
        <v>2402</v>
      </c>
      <c r="N323" t="s">
        <v>143</v>
      </c>
      <c r="O323" t="s">
        <v>164</v>
      </c>
      <c r="P323" t="s">
        <v>165</v>
      </c>
      <c r="Q323" t="s">
        <v>146</v>
      </c>
      <c r="R323" t="s">
        <v>147</v>
      </c>
      <c r="S323" t="s">
        <v>148</v>
      </c>
      <c r="T323" t="s">
        <v>189</v>
      </c>
      <c r="U323" t="s">
        <v>151</v>
      </c>
      <c r="V323">
        <v>4</v>
      </c>
      <c r="W323" t="s">
        <v>150</v>
      </c>
      <c r="X323" t="s">
        <v>2403</v>
      </c>
      <c r="Y323" t="s">
        <v>153</v>
      </c>
      <c r="Z323" s="53" t="s">
        <v>2404</v>
      </c>
      <c r="AA323">
        <v>1</v>
      </c>
      <c r="AB323"/>
      <c r="AC323">
        <v>1</v>
      </c>
      <c r="AD323"/>
      <c r="AE323"/>
      <c r="AF323"/>
      <c r="BG323" t="str">
        <f t="shared" si="4"/>
        <v/>
      </c>
      <c r="BH323" s="3" t="str" cm="1">
        <f t="array" ref="BH323">IF(AE323=1, _xlfn.TEXTJOIN(" &amp; ", TRUE, _xlfn._xlws.FILTER($AG$2:$BC$2, AG323:BC323=1)), "")</f>
        <v/>
      </c>
    </row>
    <row r="324" spans="1:60" x14ac:dyDescent="0.3">
      <c r="A324" t="s">
        <v>2396</v>
      </c>
      <c r="B324" t="s">
        <v>2405</v>
      </c>
      <c r="C324" t="s">
        <v>2398</v>
      </c>
      <c r="D324" t="s">
        <v>204</v>
      </c>
      <c r="E324" s="52" t="s">
        <v>2406</v>
      </c>
      <c r="F324">
        <v>499630</v>
      </c>
      <c r="G324">
        <v>506720</v>
      </c>
      <c r="H324" t="s">
        <v>512</v>
      </c>
      <c r="I324" t="s">
        <v>2396</v>
      </c>
      <c r="J324" s="51">
        <v>6.7708333333333336E-3</v>
      </c>
      <c r="K324" t="s">
        <v>140</v>
      </c>
      <c r="L324" t="s">
        <v>2401</v>
      </c>
      <c r="M324" t="s">
        <v>2402</v>
      </c>
      <c r="N324" t="s">
        <v>143</v>
      </c>
      <c r="O324" t="s">
        <v>144</v>
      </c>
      <c r="P324" t="s">
        <v>165</v>
      </c>
      <c r="Q324" t="s">
        <v>146</v>
      </c>
      <c r="R324" t="s">
        <v>147</v>
      </c>
      <c r="S324" t="s">
        <v>148</v>
      </c>
      <c r="T324" t="s">
        <v>288</v>
      </c>
      <c r="U324" t="s">
        <v>151</v>
      </c>
      <c r="V324">
        <v>4</v>
      </c>
      <c r="W324" t="s">
        <v>150</v>
      </c>
      <c r="X324" t="s">
        <v>2407</v>
      </c>
      <c r="Y324" t="s">
        <v>153</v>
      </c>
      <c r="Z324" s="53" t="s">
        <v>2408</v>
      </c>
      <c r="AA324">
        <v>1</v>
      </c>
      <c r="AB324"/>
      <c r="AC324"/>
      <c r="AD324">
        <v>1</v>
      </c>
      <c r="AE324"/>
      <c r="AF324"/>
      <c r="BG324" t="str">
        <f t="shared" ref="BG324:BG387" si="5">IF(AE324=1,_xlfn.TEXTJOIN(" &amp; ", TRUE,
    IF(COUNTIF(AG324:AO324,1)&gt;0,"Interazionale",""),
    IF(COUNTIF(AP324:AW324,1)&gt;0,"Metatestuale",""),
    IF(COUNTIF(AX324:BC324,1)&gt;0,"Cognitiva","")
),"")</f>
        <v/>
      </c>
      <c r="BH324" s="3" t="str" cm="1">
        <f t="array" ref="BH324">IF(AE324=1, _xlfn.TEXTJOIN(" &amp; ", TRUE, _xlfn._xlws.FILTER($AG$2:$BC$2, AG324:BC324=1)), "")</f>
        <v/>
      </c>
    </row>
    <row r="325" spans="1:60" x14ac:dyDescent="0.3">
      <c r="A325" t="s">
        <v>2409</v>
      </c>
      <c r="B325" t="s">
        <v>2410</v>
      </c>
      <c r="C325" t="s">
        <v>2411</v>
      </c>
      <c r="D325">
        <v>2019</v>
      </c>
      <c r="E325" s="52" t="s">
        <v>2412</v>
      </c>
      <c r="F325">
        <v>1304276</v>
      </c>
      <c r="G325">
        <v>1307010</v>
      </c>
      <c r="H325" t="s">
        <v>2413</v>
      </c>
      <c r="I325" t="s">
        <v>2409</v>
      </c>
      <c r="J325" s="51">
        <v>2.7372685185185184E-2</v>
      </c>
      <c r="K325" t="s">
        <v>160</v>
      </c>
      <c r="L325" t="s">
        <v>2414</v>
      </c>
      <c r="M325" t="s">
        <v>2415</v>
      </c>
      <c r="N325" t="s">
        <v>178</v>
      </c>
      <c r="O325" t="s">
        <v>144</v>
      </c>
      <c r="P325" t="s">
        <v>145</v>
      </c>
      <c r="Q325" t="s">
        <v>179</v>
      </c>
      <c r="R325" t="s">
        <v>167</v>
      </c>
      <c r="S325" t="s">
        <v>168</v>
      </c>
      <c r="T325" t="s">
        <v>1518</v>
      </c>
      <c r="U325" t="s">
        <v>171</v>
      </c>
      <c r="V325">
        <v>2</v>
      </c>
      <c r="W325" t="s">
        <v>170</v>
      </c>
      <c r="X325" t="s">
        <v>2416</v>
      </c>
      <c r="Y325" t="s">
        <v>153</v>
      </c>
      <c r="Z325" s="53" t="s">
        <v>2417</v>
      </c>
      <c r="AA325">
        <v>1</v>
      </c>
      <c r="AB325"/>
      <c r="AC325">
        <v>1</v>
      </c>
      <c r="AD325"/>
      <c r="AE325"/>
      <c r="AF325"/>
      <c r="BG325" t="str">
        <f t="shared" si="5"/>
        <v/>
      </c>
      <c r="BH325" s="3" t="str" cm="1">
        <f t="array" ref="BH325">IF(AE325=1, _xlfn.TEXTJOIN(" &amp; ", TRUE, _xlfn._xlws.FILTER($AG$2:$BC$2, AG325:BC325=1)), "")</f>
        <v/>
      </c>
    </row>
    <row r="326" spans="1:60" x14ac:dyDescent="0.3">
      <c r="A326" t="s">
        <v>2409</v>
      </c>
      <c r="B326" t="s">
        <v>2418</v>
      </c>
      <c r="C326" t="s">
        <v>2411</v>
      </c>
      <c r="D326">
        <v>2019</v>
      </c>
      <c r="E326" s="52" t="s">
        <v>2419</v>
      </c>
      <c r="F326">
        <v>1946055</v>
      </c>
      <c r="G326">
        <v>1951199</v>
      </c>
      <c r="H326" t="s">
        <v>2413</v>
      </c>
      <c r="I326" t="s">
        <v>2409</v>
      </c>
      <c r="J326" s="51">
        <v>2.7372685185185184E-2</v>
      </c>
      <c r="K326" t="s">
        <v>160</v>
      </c>
      <c r="L326" t="s">
        <v>2414</v>
      </c>
      <c r="M326" t="s">
        <v>2415</v>
      </c>
      <c r="N326" t="s">
        <v>178</v>
      </c>
      <c r="O326" t="s">
        <v>144</v>
      </c>
      <c r="P326" t="s">
        <v>145</v>
      </c>
      <c r="Q326" t="s">
        <v>179</v>
      </c>
      <c r="R326" t="s">
        <v>167</v>
      </c>
      <c r="S326" t="s">
        <v>168</v>
      </c>
      <c r="T326" t="s">
        <v>1518</v>
      </c>
      <c r="U326" t="s">
        <v>171</v>
      </c>
      <c r="V326">
        <v>2</v>
      </c>
      <c r="W326" t="s">
        <v>170</v>
      </c>
      <c r="X326" t="s">
        <v>2420</v>
      </c>
      <c r="Y326" t="s">
        <v>153</v>
      </c>
      <c r="Z326" s="53" t="s">
        <v>2421</v>
      </c>
      <c r="AA326">
        <v>1</v>
      </c>
      <c r="AB326"/>
      <c r="AC326"/>
      <c r="AD326">
        <v>1</v>
      </c>
      <c r="AE326"/>
      <c r="AF326"/>
      <c r="BG326" t="str">
        <f t="shared" si="5"/>
        <v/>
      </c>
      <c r="BH326" s="3" t="str" cm="1">
        <f t="array" ref="BH326">IF(AE326=1, _xlfn.TEXTJOIN(" &amp; ", TRUE, _xlfn._xlws.FILTER($AG$2:$BC$2, AG326:BC326=1)), "")</f>
        <v/>
      </c>
    </row>
    <row r="327" spans="1:60" x14ac:dyDescent="0.3">
      <c r="A327" t="s">
        <v>2422</v>
      </c>
      <c r="B327" t="s">
        <v>2423</v>
      </c>
      <c r="C327" t="s">
        <v>2424</v>
      </c>
      <c r="D327" t="s">
        <v>204</v>
      </c>
      <c r="E327" s="52" t="s">
        <v>2425</v>
      </c>
      <c r="F327">
        <v>47111</v>
      </c>
      <c r="G327">
        <v>53440</v>
      </c>
      <c r="H327" t="s">
        <v>2426</v>
      </c>
      <c r="I327" t="s">
        <v>2422</v>
      </c>
      <c r="J327" s="51">
        <v>1.5324074074074073E-2</v>
      </c>
      <c r="K327" t="s">
        <v>160</v>
      </c>
      <c r="L327" t="s">
        <v>2427</v>
      </c>
      <c r="M327" t="s">
        <v>2428</v>
      </c>
      <c r="N327" t="s">
        <v>143</v>
      </c>
      <c r="O327" t="s">
        <v>144</v>
      </c>
      <c r="P327" t="s">
        <v>145</v>
      </c>
      <c r="Q327" t="s">
        <v>146</v>
      </c>
      <c r="R327" t="s">
        <v>167</v>
      </c>
      <c r="S327" t="s">
        <v>148</v>
      </c>
      <c r="T327" t="s">
        <v>149</v>
      </c>
      <c r="U327" t="s">
        <v>151</v>
      </c>
      <c r="V327">
        <v>2</v>
      </c>
      <c r="W327" t="s">
        <v>170</v>
      </c>
      <c r="X327" t="s">
        <v>2429</v>
      </c>
      <c r="Y327" t="s">
        <v>153</v>
      </c>
      <c r="Z327" s="53" t="s">
        <v>2430</v>
      </c>
      <c r="AA327"/>
      <c r="AB327"/>
      <c r="AC327"/>
      <c r="AD327"/>
      <c r="AE327">
        <v>1</v>
      </c>
      <c r="AF327"/>
      <c r="AM327" s="7">
        <v>1</v>
      </c>
      <c r="AW327" s="21">
        <v>1</v>
      </c>
      <c r="BD327" s="3">
        <v>1</v>
      </c>
      <c r="BG327" t="str">
        <f t="shared" si="5"/>
        <v>Interazionale &amp; Metatestuale</v>
      </c>
      <c r="BH327" s="3" t="str" cm="1">
        <f t="array" ref="BH327">IF(AE327=1, _xlfn.TEXTJOIN(" &amp; ", TRUE, _xlfn._xlws.FILTER($AG$2:$BC$2, AG327:BC327=1)), "")</f>
        <v>Marcatura della conoscenza condivisa &amp; General extenders e marche di generalizzazione</v>
      </c>
    </row>
    <row r="328" spans="1:60" x14ac:dyDescent="0.3">
      <c r="A328" t="s">
        <v>2422</v>
      </c>
      <c r="B328" t="s">
        <v>2431</v>
      </c>
      <c r="C328" t="s">
        <v>2424</v>
      </c>
      <c r="D328" t="s">
        <v>204</v>
      </c>
      <c r="E328" s="52" t="s">
        <v>2432</v>
      </c>
      <c r="F328">
        <v>258733</v>
      </c>
      <c r="G328">
        <v>260008</v>
      </c>
      <c r="H328" t="s">
        <v>2426</v>
      </c>
      <c r="I328" t="s">
        <v>2422</v>
      </c>
      <c r="J328" s="51">
        <v>1.5324074074074073E-2</v>
      </c>
      <c r="K328" t="s">
        <v>160</v>
      </c>
      <c r="L328" t="s">
        <v>2427</v>
      </c>
      <c r="M328" t="s">
        <v>2428</v>
      </c>
      <c r="N328" t="s">
        <v>143</v>
      </c>
      <c r="O328" t="s">
        <v>144</v>
      </c>
      <c r="P328" t="s">
        <v>145</v>
      </c>
      <c r="Q328" t="s">
        <v>146</v>
      </c>
      <c r="R328" t="s">
        <v>167</v>
      </c>
      <c r="S328" t="s">
        <v>148</v>
      </c>
      <c r="T328" t="s">
        <v>149</v>
      </c>
      <c r="U328" t="s">
        <v>151</v>
      </c>
      <c r="V328">
        <v>2</v>
      </c>
      <c r="W328" t="s">
        <v>170</v>
      </c>
      <c r="X328" t="s">
        <v>2433</v>
      </c>
      <c r="Y328" t="s">
        <v>153</v>
      </c>
      <c r="Z328" s="53" t="s">
        <v>2434</v>
      </c>
      <c r="AA328">
        <v>1</v>
      </c>
      <c r="AB328">
        <v>1</v>
      </c>
      <c r="AC328"/>
      <c r="AD328"/>
      <c r="AE328"/>
      <c r="AF328"/>
      <c r="BG328" t="str">
        <f t="shared" si="5"/>
        <v/>
      </c>
      <c r="BH328" s="3" t="str" cm="1">
        <f t="array" ref="BH328">IF(AE328=1, _xlfn.TEXTJOIN(" &amp; ", TRUE, _xlfn._xlws.FILTER($AG$2:$BC$2, AG328:BC328=1)), "")</f>
        <v/>
      </c>
    </row>
    <row r="329" spans="1:60" x14ac:dyDescent="0.3">
      <c r="A329" t="s">
        <v>2422</v>
      </c>
      <c r="B329" t="s">
        <v>2435</v>
      </c>
      <c r="C329" t="s">
        <v>2424</v>
      </c>
      <c r="D329" t="s">
        <v>204</v>
      </c>
      <c r="E329" s="52" t="s">
        <v>2436</v>
      </c>
      <c r="F329">
        <v>675630</v>
      </c>
      <c r="G329">
        <v>680380</v>
      </c>
      <c r="H329" t="s">
        <v>2426</v>
      </c>
      <c r="I329" t="s">
        <v>2422</v>
      </c>
      <c r="J329" s="51">
        <v>1.5324074074074073E-2</v>
      </c>
      <c r="K329" t="s">
        <v>160</v>
      </c>
      <c r="L329" t="s">
        <v>2427</v>
      </c>
      <c r="M329" t="s">
        <v>2428</v>
      </c>
      <c r="N329" t="s">
        <v>143</v>
      </c>
      <c r="O329" t="s">
        <v>144</v>
      </c>
      <c r="P329" t="s">
        <v>145</v>
      </c>
      <c r="Q329" t="s">
        <v>146</v>
      </c>
      <c r="R329" t="s">
        <v>167</v>
      </c>
      <c r="S329" t="s">
        <v>148</v>
      </c>
      <c r="T329" t="s">
        <v>149</v>
      </c>
      <c r="U329" t="s">
        <v>151</v>
      </c>
      <c r="V329">
        <v>2</v>
      </c>
      <c r="W329" t="s">
        <v>170</v>
      </c>
      <c r="X329" t="s">
        <v>2437</v>
      </c>
      <c r="Y329" t="s">
        <v>153</v>
      </c>
      <c r="Z329" s="53" t="s">
        <v>2438</v>
      </c>
      <c r="AA329"/>
      <c r="AB329"/>
      <c r="AC329"/>
      <c r="AD329"/>
      <c r="AE329">
        <v>1</v>
      </c>
      <c r="AF329"/>
      <c r="AM329" s="7">
        <v>1</v>
      </c>
      <c r="BG329" t="str">
        <f t="shared" si="5"/>
        <v>Interazionale</v>
      </c>
      <c r="BH329" s="3" t="str" cm="1">
        <f t="array" ref="BH329">IF(AE329=1, _xlfn.TEXTJOIN(" &amp; ", TRUE, _xlfn._xlws.FILTER($AG$2:$BC$2, AG329:BC329=1)), "")</f>
        <v>Marcatura della conoscenza condivisa</v>
      </c>
    </row>
    <row r="330" spans="1:60" x14ac:dyDescent="0.3">
      <c r="A330" t="s">
        <v>2422</v>
      </c>
      <c r="B330" t="s">
        <v>2439</v>
      </c>
      <c r="C330" t="s">
        <v>2424</v>
      </c>
      <c r="D330" t="s">
        <v>204</v>
      </c>
      <c r="E330" s="52" t="s">
        <v>2440</v>
      </c>
      <c r="F330">
        <v>849958</v>
      </c>
      <c r="G330">
        <v>856043</v>
      </c>
      <c r="H330" t="s">
        <v>2426</v>
      </c>
      <c r="I330" t="s">
        <v>2422</v>
      </c>
      <c r="J330" s="51">
        <v>1.5324074074074073E-2</v>
      </c>
      <c r="K330" t="s">
        <v>160</v>
      </c>
      <c r="L330" t="s">
        <v>2427</v>
      </c>
      <c r="M330" t="s">
        <v>2428</v>
      </c>
      <c r="N330" t="s">
        <v>143</v>
      </c>
      <c r="O330" t="s">
        <v>144</v>
      </c>
      <c r="P330" t="s">
        <v>145</v>
      </c>
      <c r="Q330" t="s">
        <v>146</v>
      </c>
      <c r="R330" t="s">
        <v>167</v>
      </c>
      <c r="S330" t="s">
        <v>148</v>
      </c>
      <c r="T330" t="s">
        <v>149</v>
      </c>
      <c r="U330" t="s">
        <v>151</v>
      </c>
      <c r="V330">
        <v>2</v>
      </c>
      <c r="W330" t="s">
        <v>170</v>
      </c>
      <c r="X330" t="s">
        <v>2441</v>
      </c>
      <c r="Y330" t="s">
        <v>153</v>
      </c>
      <c r="Z330" s="53" t="s">
        <v>2442</v>
      </c>
      <c r="AA330">
        <v>1</v>
      </c>
      <c r="AB330">
        <v>1</v>
      </c>
      <c r="AC330"/>
      <c r="AD330"/>
      <c r="AE330"/>
      <c r="AF330"/>
      <c r="BG330" t="str">
        <f t="shared" si="5"/>
        <v/>
      </c>
      <c r="BH330" s="3" t="str" cm="1">
        <f t="array" ref="BH330">IF(AE330=1, _xlfn.TEXTJOIN(" &amp; ", TRUE, _xlfn._xlws.FILTER($AG$2:$BC$2, AG330:BC330=1)), "")</f>
        <v/>
      </c>
    </row>
    <row r="331" spans="1:60" x14ac:dyDescent="0.3">
      <c r="A331" t="s">
        <v>522</v>
      </c>
      <c r="B331" t="s">
        <v>2443</v>
      </c>
      <c r="C331" t="s">
        <v>523</v>
      </c>
      <c r="D331">
        <v>2020</v>
      </c>
      <c r="E331" s="52" t="s">
        <v>2444</v>
      </c>
      <c r="F331">
        <v>317050</v>
      </c>
      <c r="G331">
        <v>317930</v>
      </c>
      <c r="H331" t="s">
        <v>524</v>
      </c>
      <c r="I331" t="s">
        <v>522</v>
      </c>
      <c r="J331" s="51">
        <v>2.2662037037037036E-2</v>
      </c>
      <c r="K331" t="s">
        <v>140</v>
      </c>
      <c r="L331" t="s">
        <v>525</v>
      </c>
      <c r="M331" t="s">
        <v>526</v>
      </c>
      <c r="N331" t="s">
        <v>163</v>
      </c>
      <c r="O331" t="s">
        <v>164</v>
      </c>
      <c r="P331" t="s">
        <v>489</v>
      </c>
      <c r="Q331" t="s">
        <v>527</v>
      </c>
      <c r="R331" t="s">
        <v>147</v>
      </c>
      <c r="S331" t="s">
        <v>148</v>
      </c>
      <c r="T331" t="s">
        <v>364</v>
      </c>
      <c r="U331" t="s">
        <v>318</v>
      </c>
      <c r="V331">
        <v>3</v>
      </c>
      <c r="W331" t="s">
        <v>269</v>
      </c>
      <c r="X331" t="s">
        <v>2445</v>
      </c>
      <c r="Y331" t="s">
        <v>153</v>
      </c>
      <c r="Z331" s="53" t="s">
        <v>2446</v>
      </c>
      <c r="AA331">
        <v>1</v>
      </c>
      <c r="AB331"/>
      <c r="AC331"/>
      <c r="AD331">
        <v>1</v>
      </c>
      <c r="AE331"/>
      <c r="AF331"/>
      <c r="BG331" t="str">
        <f t="shared" si="5"/>
        <v/>
      </c>
      <c r="BH331" s="3" t="str" cm="1">
        <f t="array" ref="BH331">IF(AE331=1, _xlfn.TEXTJOIN(" &amp; ", TRUE, _xlfn._xlws.FILTER($AG$2:$BC$2, AG331:BC331=1)), "")</f>
        <v/>
      </c>
    </row>
    <row r="332" spans="1:60" x14ac:dyDescent="0.3">
      <c r="A332" t="s">
        <v>522</v>
      </c>
      <c r="B332" t="s">
        <v>2447</v>
      </c>
      <c r="C332" t="s">
        <v>523</v>
      </c>
      <c r="D332">
        <v>2020</v>
      </c>
      <c r="E332" s="52" t="s">
        <v>2448</v>
      </c>
      <c r="F332">
        <v>482140</v>
      </c>
      <c r="G332">
        <v>484233</v>
      </c>
      <c r="H332" t="s">
        <v>2449</v>
      </c>
      <c r="I332" t="s">
        <v>522</v>
      </c>
      <c r="J332" s="51">
        <v>2.2662037037037036E-2</v>
      </c>
      <c r="K332" t="s">
        <v>140</v>
      </c>
      <c r="L332" t="s">
        <v>525</v>
      </c>
      <c r="M332" t="s">
        <v>526</v>
      </c>
      <c r="N332" t="s">
        <v>163</v>
      </c>
      <c r="O332" t="s">
        <v>144</v>
      </c>
      <c r="P332" t="s">
        <v>489</v>
      </c>
      <c r="Q332" t="s">
        <v>228</v>
      </c>
      <c r="R332" t="s">
        <v>147</v>
      </c>
      <c r="S332" t="s">
        <v>148</v>
      </c>
      <c r="T332" t="s">
        <v>491</v>
      </c>
      <c r="U332" t="s">
        <v>229</v>
      </c>
      <c r="V332">
        <v>3</v>
      </c>
      <c r="W332" t="s">
        <v>269</v>
      </c>
      <c r="X332" t="s">
        <v>2450</v>
      </c>
      <c r="Y332" t="s">
        <v>153</v>
      </c>
      <c r="Z332" s="53" t="s">
        <v>2451</v>
      </c>
      <c r="AA332">
        <v>1</v>
      </c>
      <c r="AB332"/>
      <c r="AC332"/>
      <c r="AD332">
        <v>1</v>
      </c>
      <c r="AE332"/>
      <c r="AF332"/>
      <c r="BG332" t="str">
        <f t="shared" si="5"/>
        <v/>
      </c>
      <c r="BH332" s="3" t="str" cm="1">
        <f t="array" ref="BH332">IF(AE332=1, _xlfn.TEXTJOIN(" &amp; ", TRUE, _xlfn._xlws.FILTER($AG$2:$BC$2, AG332:BC332=1)), "")</f>
        <v/>
      </c>
    </row>
    <row r="333" spans="1:60" x14ac:dyDescent="0.3">
      <c r="A333" t="s">
        <v>522</v>
      </c>
      <c r="B333" t="s">
        <v>2452</v>
      </c>
      <c r="C333" t="s">
        <v>523</v>
      </c>
      <c r="D333">
        <v>2020</v>
      </c>
      <c r="E333" s="52" t="s">
        <v>2453</v>
      </c>
      <c r="F333">
        <v>1945266</v>
      </c>
      <c r="G333">
        <v>1946099</v>
      </c>
      <c r="H333" t="s">
        <v>524</v>
      </c>
      <c r="I333" t="s">
        <v>522</v>
      </c>
      <c r="J333" s="51">
        <v>2.2662037037037036E-2</v>
      </c>
      <c r="K333" t="s">
        <v>140</v>
      </c>
      <c r="L333" t="s">
        <v>525</v>
      </c>
      <c r="M333" t="s">
        <v>526</v>
      </c>
      <c r="N333" t="s">
        <v>163</v>
      </c>
      <c r="O333" t="s">
        <v>164</v>
      </c>
      <c r="P333" t="s">
        <v>489</v>
      </c>
      <c r="Q333" t="s">
        <v>527</v>
      </c>
      <c r="R333" t="s">
        <v>147</v>
      </c>
      <c r="S333" t="s">
        <v>148</v>
      </c>
      <c r="T333" t="s">
        <v>364</v>
      </c>
      <c r="U333" t="s">
        <v>318</v>
      </c>
      <c r="V333">
        <v>3</v>
      </c>
      <c r="W333" t="s">
        <v>269</v>
      </c>
      <c r="X333" t="s">
        <v>2454</v>
      </c>
      <c r="Y333" t="s">
        <v>153</v>
      </c>
      <c r="Z333" s="53" t="s">
        <v>2455</v>
      </c>
      <c r="AA333">
        <v>1</v>
      </c>
      <c r="AB333"/>
      <c r="AC333"/>
      <c r="AD333">
        <v>1</v>
      </c>
      <c r="AE333"/>
      <c r="AF333"/>
      <c r="BG333" t="str">
        <f t="shared" si="5"/>
        <v/>
      </c>
      <c r="BH333" s="3" t="str" cm="1">
        <f t="array" ref="BH333">IF(AE333=1, _xlfn.TEXTJOIN(" &amp; ", TRUE, _xlfn._xlws.FILTER($AG$2:$BC$2, AG333:BC333=1)), "")</f>
        <v/>
      </c>
    </row>
    <row r="334" spans="1:60" x14ac:dyDescent="0.3">
      <c r="A334" t="s">
        <v>528</v>
      </c>
      <c r="B334" t="s">
        <v>2456</v>
      </c>
      <c r="C334" t="s">
        <v>530</v>
      </c>
      <c r="D334">
        <v>2022</v>
      </c>
      <c r="E334" s="52" t="s">
        <v>2457</v>
      </c>
      <c r="F334">
        <v>560705</v>
      </c>
      <c r="G334">
        <v>561495</v>
      </c>
      <c r="H334" t="s">
        <v>1467</v>
      </c>
      <c r="I334" t="s">
        <v>528</v>
      </c>
      <c r="J334" s="51">
        <v>3.2500000000000001E-2</v>
      </c>
      <c r="K334" t="s">
        <v>160</v>
      </c>
      <c r="L334" t="s">
        <v>533</v>
      </c>
      <c r="M334" t="s">
        <v>534</v>
      </c>
      <c r="N334" t="s">
        <v>143</v>
      </c>
      <c r="O334" t="s">
        <v>144</v>
      </c>
      <c r="P334" t="s">
        <v>165</v>
      </c>
      <c r="Q334" t="s">
        <v>146</v>
      </c>
      <c r="R334" t="s">
        <v>167</v>
      </c>
      <c r="S334" t="s">
        <v>168</v>
      </c>
      <c r="T334" t="s">
        <v>504</v>
      </c>
      <c r="U334" t="s">
        <v>229</v>
      </c>
      <c r="V334">
        <v>2</v>
      </c>
      <c r="W334" t="s">
        <v>170</v>
      </c>
      <c r="X334" t="s">
        <v>2458</v>
      </c>
      <c r="Y334" t="s">
        <v>153</v>
      </c>
      <c r="Z334" s="53" t="s">
        <v>2459</v>
      </c>
      <c r="AA334">
        <v>1</v>
      </c>
      <c r="AB334"/>
      <c r="AC334"/>
      <c r="AD334">
        <v>1</v>
      </c>
      <c r="AE334"/>
      <c r="AF334"/>
      <c r="BG334" t="str">
        <f t="shared" si="5"/>
        <v/>
      </c>
      <c r="BH334" s="3" t="str" cm="1">
        <f t="array" ref="BH334">IF(AE334=1, _xlfn.TEXTJOIN(" &amp; ", TRUE, _xlfn._xlws.FILTER($AG$2:$BC$2, AG334:BC334=1)), "")</f>
        <v/>
      </c>
    </row>
    <row r="335" spans="1:60" x14ac:dyDescent="0.3">
      <c r="A335" t="s">
        <v>528</v>
      </c>
      <c r="B335" t="s">
        <v>529</v>
      </c>
      <c r="C335" t="s">
        <v>530</v>
      </c>
      <c r="D335">
        <v>2022</v>
      </c>
      <c r="E335" s="52" t="s">
        <v>531</v>
      </c>
      <c r="F335">
        <v>1608735</v>
      </c>
      <c r="G335">
        <v>1614935</v>
      </c>
      <c r="H335" t="s">
        <v>532</v>
      </c>
      <c r="I335" t="s">
        <v>528</v>
      </c>
      <c r="J335" s="51">
        <v>3.2500000000000001E-2</v>
      </c>
      <c r="K335" t="s">
        <v>160</v>
      </c>
      <c r="L335" t="s">
        <v>533</v>
      </c>
      <c r="M335" t="s">
        <v>534</v>
      </c>
      <c r="N335" t="s">
        <v>143</v>
      </c>
      <c r="O335" t="s">
        <v>144</v>
      </c>
      <c r="P335" t="s">
        <v>165</v>
      </c>
      <c r="Q335" t="s">
        <v>467</v>
      </c>
      <c r="R335" t="s">
        <v>167</v>
      </c>
      <c r="S335" t="s">
        <v>168</v>
      </c>
      <c r="T335" t="s">
        <v>169</v>
      </c>
      <c r="U335" t="s">
        <v>183</v>
      </c>
      <c r="V335">
        <v>2</v>
      </c>
      <c r="W335" t="s">
        <v>170</v>
      </c>
      <c r="X335" t="s">
        <v>535</v>
      </c>
      <c r="Y335" t="s">
        <v>153</v>
      </c>
      <c r="Z335" s="53" t="s">
        <v>536</v>
      </c>
      <c r="AA335">
        <v>1</v>
      </c>
      <c r="AB335">
        <v>1</v>
      </c>
      <c r="AC335"/>
      <c r="AD335"/>
      <c r="AE335"/>
      <c r="AF335"/>
      <c r="BG335" t="str">
        <f t="shared" si="5"/>
        <v/>
      </c>
      <c r="BH335" s="3" t="str" cm="1">
        <f t="array" ref="BH335">IF(AE335=1, _xlfn.TEXTJOIN(" &amp; ", TRUE, _xlfn._xlws.FILTER($AG$2:$BC$2, AG335:BC335=1)), "")</f>
        <v/>
      </c>
    </row>
    <row r="336" spans="1:60" x14ac:dyDescent="0.3">
      <c r="A336" t="s">
        <v>528</v>
      </c>
      <c r="B336" t="s">
        <v>2460</v>
      </c>
      <c r="C336" t="s">
        <v>530</v>
      </c>
      <c r="D336">
        <v>2022</v>
      </c>
      <c r="E336" s="52" t="s">
        <v>2461</v>
      </c>
      <c r="F336">
        <v>1642805</v>
      </c>
      <c r="G336">
        <v>1646725</v>
      </c>
      <c r="H336" t="s">
        <v>532</v>
      </c>
      <c r="I336" t="s">
        <v>528</v>
      </c>
      <c r="J336" s="51">
        <v>3.2500000000000001E-2</v>
      </c>
      <c r="K336" t="s">
        <v>160</v>
      </c>
      <c r="L336" t="s">
        <v>533</v>
      </c>
      <c r="M336" t="s">
        <v>534</v>
      </c>
      <c r="N336" t="s">
        <v>143</v>
      </c>
      <c r="O336" t="s">
        <v>144</v>
      </c>
      <c r="P336" t="s">
        <v>165</v>
      </c>
      <c r="Q336" t="s">
        <v>467</v>
      </c>
      <c r="R336" t="s">
        <v>167</v>
      </c>
      <c r="S336" t="s">
        <v>168</v>
      </c>
      <c r="T336" t="s">
        <v>169</v>
      </c>
      <c r="U336" t="s">
        <v>183</v>
      </c>
      <c r="V336">
        <v>2</v>
      </c>
      <c r="W336" t="s">
        <v>170</v>
      </c>
      <c r="X336" t="s">
        <v>2462</v>
      </c>
      <c r="Y336" t="s">
        <v>153</v>
      </c>
      <c r="Z336" s="53" t="s">
        <v>2463</v>
      </c>
      <c r="AA336">
        <v>1</v>
      </c>
      <c r="AB336">
        <v>1</v>
      </c>
      <c r="AC336"/>
      <c r="AD336"/>
      <c r="AE336"/>
      <c r="AF336"/>
      <c r="BD336" s="3">
        <v>0</v>
      </c>
      <c r="BG336" t="str">
        <f t="shared" si="5"/>
        <v/>
      </c>
      <c r="BH336" s="3" t="str" cm="1">
        <f t="array" ref="BH336">IF(AE336=1, _xlfn.TEXTJOIN(" &amp; ", TRUE, _xlfn._xlws.FILTER($AG$2:$BC$2, AG336:BC336=1)), "")</f>
        <v/>
      </c>
    </row>
    <row r="337" spans="1:60" x14ac:dyDescent="0.3">
      <c r="A337" t="s">
        <v>528</v>
      </c>
      <c r="B337" t="s">
        <v>2464</v>
      </c>
      <c r="C337" t="s">
        <v>530</v>
      </c>
      <c r="D337">
        <v>2022</v>
      </c>
      <c r="E337" s="52" t="s">
        <v>2465</v>
      </c>
      <c r="F337">
        <v>1923190</v>
      </c>
      <c r="G337">
        <v>1927970</v>
      </c>
      <c r="H337" t="s">
        <v>532</v>
      </c>
      <c r="I337" t="s">
        <v>528</v>
      </c>
      <c r="J337" s="51">
        <v>3.2500000000000001E-2</v>
      </c>
      <c r="K337" t="s">
        <v>160</v>
      </c>
      <c r="L337" t="s">
        <v>533</v>
      </c>
      <c r="M337" t="s">
        <v>534</v>
      </c>
      <c r="N337" t="s">
        <v>143</v>
      </c>
      <c r="O337" t="s">
        <v>144</v>
      </c>
      <c r="P337" t="s">
        <v>165</v>
      </c>
      <c r="Q337" t="s">
        <v>467</v>
      </c>
      <c r="R337" t="s">
        <v>167</v>
      </c>
      <c r="S337" t="s">
        <v>168</v>
      </c>
      <c r="T337" t="s">
        <v>169</v>
      </c>
      <c r="U337" t="s">
        <v>183</v>
      </c>
      <c r="V337">
        <v>2</v>
      </c>
      <c r="W337" t="s">
        <v>170</v>
      </c>
      <c r="X337" t="s">
        <v>2466</v>
      </c>
      <c r="Y337" t="s">
        <v>153</v>
      </c>
      <c r="Z337" s="53" t="s">
        <v>2467</v>
      </c>
      <c r="AA337">
        <v>1</v>
      </c>
      <c r="AB337"/>
      <c r="AC337">
        <v>1</v>
      </c>
      <c r="AD337"/>
      <c r="AE337"/>
      <c r="AF337"/>
      <c r="BD337" s="3">
        <f t="shared" ref="BD337:BD339" si="6">IF(SUM(COUNTIF(AG337:AO337,1), COUNTIF(AP337:AU337,1), COUNTIF(AX337:BC337,1))&gt;1, 1, 0)</f>
        <v>0</v>
      </c>
      <c r="BG337" t="str">
        <f t="shared" si="5"/>
        <v/>
      </c>
      <c r="BH337" s="3" t="str" cm="1">
        <f t="array" ref="BH337">IF(AE337=1, _xlfn.TEXTJOIN(" &amp; ", TRUE, _xlfn._xlws.FILTER($AG$2:$BC$2, AG337:BC337=1)), "")</f>
        <v/>
      </c>
    </row>
    <row r="338" spans="1:60" x14ac:dyDescent="0.3">
      <c r="A338" t="s">
        <v>528</v>
      </c>
      <c r="B338" t="s">
        <v>2468</v>
      </c>
      <c r="C338" t="s">
        <v>530</v>
      </c>
      <c r="D338">
        <v>2022</v>
      </c>
      <c r="E338" s="52" t="s">
        <v>2469</v>
      </c>
      <c r="F338">
        <v>2765589</v>
      </c>
      <c r="G338">
        <v>2771488</v>
      </c>
      <c r="H338" t="s">
        <v>532</v>
      </c>
      <c r="I338" t="s">
        <v>528</v>
      </c>
      <c r="J338" s="51">
        <v>3.2500000000000001E-2</v>
      </c>
      <c r="K338" t="s">
        <v>160</v>
      </c>
      <c r="L338" t="s">
        <v>533</v>
      </c>
      <c r="M338" t="s">
        <v>534</v>
      </c>
      <c r="N338" t="s">
        <v>143</v>
      </c>
      <c r="O338" t="s">
        <v>144</v>
      </c>
      <c r="P338" t="s">
        <v>165</v>
      </c>
      <c r="Q338" t="s">
        <v>467</v>
      </c>
      <c r="R338" t="s">
        <v>167</v>
      </c>
      <c r="S338" t="s">
        <v>168</v>
      </c>
      <c r="T338" t="s">
        <v>169</v>
      </c>
      <c r="U338" t="s">
        <v>183</v>
      </c>
      <c r="V338">
        <v>2</v>
      </c>
      <c r="W338" t="s">
        <v>170</v>
      </c>
      <c r="X338" t="s">
        <v>2470</v>
      </c>
      <c r="Y338" t="s">
        <v>153</v>
      </c>
      <c r="Z338" s="53" t="s">
        <v>2471</v>
      </c>
      <c r="AA338">
        <v>1</v>
      </c>
      <c r="AB338"/>
      <c r="AC338">
        <v>1</v>
      </c>
      <c r="AD338"/>
      <c r="AE338"/>
      <c r="AF338"/>
      <c r="BD338" s="3">
        <f t="shared" si="6"/>
        <v>0</v>
      </c>
      <c r="BG338" t="str">
        <f t="shared" si="5"/>
        <v/>
      </c>
      <c r="BH338" s="3" t="str" cm="1">
        <f t="array" ref="BH338">IF(AE338=1, _xlfn.TEXTJOIN(" &amp; ", TRUE, _xlfn._xlws.FILTER($AG$2:$BC$2, AG338:BC338=1)), "")</f>
        <v/>
      </c>
    </row>
    <row r="339" spans="1:60" x14ac:dyDescent="0.3">
      <c r="A339" t="s">
        <v>2472</v>
      </c>
      <c r="B339" t="s">
        <v>2473</v>
      </c>
      <c r="C339" t="s">
        <v>2474</v>
      </c>
      <c r="D339">
        <v>2019</v>
      </c>
      <c r="E339" s="52" t="s">
        <v>2475</v>
      </c>
      <c r="F339">
        <v>312576</v>
      </c>
      <c r="G339">
        <v>313639</v>
      </c>
      <c r="H339" t="s">
        <v>1878</v>
      </c>
      <c r="I339" t="s">
        <v>2472</v>
      </c>
      <c r="J339" s="51">
        <v>1.6145833333333335E-2</v>
      </c>
      <c r="K339" t="s">
        <v>140</v>
      </c>
      <c r="L339" t="s">
        <v>2476</v>
      </c>
      <c r="M339" t="s">
        <v>2477</v>
      </c>
      <c r="N339" t="s">
        <v>143</v>
      </c>
      <c r="O339" t="s">
        <v>144</v>
      </c>
      <c r="P339" t="s">
        <v>165</v>
      </c>
      <c r="Q339" t="s">
        <v>146</v>
      </c>
      <c r="R339" t="s">
        <v>147</v>
      </c>
      <c r="S339" t="s">
        <v>148</v>
      </c>
      <c r="T339" t="s">
        <v>169</v>
      </c>
      <c r="U339" t="s">
        <v>151</v>
      </c>
      <c r="V339">
        <v>4</v>
      </c>
      <c r="W339" t="s">
        <v>150</v>
      </c>
      <c r="X339" t="s">
        <v>2478</v>
      </c>
      <c r="Y339" t="s">
        <v>153</v>
      </c>
      <c r="Z339" s="53" t="s">
        <v>2479</v>
      </c>
      <c r="AA339">
        <v>1</v>
      </c>
      <c r="AB339"/>
      <c r="AC339">
        <v>1</v>
      </c>
      <c r="AD339"/>
      <c r="AE339"/>
      <c r="AF339"/>
      <c r="BD339" s="3">
        <f t="shared" si="6"/>
        <v>0</v>
      </c>
      <c r="BG339" t="str">
        <f t="shared" si="5"/>
        <v/>
      </c>
      <c r="BH339" s="3" t="str" cm="1">
        <f t="array" ref="BH339">IF(AE339=1, _xlfn.TEXTJOIN(" &amp; ", TRUE, _xlfn._xlws.FILTER($AG$2:$BC$2, AG339:BC339=1)), "")</f>
        <v/>
      </c>
    </row>
    <row r="340" spans="1:60" x14ac:dyDescent="0.3">
      <c r="A340" t="s">
        <v>2472</v>
      </c>
      <c r="B340" t="s">
        <v>2480</v>
      </c>
      <c r="C340" t="s">
        <v>2474</v>
      </c>
      <c r="D340">
        <v>2019</v>
      </c>
      <c r="E340" s="52" t="s">
        <v>2481</v>
      </c>
      <c r="F340">
        <v>517415</v>
      </c>
      <c r="G340">
        <v>519949</v>
      </c>
      <c r="H340" t="s">
        <v>2482</v>
      </c>
      <c r="I340" t="s">
        <v>2472</v>
      </c>
      <c r="J340" s="51">
        <v>1.6145833333333335E-2</v>
      </c>
      <c r="K340" t="s">
        <v>140</v>
      </c>
      <c r="L340" t="s">
        <v>2476</v>
      </c>
      <c r="M340" t="s">
        <v>2477</v>
      </c>
      <c r="N340" t="s">
        <v>143</v>
      </c>
      <c r="O340" t="s">
        <v>164</v>
      </c>
      <c r="P340" t="s">
        <v>165</v>
      </c>
      <c r="Q340" t="s">
        <v>146</v>
      </c>
      <c r="R340" t="s">
        <v>147</v>
      </c>
      <c r="S340" t="s">
        <v>148</v>
      </c>
      <c r="T340" t="s">
        <v>169</v>
      </c>
      <c r="U340" t="s">
        <v>151</v>
      </c>
      <c r="V340">
        <v>4</v>
      </c>
      <c r="W340" t="s">
        <v>150</v>
      </c>
      <c r="X340" t="s">
        <v>2483</v>
      </c>
      <c r="Y340" t="s">
        <v>153</v>
      </c>
      <c r="Z340" s="53" t="s">
        <v>2484</v>
      </c>
      <c r="AA340">
        <v>1</v>
      </c>
      <c r="AB340">
        <v>1</v>
      </c>
      <c r="AC340"/>
      <c r="AD340"/>
      <c r="AE340"/>
      <c r="AF340"/>
      <c r="BG340" t="str">
        <f t="shared" si="5"/>
        <v/>
      </c>
      <c r="BH340" s="3" t="str" cm="1">
        <f t="array" ref="BH340">IF(AE340=1, _xlfn.TEXTJOIN(" &amp; ", TRUE, _xlfn._xlws.FILTER($AG$2:$BC$2, AG340:BC340=1)), "")</f>
        <v/>
      </c>
    </row>
    <row r="341" spans="1:60" x14ac:dyDescent="0.3">
      <c r="A341" t="s">
        <v>2472</v>
      </c>
      <c r="B341" t="s">
        <v>2485</v>
      </c>
      <c r="C341" t="s">
        <v>2474</v>
      </c>
      <c r="D341">
        <v>2019</v>
      </c>
      <c r="E341" s="52" t="s">
        <v>2486</v>
      </c>
      <c r="F341">
        <v>762416</v>
      </c>
      <c r="G341">
        <v>763523</v>
      </c>
      <c r="H341" t="s">
        <v>2487</v>
      </c>
      <c r="I341" t="s">
        <v>2472</v>
      </c>
      <c r="J341" s="51">
        <v>1.6145833333333335E-2</v>
      </c>
      <c r="K341" t="s">
        <v>140</v>
      </c>
      <c r="L341" t="s">
        <v>2476</v>
      </c>
      <c r="M341" t="s">
        <v>2477</v>
      </c>
      <c r="N341" t="s">
        <v>143</v>
      </c>
      <c r="O341" t="s">
        <v>164</v>
      </c>
      <c r="P341" t="s">
        <v>165</v>
      </c>
      <c r="Q341" t="s">
        <v>146</v>
      </c>
      <c r="R341" t="s">
        <v>147</v>
      </c>
      <c r="S341" t="s">
        <v>148</v>
      </c>
      <c r="T341" t="s">
        <v>169</v>
      </c>
      <c r="U341" t="s">
        <v>151</v>
      </c>
      <c r="V341">
        <v>4</v>
      </c>
      <c r="W341" t="s">
        <v>150</v>
      </c>
      <c r="X341" t="s">
        <v>2488</v>
      </c>
      <c r="Y341" t="s">
        <v>153</v>
      </c>
      <c r="Z341" s="53" t="s">
        <v>2489</v>
      </c>
      <c r="AA341">
        <v>1</v>
      </c>
      <c r="AB341"/>
      <c r="AC341">
        <v>1</v>
      </c>
      <c r="AD341"/>
      <c r="AE341"/>
      <c r="AF341"/>
      <c r="BG341" t="str">
        <f t="shared" si="5"/>
        <v/>
      </c>
      <c r="BH341" s="3" t="str" cm="1">
        <f t="array" ref="BH341">IF(AE341=1, _xlfn.TEXTJOIN(" &amp; ", TRUE, _xlfn._xlws.FILTER($AG$2:$BC$2, AG341:BC341=1)), "")</f>
        <v/>
      </c>
    </row>
    <row r="342" spans="1:60" x14ac:dyDescent="0.3">
      <c r="A342" t="s">
        <v>2472</v>
      </c>
      <c r="B342" t="s">
        <v>2490</v>
      </c>
      <c r="C342" t="s">
        <v>2474</v>
      </c>
      <c r="D342">
        <v>2019</v>
      </c>
      <c r="E342" s="52" t="s">
        <v>2491</v>
      </c>
      <c r="F342">
        <v>851220</v>
      </c>
      <c r="G342">
        <v>854188</v>
      </c>
      <c r="H342" t="s">
        <v>2482</v>
      </c>
      <c r="I342" t="s">
        <v>2472</v>
      </c>
      <c r="J342" s="51">
        <v>1.6145833333333335E-2</v>
      </c>
      <c r="K342" t="s">
        <v>140</v>
      </c>
      <c r="L342" t="s">
        <v>2476</v>
      </c>
      <c r="M342" t="s">
        <v>2477</v>
      </c>
      <c r="N342" t="s">
        <v>143</v>
      </c>
      <c r="O342" t="s">
        <v>164</v>
      </c>
      <c r="P342" t="s">
        <v>165</v>
      </c>
      <c r="Q342" t="s">
        <v>146</v>
      </c>
      <c r="R342" t="s">
        <v>147</v>
      </c>
      <c r="S342" t="s">
        <v>148</v>
      </c>
      <c r="T342" t="s">
        <v>169</v>
      </c>
      <c r="U342" t="s">
        <v>151</v>
      </c>
      <c r="V342">
        <v>4</v>
      </c>
      <c r="W342" t="s">
        <v>150</v>
      </c>
      <c r="X342" t="s">
        <v>2492</v>
      </c>
      <c r="Y342" t="s">
        <v>153</v>
      </c>
      <c r="Z342" s="53" t="s">
        <v>2493</v>
      </c>
      <c r="AA342">
        <v>1</v>
      </c>
      <c r="AB342"/>
      <c r="AC342">
        <v>1</v>
      </c>
      <c r="AD342"/>
      <c r="AE342"/>
      <c r="AF342"/>
      <c r="BG342" t="str">
        <f t="shared" si="5"/>
        <v/>
      </c>
      <c r="BH342" s="3" t="str" cm="1">
        <f t="array" ref="BH342">IF(AE342=1, _xlfn.TEXTJOIN(" &amp; ", TRUE, _xlfn._xlws.FILTER($AG$2:$BC$2, AG342:BC342=1)), "")</f>
        <v/>
      </c>
    </row>
    <row r="343" spans="1:60" x14ac:dyDescent="0.3">
      <c r="A343" t="s">
        <v>2494</v>
      </c>
      <c r="B343" t="s">
        <v>2495</v>
      </c>
      <c r="C343" t="s">
        <v>2496</v>
      </c>
      <c r="D343">
        <v>2019</v>
      </c>
      <c r="E343" s="52" t="s">
        <v>2497</v>
      </c>
      <c r="F343">
        <v>1395050</v>
      </c>
      <c r="G343">
        <v>1401510</v>
      </c>
      <c r="H343" t="s">
        <v>2498</v>
      </c>
      <c r="I343" t="s">
        <v>2494</v>
      </c>
      <c r="J343" s="51">
        <v>1.9212962962962963E-2</v>
      </c>
      <c r="K343" t="s">
        <v>160</v>
      </c>
      <c r="L343" t="s">
        <v>2499</v>
      </c>
      <c r="M343" t="s">
        <v>2500</v>
      </c>
      <c r="N343" t="s">
        <v>143</v>
      </c>
      <c r="O343" t="s">
        <v>144</v>
      </c>
      <c r="P343" t="s">
        <v>145</v>
      </c>
      <c r="Q343" t="s">
        <v>146</v>
      </c>
      <c r="R343" t="s">
        <v>167</v>
      </c>
      <c r="S343" t="s">
        <v>148</v>
      </c>
      <c r="T343" t="s">
        <v>714</v>
      </c>
      <c r="U343" t="s">
        <v>151</v>
      </c>
      <c r="V343">
        <v>3</v>
      </c>
      <c r="W343" t="s">
        <v>170</v>
      </c>
      <c r="X343" t="s">
        <v>2501</v>
      </c>
      <c r="Y343" t="s">
        <v>153</v>
      </c>
      <c r="Z343" s="53" t="s">
        <v>2502</v>
      </c>
      <c r="AA343"/>
      <c r="AB343"/>
      <c r="AC343"/>
      <c r="AD343"/>
      <c r="AE343">
        <v>1</v>
      </c>
      <c r="AF343">
        <v>1</v>
      </c>
      <c r="AM343" s="7">
        <v>1</v>
      </c>
      <c r="BG343" t="str">
        <f t="shared" si="5"/>
        <v>Interazionale</v>
      </c>
      <c r="BH343" s="3" t="str" cm="1">
        <f t="array" ref="BH343">IF(AE343=1, _xlfn.TEXTJOIN(" &amp; ", TRUE, _xlfn._xlws.FILTER($AG$2:$BC$2, AG343:BC343=1)), "")</f>
        <v>Marcatura della conoscenza condivisa</v>
      </c>
    </row>
    <row r="344" spans="1:60" x14ac:dyDescent="0.3">
      <c r="A344" t="s">
        <v>537</v>
      </c>
      <c r="B344" t="s">
        <v>2503</v>
      </c>
      <c r="C344" t="s">
        <v>538</v>
      </c>
      <c r="D344" t="s">
        <v>204</v>
      </c>
      <c r="E344" s="52" t="s">
        <v>2504</v>
      </c>
      <c r="F344">
        <v>1375730</v>
      </c>
      <c r="G344">
        <v>1377464</v>
      </c>
      <c r="H344" t="s">
        <v>512</v>
      </c>
      <c r="I344" t="s">
        <v>537</v>
      </c>
      <c r="J344" s="51">
        <v>2.3009259259259261E-2</v>
      </c>
      <c r="K344" t="s">
        <v>160</v>
      </c>
      <c r="L344" t="s">
        <v>539</v>
      </c>
      <c r="M344" t="s">
        <v>540</v>
      </c>
      <c r="N344" t="s">
        <v>143</v>
      </c>
      <c r="O344" t="s">
        <v>144</v>
      </c>
      <c r="P344" t="s">
        <v>165</v>
      </c>
      <c r="Q344" t="s">
        <v>146</v>
      </c>
      <c r="R344" t="s">
        <v>167</v>
      </c>
      <c r="S344" t="s">
        <v>148</v>
      </c>
      <c r="T344" t="s">
        <v>288</v>
      </c>
      <c r="U344" t="s">
        <v>151</v>
      </c>
      <c r="V344">
        <v>3</v>
      </c>
      <c r="W344" t="s">
        <v>170</v>
      </c>
      <c r="X344" t="s">
        <v>2505</v>
      </c>
      <c r="Y344" t="s">
        <v>153</v>
      </c>
      <c r="Z344" s="53" t="s">
        <v>2506</v>
      </c>
      <c r="AA344">
        <v>1</v>
      </c>
      <c r="AB344"/>
      <c r="AC344">
        <v>1</v>
      </c>
      <c r="AD344"/>
      <c r="AE344"/>
      <c r="AF344"/>
      <c r="BG344" t="str">
        <f t="shared" si="5"/>
        <v/>
      </c>
      <c r="BH344" s="3" t="str" cm="1">
        <f t="array" ref="BH344">IF(AE344=1, _xlfn.TEXTJOIN(" &amp; ", TRUE, _xlfn._xlws.FILTER($AG$2:$BC$2, AG344:BC344=1)), "")</f>
        <v/>
      </c>
    </row>
    <row r="345" spans="1:60" x14ac:dyDescent="0.3">
      <c r="A345" t="s">
        <v>541</v>
      </c>
      <c r="B345" t="s">
        <v>2507</v>
      </c>
      <c r="C345" t="s">
        <v>543</v>
      </c>
      <c r="D345">
        <v>2020</v>
      </c>
      <c r="E345" s="52" t="s">
        <v>2508</v>
      </c>
      <c r="F345">
        <v>46248</v>
      </c>
      <c r="G345">
        <v>49200</v>
      </c>
      <c r="H345" t="s">
        <v>545</v>
      </c>
      <c r="I345" t="s">
        <v>541</v>
      </c>
      <c r="J345" s="51">
        <v>2.4328703703703703E-2</v>
      </c>
      <c r="K345" t="s">
        <v>140</v>
      </c>
      <c r="L345" t="s">
        <v>546</v>
      </c>
      <c r="M345" t="s">
        <v>547</v>
      </c>
      <c r="N345" t="s">
        <v>415</v>
      </c>
      <c r="O345" t="s">
        <v>164</v>
      </c>
      <c r="P345" t="s">
        <v>165</v>
      </c>
      <c r="Q345" t="s">
        <v>179</v>
      </c>
      <c r="R345" t="s">
        <v>147</v>
      </c>
      <c r="S345" t="s">
        <v>148</v>
      </c>
      <c r="T345" t="s">
        <v>169</v>
      </c>
      <c r="U345" t="s">
        <v>198</v>
      </c>
      <c r="V345">
        <v>4</v>
      </c>
      <c r="W345" t="s">
        <v>269</v>
      </c>
      <c r="X345" t="s">
        <v>2509</v>
      </c>
      <c r="Y345" t="s">
        <v>153</v>
      </c>
      <c r="Z345" s="53" t="s">
        <v>2510</v>
      </c>
      <c r="AA345"/>
      <c r="AB345"/>
      <c r="AC345"/>
      <c r="AD345"/>
      <c r="AE345">
        <v>1</v>
      </c>
      <c r="AF345"/>
      <c r="AP345" s="9">
        <v>1</v>
      </c>
      <c r="BG345" t="str">
        <f t="shared" si="5"/>
        <v>Metatestuale</v>
      </c>
      <c r="BH345" s="3" t="str" cm="1">
        <f t="array" ref="BH345">IF(AE345=1, _xlfn.TEXTJOIN(" &amp; ", TRUE, _xlfn._xlws.FILTER($AG$2:$BC$2, AG345:BC345=1)), "")</f>
        <v>Gestione del topic: introduzione o ripresa di topic</v>
      </c>
    </row>
    <row r="346" spans="1:60" x14ac:dyDescent="0.3">
      <c r="A346" t="s">
        <v>541</v>
      </c>
      <c r="B346" t="s">
        <v>2512</v>
      </c>
      <c r="C346" t="s">
        <v>543</v>
      </c>
      <c r="D346">
        <v>2020</v>
      </c>
      <c r="E346" s="52" t="s">
        <v>2513</v>
      </c>
      <c r="F346">
        <v>895717</v>
      </c>
      <c r="G346">
        <v>897997</v>
      </c>
      <c r="H346" t="s">
        <v>545</v>
      </c>
      <c r="I346" t="s">
        <v>541</v>
      </c>
      <c r="J346" s="51">
        <v>2.4328703703703703E-2</v>
      </c>
      <c r="K346" t="s">
        <v>140</v>
      </c>
      <c r="L346" t="s">
        <v>546</v>
      </c>
      <c r="M346" t="s">
        <v>547</v>
      </c>
      <c r="N346" t="s">
        <v>415</v>
      </c>
      <c r="O346" t="s">
        <v>164</v>
      </c>
      <c r="P346" t="s">
        <v>165</v>
      </c>
      <c r="Q346" t="s">
        <v>179</v>
      </c>
      <c r="R346" t="s">
        <v>147</v>
      </c>
      <c r="S346" t="s">
        <v>148</v>
      </c>
      <c r="T346" t="s">
        <v>169</v>
      </c>
      <c r="U346" t="s">
        <v>198</v>
      </c>
      <c r="V346">
        <v>4</v>
      </c>
      <c r="W346" t="s">
        <v>269</v>
      </c>
      <c r="X346" t="s">
        <v>2514</v>
      </c>
      <c r="Y346" t="s">
        <v>153</v>
      </c>
      <c r="Z346" s="53" t="s">
        <v>2515</v>
      </c>
      <c r="AA346"/>
      <c r="AB346"/>
      <c r="AC346"/>
      <c r="AD346"/>
      <c r="AE346">
        <v>1</v>
      </c>
      <c r="AF346"/>
      <c r="AH346" s="8">
        <v>1</v>
      </c>
      <c r="BG346" t="str">
        <f t="shared" si="5"/>
        <v>Interazionale</v>
      </c>
      <c r="BH346" s="3" t="str" cm="1">
        <f t="array" ref="BH346">IF(AE346=1, _xlfn.TEXTJOIN(" &amp; ", TRUE, _xlfn._xlws.FILTER($AG$2:$BC$2, AG346:BC346=1)), "")</f>
        <v>Richiesta di accordo/conferma</v>
      </c>
    </row>
    <row r="347" spans="1:60" x14ac:dyDescent="0.3">
      <c r="A347" t="s">
        <v>541</v>
      </c>
      <c r="B347" t="s">
        <v>2516</v>
      </c>
      <c r="C347" t="s">
        <v>543</v>
      </c>
      <c r="D347">
        <v>2020</v>
      </c>
      <c r="E347" s="52" t="s">
        <v>2517</v>
      </c>
      <c r="F347">
        <v>948922</v>
      </c>
      <c r="G347">
        <v>951212</v>
      </c>
      <c r="H347" t="s">
        <v>2518</v>
      </c>
      <c r="I347" t="s">
        <v>541</v>
      </c>
      <c r="J347" s="51">
        <v>2.4328703703703703E-2</v>
      </c>
      <c r="K347" t="s">
        <v>140</v>
      </c>
      <c r="L347" t="s">
        <v>546</v>
      </c>
      <c r="M347" t="s">
        <v>547</v>
      </c>
      <c r="N347" t="s">
        <v>163</v>
      </c>
      <c r="O347" t="s">
        <v>164</v>
      </c>
      <c r="P347" t="s">
        <v>165</v>
      </c>
      <c r="Q347" t="s">
        <v>699</v>
      </c>
      <c r="R347" t="s">
        <v>147</v>
      </c>
      <c r="S347" t="s">
        <v>148</v>
      </c>
      <c r="T347" t="s">
        <v>169</v>
      </c>
      <c r="U347" t="s">
        <v>171</v>
      </c>
      <c r="V347">
        <v>4</v>
      </c>
      <c r="W347" t="s">
        <v>269</v>
      </c>
      <c r="X347" t="s">
        <v>2519</v>
      </c>
      <c r="Y347" t="s">
        <v>153</v>
      </c>
      <c r="Z347" s="53" t="s">
        <v>2520</v>
      </c>
      <c r="AA347">
        <v>1</v>
      </c>
      <c r="AB347">
        <v>1</v>
      </c>
      <c r="AC347"/>
      <c r="AD347"/>
      <c r="AE347"/>
      <c r="AF347"/>
      <c r="BG347" t="str">
        <f t="shared" si="5"/>
        <v/>
      </c>
      <c r="BH347" s="3" t="str" cm="1">
        <f t="array" ref="BH347">IF(AE347=1, _xlfn.TEXTJOIN(" &amp; ", TRUE, _xlfn._xlws.FILTER($AG$2:$BC$2, AG347:BC347=1)), "")</f>
        <v/>
      </c>
    </row>
    <row r="348" spans="1:60" x14ac:dyDescent="0.3">
      <c r="A348" t="s">
        <v>541</v>
      </c>
      <c r="B348" t="s">
        <v>2521</v>
      </c>
      <c r="C348" t="s">
        <v>543</v>
      </c>
      <c r="D348">
        <v>2020</v>
      </c>
      <c r="E348" s="52" t="s">
        <v>2522</v>
      </c>
      <c r="F348">
        <v>1347226</v>
      </c>
      <c r="G348">
        <v>1348606</v>
      </c>
      <c r="H348" t="s">
        <v>545</v>
      </c>
      <c r="I348" t="s">
        <v>541</v>
      </c>
      <c r="J348" s="51">
        <v>2.4328703703703703E-2</v>
      </c>
      <c r="K348" t="s">
        <v>140</v>
      </c>
      <c r="L348" t="s">
        <v>546</v>
      </c>
      <c r="M348" t="s">
        <v>547</v>
      </c>
      <c r="N348" t="s">
        <v>415</v>
      </c>
      <c r="O348" t="s">
        <v>164</v>
      </c>
      <c r="P348" t="s">
        <v>165</v>
      </c>
      <c r="Q348" t="s">
        <v>179</v>
      </c>
      <c r="R348" t="s">
        <v>147</v>
      </c>
      <c r="S348" t="s">
        <v>148</v>
      </c>
      <c r="T348" t="s">
        <v>169</v>
      </c>
      <c r="U348" t="s">
        <v>198</v>
      </c>
      <c r="V348">
        <v>4</v>
      </c>
      <c r="W348" t="s">
        <v>269</v>
      </c>
      <c r="X348" t="s">
        <v>2523</v>
      </c>
      <c r="Y348" t="s">
        <v>153</v>
      </c>
      <c r="Z348" s="53" t="s">
        <v>2524</v>
      </c>
      <c r="AA348">
        <v>1</v>
      </c>
      <c r="AB348"/>
      <c r="AC348">
        <v>1</v>
      </c>
      <c r="AD348"/>
      <c r="AE348"/>
      <c r="AF348"/>
      <c r="BG348" t="str">
        <f t="shared" si="5"/>
        <v/>
      </c>
      <c r="BH348" s="3" t="str" cm="1">
        <f t="array" ref="BH348">IF(AE348=1, _xlfn.TEXTJOIN(" &amp; ", TRUE, _xlfn._xlws.FILTER($AG$2:$BC$2, AG348:BC348=1)), "")</f>
        <v/>
      </c>
    </row>
    <row r="349" spans="1:60" x14ac:dyDescent="0.3">
      <c r="A349" t="s">
        <v>541</v>
      </c>
      <c r="B349" t="s">
        <v>2525</v>
      </c>
      <c r="C349" t="s">
        <v>543</v>
      </c>
      <c r="D349">
        <v>2020</v>
      </c>
      <c r="E349" s="52" t="s">
        <v>2526</v>
      </c>
      <c r="F349">
        <v>1412529</v>
      </c>
      <c r="G349">
        <v>1413969</v>
      </c>
      <c r="H349" t="s">
        <v>545</v>
      </c>
      <c r="I349" t="s">
        <v>541</v>
      </c>
      <c r="J349" s="51">
        <v>2.4328703703703703E-2</v>
      </c>
      <c r="K349" t="s">
        <v>140</v>
      </c>
      <c r="L349" t="s">
        <v>546</v>
      </c>
      <c r="M349" t="s">
        <v>547</v>
      </c>
      <c r="N349" t="s">
        <v>415</v>
      </c>
      <c r="O349" t="s">
        <v>164</v>
      </c>
      <c r="P349" t="s">
        <v>165</v>
      </c>
      <c r="Q349" t="s">
        <v>179</v>
      </c>
      <c r="R349" t="s">
        <v>147</v>
      </c>
      <c r="S349" t="s">
        <v>148</v>
      </c>
      <c r="T349" t="s">
        <v>169</v>
      </c>
      <c r="U349" t="s">
        <v>198</v>
      </c>
      <c r="V349">
        <v>4</v>
      </c>
      <c r="W349" t="s">
        <v>269</v>
      </c>
      <c r="X349" t="s">
        <v>2527</v>
      </c>
      <c r="Y349" t="s">
        <v>153</v>
      </c>
      <c r="Z349" s="53" t="s">
        <v>2528</v>
      </c>
      <c r="AA349">
        <v>1</v>
      </c>
      <c r="AB349"/>
      <c r="AC349">
        <v>1</v>
      </c>
      <c r="AD349"/>
      <c r="AE349"/>
      <c r="AF349"/>
      <c r="BG349" t="str">
        <f t="shared" si="5"/>
        <v/>
      </c>
      <c r="BH349" s="3" t="str" cm="1">
        <f t="array" ref="BH349">IF(AE349=1, _xlfn.TEXTJOIN(" &amp; ", TRUE, _xlfn._xlws.FILTER($AG$2:$BC$2, AG349:BC349=1)), "")</f>
        <v/>
      </c>
    </row>
    <row r="350" spans="1:60" x14ac:dyDescent="0.3">
      <c r="A350" t="s">
        <v>541</v>
      </c>
      <c r="B350" t="s">
        <v>542</v>
      </c>
      <c r="C350" t="s">
        <v>543</v>
      </c>
      <c r="D350">
        <v>2020</v>
      </c>
      <c r="E350" s="52" t="s">
        <v>544</v>
      </c>
      <c r="F350">
        <v>1414169</v>
      </c>
      <c r="G350">
        <v>1415889</v>
      </c>
      <c r="H350" t="s">
        <v>545</v>
      </c>
      <c r="I350" t="s">
        <v>541</v>
      </c>
      <c r="J350" s="51">
        <v>2.4328703703703703E-2</v>
      </c>
      <c r="K350" t="s">
        <v>140</v>
      </c>
      <c r="L350" t="s">
        <v>546</v>
      </c>
      <c r="M350" t="s">
        <v>547</v>
      </c>
      <c r="N350" t="s">
        <v>415</v>
      </c>
      <c r="O350" t="s">
        <v>164</v>
      </c>
      <c r="P350" t="s">
        <v>165</v>
      </c>
      <c r="Q350" t="s">
        <v>179</v>
      </c>
      <c r="R350" t="s">
        <v>147</v>
      </c>
      <c r="S350" t="s">
        <v>148</v>
      </c>
      <c r="T350" t="s">
        <v>169</v>
      </c>
      <c r="U350" t="s">
        <v>198</v>
      </c>
      <c r="V350">
        <v>4</v>
      </c>
      <c r="W350" t="s">
        <v>269</v>
      </c>
      <c r="X350" t="s">
        <v>548</v>
      </c>
      <c r="Y350" t="s">
        <v>153</v>
      </c>
      <c r="Z350" s="53" t="s">
        <v>549</v>
      </c>
      <c r="AA350">
        <v>1</v>
      </c>
      <c r="AB350"/>
      <c r="AC350">
        <v>1</v>
      </c>
      <c r="AD350"/>
      <c r="AE350"/>
      <c r="AF350"/>
      <c r="BG350" t="str">
        <f t="shared" si="5"/>
        <v/>
      </c>
      <c r="BH350" s="3" t="str" cm="1">
        <f t="array" ref="BH350">IF(AE350=1, _xlfn.TEXTJOIN(" &amp; ", TRUE, _xlfn._xlws.FILTER($AG$2:$BC$2, AG350:BC350=1)), "")</f>
        <v/>
      </c>
    </row>
    <row r="351" spans="1:60" x14ac:dyDescent="0.3">
      <c r="A351" t="s">
        <v>541</v>
      </c>
      <c r="B351" t="s">
        <v>2529</v>
      </c>
      <c r="C351" t="s">
        <v>543</v>
      </c>
      <c r="D351">
        <v>2020</v>
      </c>
      <c r="E351" s="52" t="s">
        <v>2530</v>
      </c>
      <c r="F351">
        <v>1480649</v>
      </c>
      <c r="G351">
        <v>1481989</v>
      </c>
      <c r="H351" t="s">
        <v>545</v>
      </c>
      <c r="I351" t="s">
        <v>541</v>
      </c>
      <c r="J351" s="51">
        <v>2.4328703703703703E-2</v>
      </c>
      <c r="K351" t="s">
        <v>140</v>
      </c>
      <c r="L351" t="s">
        <v>546</v>
      </c>
      <c r="M351" t="s">
        <v>547</v>
      </c>
      <c r="N351" t="s">
        <v>415</v>
      </c>
      <c r="O351" t="s">
        <v>164</v>
      </c>
      <c r="P351" t="s">
        <v>165</v>
      </c>
      <c r="Q351" t="s">
        <v>179</v>
      </c>
      <c r="R351" t="s">
        <v>147</v>
      </c>
      <c r="S351" t="s">
        <v>148</v>
      </c>
      <c r="T351" t="s">
        <v>169</v>
      </c>
      <c r="U351" t="s">
        <v>198</v>
      </c>
      <c r="V351">
        <v>4</v>
      </c>
      <c r="W351" t="s">
        <v>269</v>
      </c>
      <c r="X351" t="s">
        <v>2531</v>
      </c>
      <c r="Y351" t="s">
        <v>153</v>
      </c>
      <c r="Z351" s="53" t="s">
        <v>2532</v>
      </c>
      <c r="AA351">
        <v>1</v>
      </c>
      <c r="AB351"/>
      <c r="AC351">
        <v>1</v>
      </c>
      <c r="AD351"/>
      <c r="AE351"/>
      <c r="AF351"/>
      <c r="BG351" t="str">
        <f t="shared" si="5"/>
        <v/>
      </c>
      <c r="BH351" s="3" t="str" cm="1">
        <f t="array" ref="BH351">IF(AE351=1, _xlfn.TEXTJOIN(" &amp; ", TRUE, _xlfn._xlws.FILTER($AG$2:$BC$2, AG351:BC351=1)), "")</f>
        <v/>
      </c>
    </row>
    <row r="352" spans="1:60" x14ac:dyDescent="0.3">
      <c r="A352" t="s">
        <v>541</v>
      </c>
      <c r="B352" t="s">
        <v>550</v>
      </c>
      <c r="C352" t="s">
        <v>543</v>
      </c>
      <c r="D352">
        <v>2020</v>
      </c>
      <c r="E352" s="52" t="s">
        <v>551</v>
      </c>
      <c r="F352">
        <v>1674788</v>
      </c>
      <c r="G352">
        <v>1676458</v>
      </c>
      <c r="H352" t="s">
        <v>545</v>
      </c>
      <c r="I352" t="s">
        <v>541</v>
      </c>
      <c r="J352" s="51">
        <v>2.4328703703703703E-2</v>
      </c>
      <c r="K352" t="s">
        <v>140</v>
      </c>
      <c r="L352" t="s">
        <v>546</v>
      </c>
      <c r="M352" t="s">
        <v>547</v>
      </c>
      <c r="N352" t="s">
        <v>415</v>
      </c>
      <c r="O352" t="s">
        <v>164</v>
      </c>
      <c r="P352" t="s">
        <v>165</v>
      </c>
      <c r="Q352" t="s">
        <v>179</v>
      </c>
      <c r="R352" t="s">
        <v>147</v>
      </c>
      <c r="S352" t="s">
        <v>148</v>
      </c>
      <c r="T352" t="s">
        <v>169</v>
      </c>
      <c r="U352" t="s">
        <v>198</v>
      </c>
      <c r="V352">
        <v>4</v>
      </c>
      <c r="W352" t="s">
        <v>269</v>
      </c>
      <c r="X352" t="s">
        <v>552</v>
      </c>
      <c r="Y352" t="s">
        <v>153</v>
      </c>
      <c r="Z352" s="53" t="s">
        <v>553</v>
      </c>
      <c r="AA352">
        <v>1</v>
      </c>
      <c r="AB352">
        <v>1</v>
      </c>
      <c r="AC352"/>
      <c r="AD352"/>
      <c r="AE352"/>
      <c r="AF352"/>
      <c r="BG352" t="str">
        <f t="shared" si="5"/>
        <v/>
      </c>
      <c r="BH352" s="3" t="str" cm="1">
        <f t="array" ref="BH352">IF(AE352=1, _xlfn.TEXTJOIN(" &amp; ", TRUE, _xlfn._xlws.FILTER($AG$2:$BC$2, AG352:BC352=1)), "")</f>
        <v/>
      </c>
    </row>
    <row r="353" spans="1:60" x14ac:dyDescent="0.3">
      <c r="A353" t="s">
        <v>541</v>
      </c>
      <c r="B353" t="s">
        <v>2533</v>
      </c>
      <c r="C353" t="s">
        <v>543</v>
      </c>
      <c r="D353">
        <v>2020</v>
      </c>
      <c r="E353" s="52" t="s">
        <v>2534</v>
      </c>
      <c r="F353">
        <v>1738347</v>
      </c>
      <c r="G353">
        <v>1739807</v>
      </c>
      <c r="H353" t="s">
        <v>545</v>
      </c>
      <c r="I353" t="s">
        <v>541</v>
      </c>
      <c r="J353" s="51">
        <v>2.4328703703703703E-2</v>
      </c>
      <c r="K353" t="s">
        <v>140</v>
      </c>
      <c r="L353" t="s">
        <v>546</v>
      </c>
      <c r="M353" t="s">
        <v>547</v>
      </c>
      <c r="N353" t="s">
        <v>415</v>
      </c>
      <c r="O353" t="s">
        <v>164</v>
      </c>
      <c r="P353" t="s">
        <v>165</v>
      </c>
      <c r="Q353" t="s">
        <v>179</v>
      </c>
      <c r="R353" t="s">
        <v>147</v>
      </c>
      <c r="S353" t="s">
        <v>148</v>
      </c>
      <c r="T353" t="s">
        <v>169</v>
      </c>
      <c r="U353" t="s">
        <v>198</v>
      </c>
      <c r="V353">
        <v>4</v>
      </c>
      <c r="W353" t="s">
        <v>269</v>
      </c>
      <c r="X353" t="s">
        <v>2535</v>
      </c>
      <c r="Y353" t="s">
        <v>153</v>
      </c>
      <c r="Z353" s="53" t="s">
        <v>2536</v>
      </c>
      <c r="AA353">
        <v>1</v>
      </c>
      <c r="AB353"/>
      <c r="AC353">
        <v>1</v>
      </c>
      <c r="AD353"/>
      <c r="AE353"/>
      <c r="AF353"/>
      <c r="BG353" t="str">
        <f t="shared" si="5"/>
        <v/>
      </c>
      <c r="BH353" s="3" t="str" cm="1">
        <f t="array" ref="BH353">IF(AE353=1, _xlfn.TEXTJOIN(" &amp; ", TRUE, _xlfn._xlws.FILTER($AG$2:$BC$2, AG353:BC353=1)), "")</f>
        <v/>
      </c>
    </row>
    <row r="354" spans="1:60" x14ac:dyDescent="0.3">
      <c r="A354" t="s">
        <v>541</v>
      </c>
      <c r="B354" t="s">
        <v>2537</v>
      </c>
      <c r="C354" t="s">
        <v>543</v>
      </c>
      <c r="D354">
        <v>2020</v>
      </c>
      <c r="E354" s="52" t="s">
        <v>2538</v>
      </c>
      <c r="F354">
        <v>1903292</v>
      </c>
      <c r="G354">
        <v>1904282</v>
      </c>
      <c r="H354" t="s">
        <v>2511</v>
      </c>
      <c r="I354" t="s">
        <v>541</v>
      </c>
      <c r="J354" s="51">
        <v>2.4328703703703703E-2</v>
      </c>
      <c r="K354" t="s">
        <v>140</v>
      </c>
      <c r="L354" t="s">
        <v>546</v>
      </c>
      <c r="M354" t="s">
        <v>547</v>
      </c>
      <c r="N354" t="s">
        <v>317</v>
      </c>
      <c r="O354" t="s">
        <v>164</v>
      </c>
      <c r="P354" t="s">
        <v>165</v>
      </c>
      <c r="Q354" t="s">
        <v>146</v>
      </c>
      <c r="R354" t="s">
        <v>147</v>
      </c>
      <c r="S354" t="s">
        <v>148</v>
      </c>
      <c r="T354" t="s">
        <v>169</v>
      </c>
      <c r="U354" t="s">
        <v>151</v>
      </c>
      <c r="V354">
        <v>4</v>
      </c>
      <c r="W354" t="s">
        <v>269</v>
      </c>
      <c r="X354" t="s">
        <v>2539</v>
      </c>
      <c r="Y354" t="s">
        <v>153</v>
      </c>
      <c r="Z354" s="53" t="s">
        <v>2540</v>
      </c>
      <c r="AA354">
        <v>1</v>
      </c>
      <c r="AB354"/>
      <c r="AC354"/>
      <c r="AD354">
        <v>1</v>
      </c>
      <c r="AE354"/>
      <c r="AF354"/>
      <c r="BG354" t="str">
        <f t="shared" si="5"/>
        <v/>
      </c>
      <c r="BH354" s="3" t="str" cm="1">
        <f t="array" ref="BH354">IF(AE354=1, _xlfn.TEXTJOIN(" &amp; ", TRUE, _xlfn._xlws.FILTER($AG$2:$BC$2, AG354:BC354=1)), "")</f>
        <v/>
      </c>
    </row>
    <row r="355" spans="1:60" x14ac:dyDescent="0.3">
      <c r="A355" t="s">
        <v>2541</v>
      </c>
      <c r="B355" t="s">
        <v>2542</v>
      </c>
      <c r="C355" t="s">
        <v>2543</v>
      </c>
      <c r="D355">
        <v>2022</v>
      </c>
      <c r="E355" s="52" t="s">
        <v>2544</v>
      </c>
      <c r="F355">
        <v>2508330</v>
      </c>
      <c r="G355">
        <v>2514240</v>
      </c>
      <c r="H355" t="s">
        <v>250</v>
      </c>
      <c r="I355" t="s">
        <v>2541</v>
      </c>
      <c r="J355" s="51">
        <v>3.1319444444444441E-2</v>
      </c>
      <c r="K355" t="s">
        <v>160</v>
      </c>
      <c r="L355" t="s">
        <v>2545</v>
      </c>
      <c r="M355" t="s">
        <v>2546</v>
      </c>
      <c r="N355" t="s">
        <v>143</v>
      </c>
      <c r="O355" t="s">
        <v>144</v>
      </c>
      <c r="P355" t="s">
        <v>165</v>
      </c>
      <c r="Q355" t="s">
        <v>146</v>
      </c>
      <c r="R355" t="s">
        <v>167</v>
      </c>
      <c r="S355" t="s">
        <v>168</v>
      </c>
      <c r="T355" t="s">
        <v>169</v>
      </c>
      <c r="U355" t="s">
        <v>151</v>
      </c>
      <c r="V355">
        <v>2</v>
      </c>
      <c r="W355" t="s">
        <v>170</v>
      </c>
      <c r="X355" t="s">
        <v>2547</v>
      </c>
      <c r="Y355" t="s">
        <v>153</v>
      </c>
      <c r="Z355" s="53" t="s">
        <v>2548</v>
      </c>
      <c r="AA355">
        <v>1</v>
      </c>
      <c r="AB355"/>
      <c r="AC355"/>
      <c r="AD355">
        <v>1</v>
      </c>
      <c r="AE355"/>
      <c r="AF355"/>
      <c r="BG355" t="str">
        <f t="shared" si="5"/>
        <v/>
      </c>
      <c r="BH355" s="3" t="str" cm="1">
        <f t="array" ref="BH355">IF(AE355=1, _xlfn.TEXTJOIN(" &amp; ", TRUE, _xlfn._xlws.FILTER($AG$2:$BC$2, AG355:BC355=1)), "")</f>
        <v/>
      </c>
    </row>
    <row r="356" spans="1:60" x14ac:dyDescent="0.3">
      <c r="A356" t="s">
        <v>2541</v>
      </c>
      <c r="B356" t="s">
        <v>2549</v>
      </c>
      <c r="C356" t="s">
        <v>2543</v>
      </c>
      <c r="D356">
        <v>2022</v>
      </c>
      <c r="E356" s="52" t="s">
        <v>2550</v>
      </c>
      <c r="F356">
        <v>2517590</v>
      </c>
      <c r="G356">
        <v>2519841</v>
      </c>
      <c r="H356" t="s">
        <v>250</v>
      </c>
      <c r="I356" t="s">
        <v>2541</v>
      </c>
      <c r="J356" s="51">
        <v>3.1319444444444441E-2</v>
      </c>
      <c r="K356" t="s">
        <v>160</v>
      </c>
      <c r="L356" t="s">
        <v>2545</v>
      </c>
      <c r="M356" t="s">
        <v>2546</v>
      </c>
      <c r="N356" t="s">
        <v>143</v>
      </c>
      <c r="O356" t="s">
        <v>144</v>
      </c>
      <c r="P356" t="s">
        <v>165</v>
      </c>
      <c r="Q356" t="s">
        <v>146</v>
      </c>
      <c r="R356" t="s">
        <v>167</v>
      </c>
      <c r="S356" t="s">
        <v>168</v>
      </c>
      <c r="T356" t="s">
        <v>169</v>
      </c>
      <c r="U356" t="s">
        <v>151</v>
      </c>
      <c r="V356">
        <v>2</v>
      </c>
      <c r="W356" t="s">
        <v>170</v>
      </c>
      <c r="X356" t="s">
        <v>2551</v>
      </c>
      <c r="Y356" t="s">
        <v>153</v>
      </c>
      <c r="Z356" s="53" t="s">
        <v>2552</v>
      </c>
      <c r="AA356">
        <v>1</v>
      </c>
      <c r="AB356">
        <v>1</v>
      </c>
      <c r="AC356"/>
      <c r="AD356"/>
      <c r="AE356"/>
      <c r="AF356"/>
      <c r="BG356" t="str">
        <f t="shared" si="5"/>
        <v/>
      </c>
      <c r="BH356" s="3" t="str" cm="1">
        <f t="array" ref="BH356">IF(AE356=1, _xlfn.TEXTJOIN(" &amp; ", TRUE, _xlfn._xlws.FILTER($AG$2:$BC$2, AG356:BC356=1)), "")</f>
        <v/>
      </c>
    </row>
    <row r="357" spans="1:60" x14ac:dyDescent="0.3">
      <c r="A357" t="s">
        <v>554</v>
      </c>
      <c r="B357" t="s">
        <v>2553</v>
      </c>
      <c r="C357" t="s">
        <v>556</v>
      </c>
      <c r="D357">
        <v>2019</v>
      </c>
      <c r="E357" s="52" t="s">
        <v>2554</v>
      </c>
      <c r="F357">
        <v>427629</v>
      </c>
      <c r="G357">
        <v>432412</v>
      </c>
      <c r="H357" t="s">
        <v>558</v>
      </c>
      <c r="I357" t="s">
        <v>554</v>
      </c>
      <c r="J357" s="51">
        <v>3.5648148148148151E-2</v>
      </c>
      <c r="K357" t="s">
        <v>160</v>
      </c>
      <c r="L357" t="s">
        <v>559</v>
      </c>
      <c r="M357" t="s">
        <v>560</v>
      </c>
      <c r="N357" t="s">
        <v>381</v>
      </c>
      <c r="O357" t="s">
        <v>144</v>
      </c>
      <c r="P357" t="s">
        <v>145</v>
      </c>
      <c r="Q357" t="s">
        <v>179</v>
      </c>
      <c r="R357" t="s">
        <v>167</v>
      </c>
      <c r="S357" t="s">
        <v>168</v>
      </c>
      <c r="T357" t="s">
        <v>268</v>
      </c>
      <c r="U357" t="s">
        <v>171</v>
      </c>
      <c r="V357">
        <v>3</v>
      </c>
      <c r="W357" t="s">
        <v>170</v>
      </c>
      <c r="X357" t="s">
        <v>2555</v>
      </c>
      <c r="Y357" t="s">
        <v>153</v>
      </c>
      <c r="Z357" s="53" t="s">
        <v>2556</v>
      </c>
      <c r="AA357">
        <v>1</v>
      </c>
      <c r="AB357">
        <v>1</v>
      </c>
      <c r="AC357"/>
      <c r="AD357"/>
      <c r="AE357"/>
      <c r="AF357"/>
      <c r="BG357" t="str">
        <f t="shared" si="5"/>
        <v/>
      </c>
      <c r="BH357" s="3" t="str" cm="1">
        <f t="array" ref="BH357">IF(AE357=1, _xlfn.TEXTJOIN(" &amp; ", TRUE, _xlfn._xlws.FILTER($AG$2:$BC$2, AG357:BC357=1)), "")</f>
        <v/>
      </c>
    </row>
    <row r="358" spans="1:60" x14ac:dyDescent="0.3">
      <c r="A358" t="s">
        <v>554</v>
      </c>
      <c r="B358" t="s">
        <v>2557</v>
      </c>
      <c r="C358" t="s">
        <v>556</v>
      </c>
      <c r="D358">
        <v>2019</v>
      </c>
      <c r="E358" s="52" t="s">
        <v>2558</v>
      </c>
      <c r="F358">
        <v>1149422</v>
      </c>
      <c r="G358">
        <v>1155556</v>
      </c>
      <c r="H358" t="s">
        <v>558</v>
      </c>
      <c r="I358" t="s">
        <v>554</v>
      </c>
      <c r="J358" s="51">
        <v>3.5648148148148151E-2</v>
      </c>
      <c r="K358" t="s">
        <v>160</v>
      </c>
      <c r="L358" t="s">
        <v>559</v>
      </c>
      <c r="M358" t="s">
        <v>560</v>
      </c>
      <c r="N358" t="s">
        <v>381</v>
      </c>
      <c r="O358" t="s">
        <v>144</v>
      </c>
      <c r="P358" t="s">
        <v>145</v>
      </c>
      <c r="Q358" t="s">
        <v>179</v>
      </c>
      <c r="R358" t="s">
        <v>167</v>
      </c>
      <c r="S358" t="s">
        <v>168</v>
      </c>
      <c r="T358" t="s">
        <v>268</v>
      </c>
      <c r="U358" t="s">
        <v>171</v>
      </c>
      <c r="V358">
        <v>3</v>
      </c>
      <c r="W358" t="s">
        <v>170</v>
      </c>
      <c r="X358" t="s">
        <v>2559</v>
      </c>
      <c r="Y358" t="s">
        <v>153</v>
      </c>
      <c r="Z358" s="53" t="s">
        <v>2560</v>
      </c>
      <c r="AA358"/>
      <c r="AB358"/>
      <c r="AC358"/>
      <c r="AD358"/>
      <c r="AE358">
        <v>1</v>
      </c>
      <c r="AF358"/>
      <c r="AM358" s="7">
        <v>1</v>
      </c>
      <c r="AR358" s="9">
        <v>1</v>
      </c>
      <c r="BD358" s="3">
        <v>1</v>
      </c>
      <c r="BG358" t="str">
        <f t="shared" si="5"/>
        <v>Interazionale &amp; Metatestuale</v>
      </c>
      <c r="BH358" s="3" t="str" cm="1">
        <f t="array" ref="BH358">IF(AE358=1, _xlfn.TEXTJOIN(" &amp; ", TRUE, _xlfn._xlws.FILTER($AG$2:$BC$2, AG358:BC358=1)), "")</f>
        <v>Marcatura della conoscenza condivisa &amp; Prolettico, marca di formulazione: ecco</v>
      </c>
    </row>
    <row r="359" spans="1:60" x14ac:dyDescent="0.3">
      <c r="A359" t="s">
        <v>554</v>
      </c>
      <c r="B359" t="s">
        <v>555</v>
      </c>
      <c r="C359" t="s">
        <v>556</v>
      </c>
      <c r="D359">
        <v>2019</v>
      </c>
      <c r="E359" s="52" t="s">
        <v>557</v>
      </c>
      <c r="F359">
        <v>1284049</v>
      </c>
      <c r="G359">
        <v>1288637</v>
      </c>
      <c r="H359" t="s">
        <v>558</v>
      </c>
      <c r="I359" t="s">
        <v>554</v>
      </c>
      <c r="J359" s="51">
        <v>3.5648148148148151E-2</v>
      </c>
      <c r="K359" t="s">
        <v>160</v>
      </c>
      <c r="L359" t="s">
        <v>559</v>
      </c>
      <c r="M359" t="s">
        <v>560</v>
      </c>
      <c r="N359" t="s">
        <v>381</v>
      </c>
      <c r="O359" t="s">
        <v>144</v>
      </c>
      <c r="P359" t="s">
        <v>145</v>
      </c>
      <c r="Q359" t="s">
        <v>179</v>
      </c>
      <c r="R359" t="s">
        <v>167</v>
      </c>
      <c r="S359" t="s">
        <v>168</v>
      </c>
      <c r="T359" t="s">
        <v>268</v>
      </c>
      <c r="U359" t="s">
        <v>171</v>
      </c>
      <c r="V359">
        <v>3</v>
      </c>
      <c r="W359" t="s">
        <v>170</v>
      </c>
      <c r="X359" t="s">
        <v>561</v>
      </c>
      <c r="Y359" t="s">
        <v>153</v>
      </c>
      <c r="Z359" s="53" t="s">
        <v>562</v>
      </c>
      <c r="AA359"/>
      <c r="AB359"/>
      <c r="AC359"/>
      <c r="AD359"/>
      <c r="AE359">
        <v>1</v>
      </c>
      <c r="AF359"/>
      <c r="AH359" s="8">
        <v>1</v>
      </c>
      <c r="AP359" s="9">
        <v>1</v>
      </c>
      <c r="BD359" s="3">
        <v>1</v>
      </c>
      <c r="BG359" t="str">
        <f t="shared" si="5"/>
        <v>Interazionale &amp; Metatestuale</v>
      </c>
      <c r="BH359" s="3" t="str" cm="1">
        <f t="array" ref="BH359">IF(AE359=1, _xlfn.TEXTJOIN(" &amp; ", TRUE, _xlfn._xlws.FILTER($AG$2:$BC$2, AG359:BC359=1)), "")</f>
        <v>Richiesta di accordo/conferma &amp; Gestione del topic: introduzione o ripresa di topic</v>
      </c>
    </row>
    <row r="360" spans="1:60" x14ac:dyDescent="0.3">
      <c r="A360" t="s">
        <v>554</v>
      </c>
      <c r="B360" t="s">
        <v>2561</v>
      </c>
      <c r="C360" t="s">
        <v>556</v>
      </c>
      <c r="D360">
        <v>2019</v>
      </c>
      <c r="E360" s="52" t="s">
        <v>2562</v>
      </c>
      <c r="F360">
        <v>1321811</v>
      </c>
      <c r="G360">
        <v>1324202</v>
      </c>
      <c r="H360" t="s">
        <v>558</v>
      </c>
      <c r="I360" t="s">
        <v>554</v>
      </c>
      <c r="J360" s="51">
        <v>3.5648148148148151E-2</v>
      </c>
      <c r="K360" t="s">
        <v>160</v>
      </c>
      <c r="L360" t="s">
        <v>559</v>
      </c>
      <c r="M360" t="s">
        <v>560</v>
      </c>
      <c r="N360" t="s">
        <v>381</v>
      </c>
      <c r="O360" t="s">
        <v>144</v>
      </c>
      <c r="P360" t="s">
        <v>145</v>
      </c>
      <c r="Q360" t="s">
        <v>179</v>
      </c>
      <c r="R360" t="s">
        <v>167</v>
      </c>
      <c r="S360" t="s">
        <v>168</v>
      </c>
      <c r="T360" t="s">
        <v>268</v>
      </c>
      <c r="U360" t="s">
        <v>171</v>
      </c>
      <c r="V360">
        <v>3</v>
      </c>
      <c r="W360" t="s">
        <v>170</v>
      </c>
      <c r="X360" t="s">
        <v>2563</v>
      </c>
      <c r="Y360" t="s">
        <v>153</v>
      </c>
      <c r="Z360" s="53" t="s">
        <v>2564</v>
      </c>
      <c r="AA360"/>
      <c r="AB360"/>
      <c r="AC360"/>
      <c r="AD360"/>
      <c r="AE360">
        <v>1</v>
      </c>
      <c r="AF360"/>
      <c r="AV360" s="9">
        <v>1</v>
      </c>
      <c r="BG360" t="str">
        <f t="shared" si="5"/>
        <v>Metatestuale</v>
      </c>
      <c r="BH360" s="3" t="str" cm="1">
        <f t="array" ref="BH360">IF(AE360=1, _xlfn.TEXTJOIN(" &amp; ", TRUE, _xlfn._xlws.FILTER($AG$2:$BC$2, AG360:BC360=1)), "")</f>
        <v>Filler, riempimento dei tempi di formulazione</v>
      </c>
    </row>
    <row r="361" spans="1:60" x14ac:dyDescent="0.3">
      <c r="A361" t="s">
        <v>554</v>
      </c>
      <c r="B361" t="s">
        <v>2565</v>
      </c>
      <c r="C361" t="s">
        <v>556</v>
      </c>
      <c r="D361">
        <v>2019</v>
      </c>
      <c r="E361" s="52" t="s">
        <v>2566</v>
      </c>
      <c r="F361">
        <v>2053792</v>
      </c>
      <c r="G361">
        <v>2055322</v>
      </c>
      <c r="H361" t="s">
        <v>558</v>
      </c>
      <c r="I361" t="s">
        <v>554</v>
      </c>
      <c r="J361" s="51">
        <v>3.5648148148148151E-2</v>
      </c>
      <c r="K361" t="s">
        <v>160</v>
      </c>
      <c r="L361" t="s">
        <v>559</v>
      </c>
      <c r="M361" t="s">
        <v>560</v>
      </c>
      <c r="N361" t="s">
        <v>381</v>
      </c>
      <c r="O361" t="s">
        <v>144</v>
      </c>
      <c r="P361" t="s">
        <v>145</v>
      </c>
      <c r="Q361" t="s">
        <v>179</v>
      </c>
      <c r="R361" t="s">
        <v>167</v>
      </c>
      <c r="S361" t="s">
        <v>168</v>
      </c>
      <c r="T361" t="s">
        <v>268</v>
      </c>
      <c r="U361" t="s">
        <v>171</v>
      </c>
      <c r="V361">
        <v>3</v>
      </c>
      <c r="W361" t="s">
        <v>170</v>
      </c>
      <c r="X361" t="s">
        <v>2567</v>
      </c>
      <c r="Y361" t="s">
        <v>153</v>
      </c>
      <c r="Z361" s="53" t="s">
        <v>2568</v>
      </c>
      <c r="AA361">
        <v>1</v>
      </c>
      <c r="AB361"/>
      <c r="AC361">
        <v>1</v>
      </c>
      <c r="AD361"/>
      <c r="AE361"/>
      <c r="AF361"/>
      <c r="BG361" t="str">
        <f t="shared" si="5"/>
        <v/>
      </c>
      <c r="BH361" s="3" t="str" cm="1">
        <f t="array" ref="BH361">IF(AE361=1, _xlfn.TEXTJOIN(" &amp; ", TRUE, _xlfn._xlws.FILTER($AG$2:$BC$2, AG361:BC361=1)), "")</f>
        <v/>
      </c>
    </row>
    <row r="362" spans="1:60" x14ac:dyDescent="0.3">
      <c r="A362" t="s">
        <v>554</v>
      </c>
      <c r="B362" t="s">
        <v>2569</v>
      </c>
      <c r="C362" t="s">
        <v>556</v>
      </c>
      <c r="D362">
        <v>2019</v>
      </c>
      <c r="E362" s="52" t="s">
        <v>2570</v>
      </c>
      <c r="F362">
        <v>2159884</v>
      </c>
      <c r="G362">
        <v>2163797</v>
      </c>
      <c r="H362" t="s">
        <v>517</v>
      </c>
      <c r="I362" t="s">
        <v>554</v>
      </c>
      <c r="J362" s="51">
        <v>3.5648148148148151E-2</v>
      </c>
      <c r="K362" t="s">
        <v>160</v>
      </c>
      <c r="L362" t="s">
        <v>559</v>
      </c>
      <c r="M362" t="s">
        <v>560</v>
      </c>
      <c r="N362" t="s">
        <v>143</v>
      </c>
      <c r="O362" t="s">
        <v>144</v>
      </c>
      <c r="P362" t="s">
        <v>145</v>
      </c>
      <c r="Q362" t="s">
        <v>146</v>
      </c>
      <c r="R362" t="s">
        <v>167</v>
      </c>
      <c r="S362" t="s">
        <v>168</v>
      </c>
      <c r="T362" t="s">
        <v>149</v>
      </c>
      <c r="U362" t="s">
        <v>151</v>
      </c>
      <c r="V362">
        <v>3</v>
      </c>
      <c r="W362" t="s">
        <v>170</v>
      </c>
      <c r="X362" t="s">
        <v>2571</v>
      </c>
      <c r="Y362" t="s">
        <v>153</v>
      </c>
      <c r="Z362" s="53" t="s">
        <v>2572</v>
      </c>
      <c r="AA362"/>
      <c r="AB362"/>
      <c r="AC362"/>
      <c r="AD362"/>
      <c r="AE362">
        <v>1</v>
      </c>
      <c r="AF362">
        <v>1</v>
      </c>
      <c r="AM362" s="7">
        <v>1</v>
      </c>
      <c r="AW362" s="21">
        <v>1</v>
      </c>
      <c r="BD362" s="3">
        <v>1</v>
      </c>
      <c r="BG362" t="str">
        <f t="shared" si="5"/>
        <v>Interazionale &amp; Metatestuale</v>
      </c>
      <c r="BH362" s="3" t="str" cm="1">
        <f t="array" ref="BH362">IF(AE362=1, _xlfn.TEXTJOIN(" &amp; ", TRUE, _xlfn._xlws.FILTER($AG$2:$BC$2, AG362:BC362=1)), "")</f>
        <v>Marcatura della conoscenza condivisa &amp; General extenders e marche di generalizzazione</v>
      </c>
    </row>
    <row r="363" spans="1:60" x14ac:dyDescent="0.3">
      <c r="A363" t="s">
        <v>563</v>
      </c>
      <c r="B363" t="s">
        <v>2573</v>
      </c>
      <c r="C363" t="s">
        <v>565</v>
      </c>
      <c r="D363">
        <v>2023</v>
      </c>
      <c r="E363" s="52" t="s">
        <v>2574</v>
      </c>
      <c r="F363">
        <v>927530</v>
      </c>
      <c r="G363">
        <v>933320</v>
      </c>
      <c r="H363" t="s">
        <v>2575</v>
      </c>
      <c r="I363" t="s">
        <v>563</v>
      </c>
      <c r="J363" s="51">
        <v>4.0706018518518516E-2</v>
      </c>
      <c r="K363" t="s">
        <v>160</v>
      </c>
      <c r="L363" t="s">
        <v>568</v>
      </c>
      <c r="M363" t="s">
        <v>569</v>
      </c>
      <c r="N363" t="s">
        <v>381</v>
      </c>
      <c r="O363" t="s">
        <v>144</v>
      </c>
      <c r="P363" t="s">
        <v>165</v>
      </c>
      <c r="Q363" t="s">
        <v>481</v>
      </c>
      <c r="R363" t="s">
        <v>167</v>
      </c>
      <c r="S363" t="s">
        <v>168</v>
      </c>
      <c r="T363" t="s">
        <v>169</v>
      </c>
      <c r="U363" t="s">
        <v>171</v>
      </c>
      <c r="V363">
        <v>3</v>
      </c>
      <c r="W363" t="s">
        <v>170</v>
      </c>
      <c r="X363" t="s">
        <v>2576</v>
      </c>
      <c r="Y363" t="s">
        <v>153</v>
      </c>
      <c r="Z363" s="53" t="s">
        <v>2577</v>
      </c>
      <c r="AA363">
        <v>1</v>
      </c>
      <c r="AB363"/>
      <c r="AC363">
        <v>1</v>
      </c>
      <c r="AD363"/>
      <c r="AE363"/>
      <c r="AF363"/>
      <c r="BG363" t="str">
        <f t="shared" si="5"/>
        <v/>
      </c>
      <c r="BH363" s="3" t="str" cm="1">
        <f t="array" ref="BH363">IF(AE363=1, _xlfn.TEXTJOIN(" &amp; ", TRUE, _xlfn._xlws.FILTER($AG$2:$BC$2, AG363:BC363=1)), "")</f>
        <v/>
      </c>
    </row>
    <row r="364" spans="1:60" x14ac:dyDescent="0.3">
      <c r="A364" t="s">
        <v>563</v>
      </c>
      <c r="B364" t="s">
        <v>564</v>
      </c>
      <c r="C364" t="s">
        <v>565</v>
      </c>
      <c r="D364">
        <v>2023</v>
      </c>
      <c r="E364" s="52" t="s">
        <v>566</v>
      </c>
      <c r="F364">
        <v>1037400</v>
      </c>
      <c r="G364">
        <v>1041800</v>
      </c>
      <c r="H364" t="s">
        <v>567</v>
      </c>
      <c r="I364" t="s">
        <v>563</v>
      </c>
      <c r="J364" s="51">
        <v>4.0706018518518516E-2</v>
      </c>
      <c r="K364" t="s">
        <v>160</v>
      </c>
      <c r="L364" t="s">
        <v>568</v>
      </c>
      <c r="M364" t="s">
        <v>569</v>
      </c>
      <c r="N364" t="s">
        <v>143</v>
      </c>
      <c r="O364" t="s">
        <v>144</v>
      </c>
      <c r="P364" t="s">
        <v>165</v>
      </c>
      <c r="Q364" t="s">
        <v>146</v>
      </c>
      <c r="R364" t="s">
        <v>167</v>
      </c>
      <c r="S364" t="s">
        <v>168</v>
      </c>
      <c r="T364" t="s">
        <v>169</v>
      </c>
      <c r="U364" t="s">
        <v>151</v>
      </c>
      <c r="V364">
        <v>3</v>
      </c>
      <c r="W364" t="s">
        <v>170</v>
      </c>
      <c r="X364" t="s">
        <v>570</v>
      </c>
      <c r="Y364" t="s">
        <v>153</v>
      </c>
      <c r="Z364" s="53" t="s">
        <v>571</v>
      </c>
      <c r="AA364"/>
      <c r="AB364"/>
      <c r="AC364"/>
      <c r="AD364"/>
      <c r="AE364">
        <v>1</v>
      </c>
      <c r="AF364"/>
      <c r="AM364" s="7">
        <v>1</v>
      </c>
      <c r="BG364" t="str">
        <f t="shared" si="5"/>
        <v>Interazionale</v>
      </c>
      <c r="BH364" s="3" t="str" cm="1">
        <f t="array" ref="BH364">IF(AE364=1, _xlfn.TEXTJOIN(" &amp; ", TRUE, _xlfn._xlws.FILTER($AG$2:$BC$2, AG364:BC364=1)), "")</f>
        <v>Marcatura della conoscenza condivisa</v>
      </c>
    </row>
    <row r="365" spans="1:60" x14ac:dyDescent="0.3">
      <c r="A365" t="s">
        <v>563</v>
      </c>
      <c r="B365" t="s">
        <v>2578</v>
      </c>
      <c r="C365" t="s">
        <v>565</v>
      </c>
      <c r="D365">
        <v>2023</v>
      </c>
      <c r="E365" s="52" t="s">
        <v>2579</v>
      </c>
      <c r="F365">
        <v>1975790</v>
      </c>
      <c r="G365">
        <v>1980480</v>
      </c>
      <c r="H365" t="s">
        <v>2575</v>
      </c>
      <c r="I365" t="s">
        <v>563</v>
      </c>
      <c r="J365" s="51">
        <v>4.0706018518518516E-2</v>
      </c>
      <c r="K365" t="s">
        <v>160</v>
      </c>
      <c r="L365" t="s">
        <v>568</v>
      </c>
      <c r="M365" t="s">
        <v>569</v>
      </c>
      <c r="N365" t="s">
        <v>381</v>
      </c>
      <c r="O365" t="s">
        <v>144</v>
      </c>
      <c r="P365" t="s">
        <v>165</v>
      </c>
      <c r="Q365" t="s">
        <v>481</v>
      </c>
      <c r="R365" t="s">
        <v>167</v>
      </c>
      <c r="S365" t="s">
        <v>168</v>
      </c>
      <c r="T365" t="s">
        <v>169</v>
      </c>
      <c r="U365" t="s">
        <v>171</v>
      </c>
      <c r="V365">
        <v>3</v>
      </c>
      <c r="W365" t="s">
        <v>170</v>
      </c>
      <c r="X365" t="s">
        <v>2580</v>
      </c>
      <c r="Y365" t="s">
        <v>153</v>
      </c>
      <c r="Z365" s="53" t="s">
        <v>2581</v>
      </c>
      <c r="AA365"/>
      <c r="AB365"/>
      <c r="AC365"/>
      <c r="AD365"/>
      <c r="AE365">
        <v>1</v>
      </c>
      <c r="AF365"/>
      <c r="AV365" s="9">
        <v>1</v>
      </c>
      <c r="BG365" t="str">
        <f t="shared" si="5"/>
        <v>Metatestuale</v>
      </c>
      <c r="BH365" s="3" t="str" cm="1">
        <f t="array" ref="BH365">IF(AE365=1, _xlfn.TEXTJOIN(" &amp; ", TRUE, _xlfn._xlws.FILTER($AG$2:$BC$2, AG365:BC365=1)), "")</f>
        <v>Filler, riempimento dei tempi di formulazione</v>
      </c>
    </row>
    <row r="366" spans="1:60" x14ac:dyDescent="0.3">
      <c r="A366" t="s">
        <v>563</v>
      </c>
      <c r="B366" t="s">
        <v>2582</v>
      </c>
      <c r="C366" t="s">
        <v>565</v>
      </c>
      <c r="D366">
        <v>2023</v>
      </c>
      <c r="E366" s="52" t="s">
        <v>2583</v>
      </c>
      <c r="F366">
        <v>2116890</v>
      </c>
      <c r="G366">
        <v>2123759</v>
      </c>
      <c r="H366" t="s">
        <v>2575</v>
      </c>
      <c r="I366" t="s">
        <v>563</v>
      </c>
      <c r="J366" s="51">
        <v>4.0706018518518516E-2</v>
      </c>
      <c r="K366" t="s">
        <v>160</v>
      </c>
      <c r="L366" t="s">
        <v>568</v>
      </c>
      <c r="M366" t="s">
        <v>569</v>
      </c>
      <c r="N366" t="s">
        <v>381</v>
      </c>
      <c r="O366" t="s">
        <v>144</v>
      </c>
      <c r="P366" t="s">
        <v>165</v>
      </c>
      <c r="Q366" t="s">
        <v>481</v>
      </c>
      <c r="R366" t="s">
        <v>167</v>
      </c>
      <c r="S366" t="s">
        <v>168</v>
      </c>
      <c r="T366" t="s">
        <v>169</v>
      </c>
      <c r="U366" t="s">
        <v>171</v>
      </c>
      <c r="V366">
        <v>3</v>
      </c>
      <c r="W366" t="s">
        <v>170</v>
      </c>
      <c r="X366" t="s">
        <v>2584</v>
      </c>
      <c r="Y366" t="s">
        <v>153</v>
      </c>
      <c r="Z366" s="53" t="s">
        <v>2585</v>
      </c>
      <c r="AA366"/>
      <c r="AB366"/>
      <c r="AC366"/>
      <c r="AD366"/>
      <c r="AE366">
        <v>1</v>
      </c>
      <c r="AF366"/>
      <c r="AW366" s="21">
        <v>1</v>
      </c>
      <c r="BG366" t="str">
        <f t="shared" si="5"/>
        <v>Metatestuale</v>
      </c>
      <c r="BH366" s="3" t="str" cm="1">
        <f t="array" ref="BH366">IF(AE366=1, _xlfn.TEXTJOIN(" &amp; ", TRUE, _xlfn._xlws.FILTER($AG$2:$BC$2, AG366:BC366=1)), "")</f>
        <v>General extenders e marche di generalizzazione</v>
      </c>
    </row>
    <row r="367" spans="1:60" x14ac:dyDescent="0.3">
      <c r="A367" t="s">
        <v>563</v>
      </c>
      <c r="B367" t="s">
        <v>2586</v>
      </c>
      <c r="C367" t="s">
        <v>565</v>
      </c>
      <c r="D367">
        <v>2023</v>
      </c>
      <c r="E367" s="52" t="s">
        <v>2587</v>
      </c>
      <c r="F367">
        <v>2203730</v>
      </c>
      <c r="G367">
        <v>2212840</v>
      </c>
      <c r="H367" t="s">
        <v>2575</v>
      </c>
      <c r="I367" t="s">
        <v>563</v>
      </c>
      <c r="J367" s="51">
        <v>4.0706018518518516E-2</v>
      </c>
      <c r="K367" t="s">
        <v>160</v>
      </c>
      <c r="L367" t="s">
        <v>568</v>
      </c>
      <c r="M367" t="s">
        <v>569</v>
      </c>
      <c r="N367" t="s">
        <v>381</v>
      </c>
      <c r="O367" t="s">
        <v>144</v>
      </c>
      <c r="P367" t="s">
        <v>165</v>
      </c>
      <c r="Q367" t="s">
        <v>481</v>
      </c>
      <c r="R367" t="s">
        <v>167</v>
      </c>
      <c r="S367" t="s">
        <v>168</v>
      </c>
      <c r="T367" t="s">
        <v>169</v>
      </c>
      <c r="U367" t="s">
        <v>171</v>
      </c>
      <c r="V367">
        <v>3</v>
      </c>
      <c r="W367" t="s">
        <v>170</v>
      </c>
      <c r="X367" t="s">
        <v>2588</v>
      </c>
      <c r="Y367" t="s">
        <v>153</v>
      </c>
      <c r="Z367" s="53" t="s">
        <v>2589</v>
      </c>
      <c r="AA367">
        <v>1</v>
      </c>
      <c r="AB367">
        <v>1</v>
      </c>
      <c r="AC367"/>
      <c r="AD367"/>
      <c r="AE367"/>
      <c r="AF367"/>
      <c r="BG367" t="str">
        <f t="shared" si="5"/>
        <v/>
      </c>
      <c r="BH367" s="3" t="str" cm="1">
        <f t="array" ref="BH367">IF(AE367=1, _xlfn.TEXTJOIN(" &amp; ", TRUE, _xlfn._xlws.FILTER($AG$2:$BC$2, AG367:BC367=1)), "")</f>
        <v/>
      </c>
    </row>
    <row r="368" spans="1:60" x14ac:dyDescent="0.3">
      <c r="A368" t="s">
        <v>563</v>
      </c>
      <c r="B368" t="s">
        <v>2590</v>
      </c>
      <c r="C368" t="s">
        <v>565</v>
      </c>
      <c r="D368">
        <v>2023</v>
      </c>
      <c r="E368" s="52" t="s">
        <v>2591</v>
      </c>
      <c r="F368">
        <v>2263560</v>
      </c>
      <c r="G368">
        <v>2269590</v>
      </c>
      <c r="H368" t="s">
        <v>2575</v>
      </c>
      <c r="I368" t="s">
        <v>563</v>
      </c>
      <c r="J368" s="51">
        <v>4.0706018518518516E-2</v>
      </c>
      <c r="K368" t="s">
        <v>160</v>
      </c>
      <c r="L368" t="s">
        <v>568</v>
      </c>
      <c r="M368" t="s">
        <v>569</v>
      </c>
      <c r="N368" t="s">
        <v>381</v>
      </c>
      <c r="O368" t="s">
        <v>144</v>
      </c>
      <c r="P368" t="s">
        <v>165</v>
      </c>
      <c r="Q368" t="s">
        <v>481</v>
      </c>
      <c r="R368" t="s">
        <v>167</v>
      </c>
      <c r="S368" t="s">
        <v>168</v>
      </c>
      <c r="T368" t="s">
        <v>169</v>
      </c>
      <c r="U368" t="s">
        <v>171</v>
      </c>
      <c r="V368">
        <v>3</v>
      </c>
      <c r="W368" t="s">
        <v>170</v>
      </c>
      <c r="X368" t="s">
        <v>2592</v>
      </c>
      <c r="Y368" t="s">
        <v>153</v>
      </c>
      <c r="Z368" s="53" t="s">
        <v>2593</v>
      </c>
      <c r="AA368"/>
      <c r="AB368"/>
      <c r="AC368"/>
      <c r="AD368"/>
      <c r="AE368">
        <v>1</v>
      </c>
      <c r="AF368"/>
      <c r="AM368" s="7">
        <v>1</v>
      </c>
      <c r="AU368" s="21">
        <v>1</v>
      </c>
      <c r="BD368" s="3">
        <v>1</v>
      </c>
      <c r="BG368" t="str">
        <f t="shared" si="5"/>
        <v>Interazionale &amp; Metatestuale</v>
      </c>
      <c r="BH368" s="3" t="str" cm="1">
        <f t="array" ref="BH368">IF(AE368=1, _xlfn.TEXTJOIN(" &amp; ", TRUE, _xlfn._xlws.FILTER($AG$2:$BC$2, AG368:BC368=1)), "")</f>
        <v>Marcatura della conoscenza condivisa &amp; Esemplificazione</v>
      </c>
    </row>
    <row r="369" spans="1:60" x14ac:dyDescent="0.3">
      <c r="A369" t="s">
        <v>563</v>
      </c>
      <c r="B369" t="s">
        <v>2594</v>
      </c>
      <c r="C369" t="s">
        <v>565</v>
      </c>
      <c r="D369">
        <v>2023</v>
      </c>
      <c r="E369" s="52" t="s">
        <v>2595</v>
      </c>
      <c r="F369">
        <v>2833240</v>
      </c>
      <c r="G369">
        <v>2839400</v>
      </c>
      <c r="H369" t="s">
        <v>2575</v>
      </c>
      <c r="I369" t="s">
        <v>563</v>
      </c>
      <c r="J369" s="51">
        <v>4.0706018518518516E-2</v>
      </c>
      <c r="K369" t="s">
        <v>160</v>
      </c>
      <c r="L369" t="s">
        <v>568</v>
      </c>
      <c r="M369" t="s">
        <v>569</v>
      </c>
      <c r="N369" t="s">
        <v>381</v>
      </c>
      <c r="O369" t="s">
        <v>144</v>
      </c>
      <c r="P369" t="s">
        <v>165</v>
      </c>
      <c r="Q369" t="s">
        <v>481</v>
      </c>
      <c r="R369" t="s">
        <v>167</v>
      </c>
      <c r="S369" t="s">
        <v>168</v>
      </c>
      <c r="T369" t="s">
        <v>169</v>
      </c>
      <c r="U369" t="s">
        <v>171</v>
      </c>
      <c r="V369">
        <v>3</v>
      </c>
      <c r="W369" t="s">
        <v>170</v>
      </c>
      <c r="X369" t="s">
        <v>2596</v>
      </c>
      <c r="Y369" t="s">
        <v>153</v>
      </c>
      <c r="Z369" s="53" t="s">
        <v>2597</v>
      </c>
      <c r="AA369">
        <v>1</v>
      </c>
      <c r="AB369"/>
      <c r="AC369">
        <v>1</v>
      </c>
      <c r="AD369"/>
      <c r="AE369"/>
      <c r="AF369"/>
      <c r="BG369" t="str">
        <f t="shared" si="5"/>
        <v/>
      </c>
      <c r="BH369" s="3" t="str" cm="1">
        <f t="array" ref="BH369">IF(AE369=1, _xlfn.TEXTJOIN(" &amp; ", TRUE, _xlfn._xlws.FILTER($AG$2:$BC$2, AG369:BC369=1)), "")</f>
        <v/>
      </c>
    </row>
    <row r="370" spans="1:60" x14ac:dyDescent="0.3">
      <c r="A370" t="s">
        <v>563</v>
      </c>
      <c r="B370" t="s">
        <v>2598</v>
      </c>
      <c r="C370" t="s">
        <v>565</v>
      </c>
      <c r="D370">
        <v>2023</v>
      </c>
      <c r="E370" s="52" t="s">
        <v>2599</v>
      </c>
      <c r="F370">
        <v>2983810</v>
      </c>
      <c r="G370">
        <v>2991190</v>
      </c>
      <c r="H370" t="s">
        <v>2575</v>
      </c>
      <c r="I370" t="s">
        <v>563</v>
      </c>
      <c r="J370" s="51">
        <v>4.0706018518518516E-2</v>
      </c>
      <c r="K370" t="s">
        <v>160</v>
      </c>
      <c r="L370" t="s">
        <v>568</v>
      </c>
      <c r="M370" t="s">
        <v>569</v>
      </c>
      <c r="N370" t="s">
        <v>381</v>
      </c>
      <c r="O370" t="s">
        <v>144</v>
      </c>
      <c r="P370" t="s">
        <v>165</v>
      </c>
      <c r="Q370" t="s">
        <v>481</v>
      </c>
      <c r="R370" t="s">
        <v>167</v>
      </c>
      <c r="S370" t="s">
        <v>168</v>
      </c>
      <c r="T370" t="s">
        <v>169</v>
      </c>
      <c r="U370" t="s">
        <v>171</v>
      </c>
      <c r="V370">
        <v>3</v>
      </c>
      <c r="W370" t="s">
        <v>170</v>
      </c>
      <c r="X370" t="s">
        <v>2600</v>
      </c>
      <c r="Y370" t="s">
        <v>153</v>
      </c>
      <c r="Z370" s="53" t="s">
        <v>2601</v>
      </c>
      <c r="AA370">
        <v>1</v>
      </c>
      <c r="AB370"/>
      <c r="AC370">
        <v>1</v>
      </c>
      <c r="AD370"/>
      <c r="AE370"/>
      <c r="AF370"/>
      <c r="BG370" t="str">
        <f t="shared" si="5"/>
        <v/>
      </c>
      <c r="BH370" s="3" t="str" cm="1">
        <f t="array" ref="BH370">IF(AE370=1, _xlfn.TEXTJOIN(" &amp; ", TRUE, _xlfn._xlws.FILTER($AG$2:$BC$2, AG370:BC370=1)), "")</f>
        <v/>
      </c>
    </row>
    <row r="371" spans="1:60" x14ac:dyDescent="0.3">
      <c r="A371" t="s">
        <v>563</v>
      </c>
      <c r="B371" t="s">
        <v>2602</v>
      </c>
      <c r="C371" t="s">
        <v>565</v>
      </c>
      <c r="D371">
        <v>2023</v>
      </c>
      <c r="E371" s="52" t="s">
        <v>2603</v>
      </c>
      <c r="F371">
        <v>3274150</v>
      </c>
      <c r="G371">
        <v>3275430</v>
      </c>
      <c r="H371" t="s">
        <v>2604</v>
      </c>
      <c r="I371" t="s">
        <v>563</v>
      </c>
      <c r="J371" s="51">
        <v>4.0706018518518516E-2</v>
      </c>
      <c r="K371" t="s">
        <v>160</v>
      </c>
      <c r="L371" t="s">
        <v>568</v>
      </c>
      <c r="M371" t="s">
        <v>569</v>
      </c>
      <c r="N371" t="s">
        <v>143</v>
      </c>
      <c r="O371" t="s">
        <v>144</v>
      </c>
      <c r="P371" t="s">
        <v>165</v>
      </c>
      <c r="Q371" t="s">
        <v>146</v>
      </c>
      <c r="R371" t="s">
        <v>167</v>
      </c>
      <c r="S371" t="s">
        <v>168</v>
      </c>
      <c r="T371" t="s">
        <v>169</v>
      </c>
      <c r="U371" t="s">
        <v>151</v>
      </c>
      <c r="V371">
        <v>3</v>
      </c>
      <c r="W371" t="s">
        <v>170</v>
      </c>
      <c r="X371" t="s">
        <v>2605</v>
      </c>
      <c r="Y371" t="s">
        <v>153</v>
      </c>
      <c r="Z371" s="53" t="s">
        <v>2606</v>
      </c>
      <c r="AA371">
        <v>1</v>
      </c>
      <c r="AB371"/>
      <c r="AC371">
        <v>1</v>
      </c>
      <c r="AD371"/>
      <c r="AE371"/>
      <c r="AF371"/>
      <c r="BG371" t="str">
        <f t="shared" si="5"/>
        <v/>
      </c>
      <c r="BH371" s="3" t="str" cm="1">
        <f t="array" ref="BH371">IF(AE371=1, _xlfn.TEXTJOIN(" &amp; ", TRUE, _xlfn._xlws.FILTER($AG$2:$BC$2, AG371:BC371=1)), "")</f>
        <v/>
      </c>
    </row>
    <row r="372" spans="1:60" x14ac:dyDescent="0.3">
      <c r="A372" t="s">
        <v>572</v>
      </c>
      <c r="B372" t="s">
        <v>573</v>
      </c>
      <c r="C372" t="s">
        <v>574</v>
      </c>
      <c r="D372">
        <v>2020</v>
      </c>
      <c r="E372" s="52" t="s">
        <v>575</v>
      </c>
      <c r="F372">
        <v>776726</v>
      </c>
      <c r="G372">
        <v>782020</v>
      </c>
      <c r="H372" t="s">
        <v>576</v>
      </c>
      <c r="I372" t="s">
        <v>572</v>
      </c>
      <c r="J372" s="51">
        <v>3.4479166666666665E-2</v>
      </c>
      <c r="K372" t="s">
        <v>140</v>
      </c>
      <c r="L372" t="s">
        <v>577</v>
      </c>
      <c r="M372" t="s">
        <v>578</v>
      </c>
      <c r="N372" t="s">
        <v>163</v>
      </c>
      <c r="O372" t="s">
        <v>164</v>
      </c>
      <c r="P372" t="s">
        <v>119</v>
      </c>
      <c r="Q372" t="s">
        <v>228</v>
      </c>
      <c r="R372" t="s">
        <v>147</v>
      </c>
      <c r="S372" t="s">
        <v>148</v>
      </c>
      <c r="T372" t="s">
        <v>373</v>
      </c>
      <c r="U372" t="s">
        <v>349</v>
      </c>
      <c r="V372">
        <v>3</v>
      </c>
      <c r="W372" t="s">
        <v>269</v>
      </c>
      <c r="X372" t="s">
        <v>579</v>
      </c>
      <c r="Y372" t="s">
        <v>153</v>
      </c>
      <c r="Z372" s="53" t="s">
        <v>580</v>
      </c>
      <c r="AA372">
        <v>1</v>
      </c>
      <c r="AB372"/>
      <c r="AC372">
        <v>1</v>
      </c>
      <c r="AD372"/>
      <c r="AE372"/>
      <c r="AF372"/>
      <c r="BG372" t="str">
        <f t="shared" si="5"/>
        <v/>
      </c>
      <c r="BH372" s="3" t="str" cm="1">
        <f t="array" ref="BH372">IF(AE372=1, _xlfn.TEXTJOIN(" &amp; ", TRUE, _xlfn._xlws.FILTER($AG$2:$BC$2, AG372:BC372=1)), "")</f>
        <v/>
      </c>
    </row>
    <row r="373" spans="1:60" x14ac:dyDescent="0.3">
      <c r="A373" t="s">
        <v>572</v>
      </c>
      <c r="B373" t="s">
        <v>2607</v>
      </c>
      <c r="C373" t="s">
        <v>574</v>
      </c>
      <c r="D373">
        <v>2020</v>
      </c>
      <c r="E373" s="52" t="s">
        <v>2608</v>
      </c>
      <c r="F373">
        <v>1427123</v>
      </c>
      <c r="G373">
        <v>1428205</v>
      </c>
      <c r="H373" t="s">
        <v>581</v>
      </c>
      <c r="I373" t="s">
        <v>572</v>
      </c>
      <c r="J373" s="51">
        <v>3.4479166666666665E-2</v>
      </c>
      <c r="K373" t="s">
        <v>140</v>
      </c>
      <c r="L373" t="s">
        <v>577</v>
      </c>
      <c r="M373" t="s">
        <v>578</v>
      </c>
      <c r="N373" t="s">
        <v>163</v>
      </c>
      <c r="O373" t="s">
        <v>144</v>
      </c>
      <c r="P373" t="s">
        <v>119</v>
      </c>
      <c r="Q373" t="s">
        <v>228</v>
      </c>
      <c r="R373" t="s">
        <v>147</v>
      </c>
      <c r="S373" t="s">
        <v>148</v>
      </c>
      <c r="T373" t="s">
        <v>373</v>
      </c>
      <c r="U373" t="s">
        <v>229</v>
      </c>
      <c r="V373">
        <v>3</v>
      </c>
      <c r="W373" t="s">
        <v>269</v>
      </c>
      <c r="X373" t="s">
        <v>2609</v>
      </c>
      <c r="Y373" t="s">
        <v>153</v>
      </c>
      <c r="Z373" s="53" t="s">
        <v>2610</v>
      </c>
      <c r="AA373">
        <v>1</v>
      </c>
      <c r="AB373"/>
      <c r="AC373"/>
      <c r="AD373">
        <v>1</v>
      </c>
      <c r="AE373"/>
      <c r="AF373"/>
      <c r="BG373" t="str">
        <f t="shared" si="5"/>
        <v/>
      </c>
      <c r="BH373" s="3" t="str" cm="1">
        <f t="array" ref="BH373">IF(AE373=1, _xlfn.TEXTJOIN(" &amp; ", TRUE, _xlfn._xlws.FILTER($AG$2:$BC$2, AG373:BC373=1)), "")</f>
        <v/>
      </c>
    </row>
    <row r="374" spans="1:60" x14ac:dyDescent="0.3">
      <c r="A374" t="s">
        <v>572</v>
      </c>
      <c r="B374" t="s">
        <v>2611</v>
      </c>
      <c r="C374" t="s">
        <v>574</v>
      </c>
      <c r="D374">
        <v>2020</v>
      </c>
      <c r="E374" s="52" t="s">
        <v>2612</v>
      </c>
      <c r="F374">
        <v>1671330</v>
      </c>
      <c r="G374">
        <v>1676083</v>
      </c>
      <c r="H374" t="s">
        <v>581</v>
      </c>
      <c r="I374" t="s">
        <v>572</v>
      </c>
      <c r="J374" s="51">
        <v>3.4479166666666665E-2</v>
      </c>
      <c r="K374" t="s">
        <v>140</v>
      </c>
      <c r="L374" t="s">
        <v>577</v>
      </c>
      <c r="M374" t="s">
        <v>578</v>
      </c>
      <c r="N374" t="s">
        <v>163</v>
      </c>
      <c r="O374" t="s">
        <v>144</v>
      </c>
      <c r="P374" t="s">
        <v>119</v>
      </c>
      <c r="Q374" t="s">
        <v>228</v>
      </c>
      <c r="R374" t="s">
        <v>147</v>
      </c>
      <c r="S374" t="s">
        <v>148</v>
      </c>
      <c r="T374" t="s">
        <v>373</v>
      </c>
      <c r="U374" t="s">
        <v>229</v>
      </c>
      <c r="V374">
        <v>3</v>
      </c>
      <c r="W374" t="s">
        <v>269</v>
      </c>
      <c r="X374" t="s">
        <v>2613</v>
      </c>
      <c r="Y374" t="s">
        <v>153</v>
      </c>
      <c r="Z374" s="53" t="s">
        <v>2614</v>
      </c>
      <c r="AA374"/>
      <c r="AB374"/>
      <c r="AC374"/>
      <c r="AD374"/>
      <c r="AE374">
        <v>1</v>
      </c>
      <c r="AF374"/>
      <c r="AH374" s="8">
        <v>1</v>
      </c>
      <c r="AP374" s="9">
        <v>1</v>
      </c>
      <c r="BD374" s="3">
        <v>1</v>
      </c>
      <c r="BG374" t="str">
        <f t="shared" si="5"/>
        <v>Interazionale &amp; Metatestuale</v>
      </c>
      <c r="BH374" s="3" t="str" cm="1">
        <f t="array" ref="BH374">IF(AE374=1, _xlfn.TEXTJOIN(" &amp; ", TRUE, _xlfn._xlws.FILTER($AG$2:$BC$2, AG374:BC374=1)), "")</f>
        <v>Richiesta di accordo/conferma &amp; Gestione del topic: introduzione o ripresa di topic</v>
      </c>
    </row>
    <row r="375" spans="1:60" x14ac:dyDescent="0.3">
      <c r="A375" t="s">
        <v>572</v>
      </c>
      <c r="B375" t="s">
        <v>2615</v>
      </c>
      <c r="C375" t="s">
        <v>574</v>
      </c>
      <c r="D375">
        <v>2020</v>
      </c>
      <c r="E375" s="52" t="s">
        <v>2616</v>
      </c>
      <c r="F375">
        <v>1707194</v>
      </c>
      <c r="G375">
        <v>1712538</v>
      </c>
      <c r="H375" t="s">
        <v>581</v>
      </c>
      <c r="I375" t="s">
        <v>572</v>
      </c>
      <c r="J375" s="51">
        <v>3.4479166666666665E-2</v>
      </c>
      <c r="K375" t="s">
        <v>140</v>
      </c>
      <c r="L375" t="s">
        <v>577</v>
      </c>
      <c r="M375" t="s">
        <v>578</v>
      </c>
      <c r="N375" t="s">
        <v>163</v>
      </c>
      <c r="O375" t="s">
        <v>144</v>
      </c>
      <c r="P375" t="s">
        <v>119</v>
      </c>
      <c r="Q375" t="s">
        <v>228</v>
      </c>
      <c r="R375" t="s">
        <v>147</v>
      </c>
      <c r="S375" t="s">
        <v>148</v>
      </c>
      <c r="T375" t="s">
        <v>373</v>
      </c>
      <c r="U375" t="s">
        <v>229</v>
      </c>
      <c r="V375">
        <v>3</v>
      </c>
      <c r="W375" t="s">
        <v>269</v>
      </c>
      <c r="X375" t="s">
        <v>2617</v>
      </c>
      <c r="Y375" t="s">
        <v>153</v>
      </c>
      <c r="Z375" s="53" t="s">
        <v>2618</v>
      </c>
      <c r="AA375">
        <v>1</v>
      </c>
      <c r="AB375"/>
      <c r="AC375">
        <v>1</v>
      </c>
      <c r="AD375"/>
      <c r="AE375"/>
      <c r="AF375"/>
      <c r="BG375" t="str">
        <f t="shared" si="5"/>
        <v/>
      </c>
      <c r="BH375" s="3" t="str" cm="1">
        <f t="array" ref="BH375">IF(AE375=1, _xlfn.TEXTJOIN(" &amp; ", TRUE, _xlfn._xlws.FILTER($AG$2:$BC$2, AG375:BC375=1)), "")</f>
        <v/>
      </c>
    </row>
    <row r="376" spans="1:60" x14ac:dyDescent="0.3">
      <c r="A376" t="s">
        <v>572</v>
      </c>
      <c r="B376" t="s">
        <v>2619</v>
      </c>
      <c r="C376" t="s">
        <v>574</v>
      </c>
      <c r="D376">
        <v>2020</v>
      </c>
      <c r="E376" s="52" t="s">
        <v>2620</v>
      </c>
      <c r="F376">
        <v>1995630</v>
      </c>
      <c r="G376">
        <v>1999972</v>
      </c>
      <c r="H376" t="s">
        <v>584</v>
      </c>
      <c r="I376" t="s">
        <v>572</v>
      </c>
      <c r="J376" s="51">
        <v>3.4479166666666665E-2</v>
      </c>
      <c r="K376" t="s">
        <v>140</v>
      </c>
      <c r="L376" t="s">
        <v>577</v>
      </c>
      <c r="M376" t="s">
        <v>578</v>
      </c>
      <c r="N376" t="s">
        <v>143</v>
      </c>
      <c r="O376" t="s">
        <v>164</v>
      </c>
      <c r="P376" t="s">
        <v>119</v>
      </c>
      <c r="Q376" t="s">
        <v>146</v>
      </c>
      <c r="R376" t="s">
        <v>147</v>
      </c>
      <c r="S376" t="s">
        <v>148</v>
      </c>
      <c r="T376" t="s">
        <v>373</v>
      </c>
      <c r="U376" t="s">
        <v>151</v>
      </c>
      <c r="V376">
        <v>3</v>
      </c>
      <c r="W376" t="s">
        <v>269</v>
      </c>
      <c r="X376" t="s">
        <v>2621</v>
      </c>
      <c r="Y376" t="s">
        <v>153</v>
      </c>
      <c r="Z376" s="53" t="s">
        <v>2622</v>
      </c>
      <c r="AA376"/>
      <c r="AB376"/>
      <c r="AC376"/>
      <c r="AD376"/>
      <c r="AE376">
        <v>1</v>
      </c>
      <c r="AF376"/>
      <c r="AK376" s="7">
        <v>1</v>
      </c>
      <c r="AP376" s="9">
        <v>1</v>
      </c>
      <c r="BD376" s="3">
        <v>1</v>
      </c>
      <c r="BG376" t="str">
        <f t="shared" si="5"/>
        <v>Interazionale &amp; Metatestuale</v>
      </c>
      <c r="BH376" s="3" t="str" cm="1">
        <f t="array" ref="BH376">IF(AE376=1, _xlfn.TEXTJOIN(" &amp; ", TRUE, _xlfn._xlws.FILTER($AG$2:$BC$2, AG376:BC376=1)), "")</f>
        <v>Interruzione &amp; Gestione del topic: introduzione o ripresa di topic</v>
      </c>
    </row>
    <row r="377" spans="1:60" x14ac:dyDescent="0.3">
      <c r="A377" t="s">
        <v>572</v>
      </c>
      <c r="B377" t="s">
        <v>2623</v>
      </c>
      <c r="C377" t="s">
        <v>574</v>
      </c>
      <c r="D377">
        <v>2020</v>
      </c>
      <c r="E377" s="52" t="s">
        <v>2624</v>
      </c>
      <c r="F377">
        <v>2017768</v>
      </c>
      <c r="G377">
        <v>2018851</v>
      </c>
      <c r="H377" t="s">
        <v>584</v>
      </c>
      <c r="I377" t="s">
        <v>572</v>
      </c>
      <c r="J377" s="51">
        <v>3.4479166666666665E-2</v>
      </c>
      <c r="K377" t="s">
        <v>140</v>
      </c>
      <c r="L377" t="s">
        <v>577</v>
      </c>
      <c r="M377" t="s">
        <v>578</v>
      </c>
      <c r="N377" t="s">
        <v>143</v>
      </c>
      <c r="O377" t="s">
        <v>164</v>
      </c>
      <c r="P377" t="s">
        <v>119</v>
      </c>
      <c r="Q377" t="s">
        <v>146</v>
      </c>
      <c r="R377" t="s">
        <v>147</v>
      </c>
      <c r="S377" t="s">
        <v>148</v>
      </c>
      <c r="T377" t="s">
        <v>373</v>
      </c>
      <c r="U377" t="s">
        <v>151</v>
      </c>
      <c r="V377">
        <v>3</v>
      </c>
      <c r="W377" t="s">
        <v>269</v>
      </c>
      <c r="X377" t="s">
        <v>2625</v>
      </c>
      <c r="Y377" t="s">
        <v>153</v>
      </c>
      <c r="Z377" s="53" t="s">
        <v>2626</v>
      </c>
      <c r="AA377">
        <v>1</v>
      </c>
      <c r="AB377">
        <v>1</v>
      </c>
      <c r="AC377"/>
      <c r="AD377"/>
      <c r="AE377"/>
      <c r="AF377"/>
      <c r="BG377" t="str">
        <f t="shared" si="5"/>
        <v/>
      </c>
      <c r="BH377" s="3" t="str" cm="1">
        <f t="array" ref="BH377">IF(AE377=1, _xlfn.TEXTJOIN(" &amp; ", TRUE, _xlfn._xlws.FILTER($AG$2:$BC$2, AG377:BC377=1)), "")</f>
        <v/>
      </c>
    </row>
    <row r="378" spans="1:60" x14ac:dyDescent="0.3">
      <c r="A378" t="s">
        <v>572</v>
      </c>
      <c r="B378" t="s">
        <v>2627</v>
      </c>
      <c r="C378" t="s">
        <v>574</v>
      </c>
      <c r="D378">
        <v>2020</v>
      </c>
      <c r="E378" s="52" t="s">
        <v>2628</v>
      </c>
      <c r="F378">
        <v>2475328</v>
      </c>
      <c r="G378">
        <v>2477652</v>
      </c>
      <c r="H378" t="s">
        <v>584</v>
      </c>
      <c r="I378" t="s">
        <v>572</v>
      </c>
      <c r="J378" s="51">
        <v>3.4479166666666665E-2</v>
      </c>
      <c r="K378" t="s">
        <v>140</v>
      </c>
      <c r="L378" t="s">
        <v>577</v>
      </c>
      <c r="M378" t="s">
        <v>578</v>
      </c>
      <c r="N378" t="s">
        <v>143</v>
      </c>
      <c r="O378" t="s">
        <v>164</v>
      </c>
      <c r="P378" t="s">
        <v>119</v>
      </c>
      <c r="Q378" t="s">
        <v>146</v>
      </c>
      <c r="R378" t="s">
        <v>147</v>
      </c>
      <c r="S378" t="s">
        <v>148</v>
      </c>
      <c r="T378" t="s">
        <v>373</v>
      </c>
      <c r="U378" t="s">
        <v>151</v>
      </c>
      <c r="V378">
        <v>3</v>
      </c>
      <c r="W378" t="s">
        <v>269</v>
      </c>
      <c r="X378" t="s">
        <v>2629</v>
      </c>
      <c r="Y378" t="s">
        <v>153</v>
      </c>
      <c r="Z378" s="53" t="s">
        <v>2630</v>
      </c>
      <c r="AA378">
        <v>1</v>
      </c>
      <c r="AB378">
        <v>1</v>
      </c>
      <c r="AC378"/>
      <c r="AD378"/>
      <c r="AE378"/>
      <c r="AF378"/>
      <c r="BG378" t="str">
        <f t="shared" si="5"/>
        <v/>
      </c>
      <c r="BH378" s="3" t="str" cm="1">
        <f t="array" ref="BH378">IF(AE378=1, _xlfn.TEXTJOIN(" &amp; ", TRUE, _xlfn._xlws.FILTER($AG$2:$BC$2, AG378:BC378=1)), "")</f>
        <v/>
      </c>
    </row>
    <row r="379" spans="1:60" x14ac:dyDescent="0.3">
      <c r="A379" t="s">
        <v>572</v>
      </c>
      <c r="B379" t="s">
        <v>582</v>
      </c>
      <c r="C379" t="s">
        <v>574</v>
      </c>
      <c r="D379">
        <v>2020</v>
      </c>
      <c r="E379" s="52" t="s">
        <v>583</v>
      </c>
      <c r="F379">
        <v>2500607</v>
      </c>
      <c r="G379">
        <v>2503797</v>
      </c>
      <c r="H379" t="s">
        <v>584</v>
      </c>
      <c r="I379" t="s">
        <v>572</v>
      </c>
      <c r="J379" s="51">
        <v>3.4479166666666665E-2</v>
      </c>
      <c r="K379" t="s">
        <v>140</v>
      </c>
      <c r="L379" t="s">
        <v>577</v>
      </c>
      <c r="M379" t="s">
        <v>578</v>
      </c>
      <c r="N379" t="s">
        <v>143</v>
      </c>
      <c r="O379" t="s">
        <v>164</v>
      </c>
      <c r="P379" t="s">
        <v>119</v>
      </c>
      <c r="Q379" t="s">
        <v>146</v>
      </c>
      <c r="R379" t="s">
        <v>147</v>
      </c>
      <c r="S379" t="s">
        <v>148</v>
      </c>
      <c r="T379" t="s">
        <v>373</v>
      </c>
      <c r="U379" t="s">
        <v>151</v>
      </c>
      <c r="V379">
        <v>3</v>
      </c>
      <c r="W379" t="s">
        <v>269</v>
      </c>
      <c r="X379" t="s">
        <v>585</v>
      </c>
      <c r="Y379" t="s">
        <v>153</v>
      </c>
      <c r="Z379" s="53" t="s">
        <v>586</v>
      </c>
      <c r="AA379">
        <v>1</v>
      </c>
      <c r="AB379">
        <v>1</v>
      </c>
      <c r="AC379"/>
      <c r="AD379"/>
      <c r="AE379"/>
      <c r="AF379"/>
      <c r="BG379" t="str">
        <f t="shared" si="5"/>
        <v/>
      </c>
      <c r="BH379" s="3" t="str" cm="1">
        <f t="array" ref="BH379">IF(AE379=1, _xlfn.TEXTJOIN(" &amp; ", TRUE, _xlfn._xlws.FILTER($AG$2:$BC$2, AG379:BC379=1)), "")</f>
        <v/>
      </c>
    </row>
    <row r="380" spans="1:60" x14ac:dyDescent="0.3">
      <c r="A380" t="s">
        <v>572</v>
      </c>
      <c r="B380" t="s">
        <v>2631</v>
      </c>
      <c r="C380" t="s">
        <v>574</v>
      </c>
      <c r="D380">
        <v>2020</v>
      </c>
      <c r="E380" s="52" t="s">
        <v>2632</v>
      </c>
      <c r="F380">
        <v>2735065</v>
      </c>
      <c r="G380">
        <v>2737991</v>
      </c>
      <c r="H380" t="s">
        <v>581</v>
      </c>
      <c r="I380" t="s">
        <v>572</v>
      </c>
      <c r="J380" s="51">
        <v>3.4479166666666665E-2</v>
      </c>
      <c r="K380" t="s">
        <v>140</v>
      </c>
      <c r="L380" t="s">
        <v>577</v>
      </c>
      <c r="M380" t="s">
        <v>578</v>
      </c>
      <c r="N380" t="s">
        <v>163</v>
      </c>
      <c r="O380" t="s">
        <v>144</v>
      </c>
      <c r="P380" t="s">
        <v>119</v>
      </c>
      <c r="Q380" t="s">
        <v>228</v>
      </c>
      <c r="R380" t="s">
        <v>147</v>
      </c>
      <c r="S380" t="s">
        <v>148</v>
      </c>
      <c r="T380" t="s">
        <v>373</v>
      </c>
      <c r="U380" t="s">
        <v>229</v>
      </c>
      <c r="V380">
        <v>3</v>
      </c>
      <c r="W380" t="s">
        <v>269</v>
      </c>
      <c r="X380" t="s">
        <v>2633</v>
      </c>
      <c r="Y380" t="s">
        <v>153</v>
      </c>
      <c r="Z380" s="53" t="s">
        <v>2634</v>
      </c>
      <c r="AA380">
        <v>1</v>
      </c>
      <c r="AB380"/>
      <c r="AC380">
        <v>1</v>
      </c>
      <c r="AD380"/>
      <c r="AE380"/>
      <c r="AF380"/>
      <c r="BG380" t="str">
        <f t="shared" si="5"/>
        <v/>
      </c>
      <c r="BH380" s="3" t="str" cm="1">
        <f t="array" ref="BH380">IF(AE380=1, _xlfn.TEXTJOIN(" &amp; ", TRUE, _xlfn._xlws.FILTER($AG$2:$BC$2, AG380:BC380=1)), "")</f>
        <v/>
      </c>
    </row>
    <row r="381" spans="1:60" x14ac:dyDescent="0.3">
      <c r="A381" t="s">
        <v>587</v>
      </c>
      <c r="B381" t="s">
        <v>591</v>
      </c>
      <c r="C381" t="s">
        <v>588</v>
      </c>
      <c r="D381">
        <v>2019</v>
      </c>
      <c r="E381" s="52" t="s">
        <v>592</v>
      </c>
      <c r="F381">
        <v>2513500</v>
      </c>
      <c r="G381">
        <v>2516601</v>
      </c>
      <c r="H381" t="s">
        <v>593</v>
      </c>
      <c r="I381" t="s">
        <v>587</v>
      </c>
      <c r="J381" s="51">
        <v>6.4236111111111105E-2</v>
      </c>
      <c r="K381" t="s">
        <v>160</v>
      </c>
      <c r="L381" t="s">
        <v>589</v>
      </c>
      <c r="M381" t="s">
        <v>590</v>
      </c>
      <c r="N381" t="s">
        <v>336</v>
      </c>
      <c r="O381" t="s">
        <v>164</v>
      </c>
      <c r="P381" t="s">
        <v>145</v>
      </c>
      <c r="Q381" t="s">
        <v>228</v>
      </c>
      <c r="R381" t="s">
        <v>167</v>
      </c>
      <c r="S381" t="s">
        <v>168</v>
      </c>
      <c r="T381" t="s">
        <v>149</v>
      </c>
      <c r="U381" t="s">
        <v>349</v>
      </c>
      <c r="V381">
        <v>3</v>
      </c>
      <c r="W381" t="s">
        <v>170</v>
      </c>
      <c r="X381" t="s">
        <v>594</v>
      </c>
      <c r="Y381" t="s">
        <v>153</v>
      </c>
      <c r="Z381" s="53" t="s">
        <v>595</v>
      </c>
      <c r="AA381">
        <v>1</v>
      </c>
      <c r="AB381"/>
      <c r="AC381">
        <v>1</v>
      </c>
      <c r="AD381"/>
      <c r="AE381"/>
      <c r="AF381"/>
      <c r="BG381" t="str">
        <f t="shared" si="5"/>
        <v/>
      </c>
      <c r="BH381" s="3" t="str" cm="1">
        <f t="array" ref="BH381">IF(AE381=1, _xlfn.TEXTJOIN(" &amp; ", TRUE, _xlfn._xlws.FILTER($AG$2:$BC$2, AG381:BC381=1)), "")</f>
        <v/>
      </c>
    </row>
    <row r="382" spans="1:60" x14ac:dyDescent="0.3">
      <c r="A382" t="s">
        <v>587</v>
      </c>
      <c r="B382" t="s">
        <v>2635</v>
      </c>
      <c r="C382" t="s">
        <v>588</v>
      </c>
      <c r="D382">
        <v>2019</v>
      </c>
      <c r="E382" s="52" t="s">
        <v>2636</v>
      </c>
      <c r="F382">
        <v>3340110</v>
      </c>
      <c r="G382">
        <v>3343702</v>
      </c>
      <c r="H382" t="s">
        <v>1160</v>
      </c>
      <c r="I382" t="s">
        <v>587</v>
      </c>
      <c r="J382" s="51">
        <v>6.4236111111111105E-2</v>
      </c>
      <c r="K382" t="s">
        <v>160</v>
      </c>
      <c r="L382" t="s">
        <v>589</v>
      </c>
      <c r="M382" t="s">
        <v>590</v>
      </c>
      <c r="N382" t="s">
        <v>336</v>
      </c>
      <c r="O382" t="s">
        <v>144</v>
      </c>
      <c r="P382" t="s">
        <v>145</v>
      </c>
      <c r="Q382" t="s">
        <v>228</v>
      </c>
      <c r="R382" t="s">
        <v>167</v>
      </c>
      <c r="S382" t="s">
        <v>168</v>
      </c>
      <c r="T382" t="s">
        <v>666</v>
      </c>
      <c r="U382" t="s">
        <v>349</v>
      </c>
      <c r="V382">
        <v>3</v>
      </c>
      <c r="W382" t="s">
        <v>170</v>
      </c>
      <c r="X382" t="s">
        <v>2637</v>
      </c>
      <c r="Y382" t="s">
        <v>153</v>
      </c>
      <c r="Z382" s="53" t="s">
        <v>2638</v>
      </c>
      <c r="AA382"/>
      <c r="AB382"/>
      <c r="AC382"/>
      <c r="AD382"/>
      <c r="AE382">
        <v>1</v>
      </c>
      <c r="AF382">
        <v>1</v>
      </c>
      <c r="AV382" s="9">
        <v>1</v>
      </c>
      <c r="BG382" t="str">
        <f t="shared" si="5"/>
        <v>Metatestuale</v>
      </c>
      <c r="BH382" s="3" t="str" cm="1">
        <f t="array" ref="BH382">IF(AE382=1, _xlfn.TEXTJOIN(" &amp; ", TRUE, _xlfn._xlws.FILTER($AG$2:$BC$2, AG382:BC382=1)), "")</f>
        <v>Filler, riempimento dei tempi di formulazione</v>
      </c>
    </row>
    <row r="383" spans="1:60" x14ac:dyDescent="0.3">
      <c r="A383" t="s">
        <v>587</v>
      </c>
      <c r="B383" t="s">
        <v>2639</v>
      </c>
      <c r="C383" t="s">
        <v>588</v>
      </c>
      <c r="D383">
        <v>2019</v>
      </c>
      <c r="E383" s="52" t="s">
        <v>2640</v>
      </c>
      <c r="F383">
        <v>3427510</v>
      </c>
      <c r="G383">
        <v>3432707</v>
      </c>
      <c r="H383" t="s">
        <v>1160</v>
      </c>
      <c r="I383" t="s">
        <v>587</v>
      </c>
      <c r="J383" s="51">
        <v>6.4236111111111105E-2</v>
      </c>
      <c r="K383" t="s">
        <v>160</v>
      </c>
      <c r="L383" t="s">
        <v>589</v>
      </c>
      <c r="M383" t="s">
        <v>590</v>
      </c>
      <c r="N383" t="s">
        <v>336</v>
      </c>
      <c r="O383" t="s">
        <v>144</v>
      </c>
      <c r="P383" t="s">
        <v>145</v>
      </c>
      <c r="Q383" t="s">
        <v>228</v>
      </c>
      <c r="R383" t="s">
        <v>167</v>
      </c>
      <c r="S383" t="s">
        <v>168</v>
      </c>
      <c r="T383" t="s">
        <v>666</v>
      </c>
      <c r="U383" t="s">
        <v>349</v>
      </c>
      <c r="V383">
        <v>3</v>
      </c>
      <c r="W383" t="s">
        <v>170</v>
      </c>
      <c r="X383" t="s">
        <v>2641</v>
      </c>
      <c r="Y383" t="s">
        <v>153</v>
      </c>
      <c r="Z383" s="53" t="s">
        <v>2642</v>
      </c>
      <c r="AA383"/>
      <c r="AB383"/>
      <c r="AC383"/>
      <c r="AD383"/>
      <c r="AE383">
        <v>1</v>
      </c>
      <c r="AF383">
        <v>1</v>
      </c>
      <c r="AG383" s="7">
        <v>1</v>
      </c>
      <c r="AM383" s="7">
        <v>1</v>
      </c>
      <c r="AP383" s="9">
        <v>1</v>
      </c>
      <c r="BD383" s="3">
        <v>1</v>
      </c>
      <c r="BG383" t="str">
        <f t="shared" si="5"/>
        <v>Interazionale &amp; Metatestuale</v>
      </c>
      <c r="BH383" s="3" t="str" cm="1">
        <f t="array" ref="BH383">IF(AE383=1, _xlfn.TEXTJOIN(" &amp; ", TRUE, _xlfn._xlws.FILTER($AG$2:$BC$2, AG383:BC383=1)), "")</f>
        <v>Presa di turno &amp; Marcatura della conoscenza condivisa &amp; Gestione del topic: introduzione o ripresa di topic</v>
      </c>
    </row>
    <row r="384" spans="1:60" x14ac:dyDescent="0.3">
      <c r="A384" t="s">
        <v>587</v>
      </c>
      <c r="B384" t="s">
        <v>2643</v>
      </c>
      <c r="C384" t="s">
        <v>588</v>
      </c>
      <c r="D384">
        <v>2019</v>
      </c>
      <c r="E384" s="52" t="s">
        <v>2644</v>
      </c>
      <c r="F384">
        <v>5379110</v>
      </c>
      <c r="G384">
        <v>5380301</v>
      </c>
      <c r="H384" t="s">
        <v>593</v>
      </c>
      <c r="I384" t="s">
        <v>587</v>
      </c>
      <c r="J384" s="51">
        <v>6.4236111111111105E-2</v>
      </c>
      <c r="K384" t="s">
        <v>160</v>
      </c>
      <c r="L384" t="s">
        <v>589</v>
      </c>
      <c r="M384" t="s">
        <v>590</v>
      </c>
      <c r="N384" t="s">
        <v>336</v>
      </c>
      <c r="O384" t="s">
        <v>164</v>
      </c>
      <c r="P384" t="s">
        <v>145</v>
      </c>
      <c r="Q384" t="s">
        <v>228</v>
      </c>
      <c r="R384" t="s">
        <v>167</v>
      </c>
      <c r="S384" t="s">
        <v>168</v>
      </c>
      <c r="T384" t="s">
        <v>149</v>
      </c>
      <c r="U384" t="s">
        <v>349</v>
      </c>
      <c r="V384">
        <v>3</v>
      </c>
      <c r="W384" t="s">
        <v>170</v>
      </c>
      <c r="X384" t="s">
        <v>2645</v>
      </c>
      <c r="Y384" t="s">
        <v>153</v>
      </c>
      <c r="Z384" s="53" t="s">
        <v>2646</v>
      </c>
      <c r="AA384">
        <v>1</v>
      </c>
      <c r="AB384">
        <v>1</v>
      </c>
      <c r="AC384"/>
      <c r="AD384"/>
      <c r="AE384"/>
      <c r="AF384"/>
      <c r="BG384" t="str">
        <f t="shared" si="5"/>
        <v/>
      </c>
      <c r="BH384" s="3" t="str" cm="1">
        <f t="array" ref="BH384">IF(AE384=1, _xlfn.TEXTJOIN(" &amp; ", TRUE, _xlfn._xlws.FILTER($AG$2:$BC$2, AG384:BC384=1)), "")</f>
        <v/>
      </c>
    </row>
    <row r="385" spans="1:60" x14ac:dyDescent="0.3">
      <c r="A385" t="s">
        <v>2647</v>
      </c>
      <c r="B385" t="s">
        <v>2648</v>
      </c>
      <c r="C385" t="s">
        <v>2649</v>
      </c>
      <c r="D385">
        <v>2023</v>
      </c>
      <c r="E385" s="52" t="s">
        <v>2650</v>
      </c>
      <c r="F385">
        <v>698635</v>
      </c>
      <c r="G385">
        <v>700173</v>
      </c>
      <c r="H385" t="s">
        <v>704</v>
      </c>
      <c r="I385" t="s">
        <v>2647</v>
      </c>
      <c r="J385" s="51">
        <v>2.5960648148148149E-2</v>
      </c>
      <c r="K385" t="s">
        <v>140</v>
      </c>
      <c r="L385" t="s">
        <v>2651</v>
      </c>
      <c r="M385" t="s">
        <v>2652</v>
      </c>
      <c r="N385" t="s">
        <v>143</v>
      </c>
      <c r="O385" t="s">
        <v>144</v>
      </c>
      <c r="P385" t="s">
        <v>698</v>
      </c>
      <c r="Q385" t="s">
        <v>146</v>
      </c>
      <c r="R385" t="s">
        <v>147</v>
      </c>
      <c r="S385" t="s">
        <v>148</v>
      </c>
      <c r="T385" t="s">
        <v>189</v>
      </c>
      <c r="U385" t="s">
        <v>151</v>
      </c>
      <c r="V385">
        <v>3</v>
      </c>
      <c r="W385" t="s">
        <v>269</v>
      </c>
      <c r="X385" t="s">
        <v>2653</v>
      </c>
      <c r="Y385" t="s">
        <v>153</v>
      </c>
      <c r="Z385" s="53" t="s">
        <v>2654</v>
      </c>
      <c r="AA385">
        <v>1</v>
      </c>
      <c r="AB385"/>
      <c r="AC385">
        <v>1</v>
      </c>
      <c r="AD385"/>
      <c r="AE385"/>
      <c r="AF385"/>
      <c r="BG385" t="str">
        <f t="shared" si="5"/>
        <v/>
      </c>
      <c r="BH385" s="3" t="str" cm="1">
        <f t="array" ref="BH385">IF(AE385=1, _xlfn.TEXTJOIN(" &amp; ", TRUE, _xlfn._xlws.FILTER($AG$2:$BC$2, AG385:BC385=1)), "")</f>
        <v/>
      </c>
    </row>
    <row r="386" spans="1:60" x14ac:dyDescent="0.3">
      <c r="A386" t="s">
        <v>2647</v>
      </c>
      <c r="B386" t="s">
        <v>2655</v>
      </c>
      <c r="C386" t="s">
        <v>2649</v>
      </c>
      <c r="D386">
        <v>2023</v>
      </c>
      <c r="E386" s="52" t="s">
        <v>2656</v>
      </c>
      <c r="F386">
        <v>864296</v>
      </c>
      <c r="G386">
        <v>868210</v>
      </c>
      <c r="H386" t="s">
        <v>2657</v>
      </c>
      <c r="I386" t="s">
        <v>2647</v>
      </c>
      <c r="J386" s="51">
        <v>2.5960648148148149E-2</v>
      </c>
      <c r="K386" t="s">
        <v>140</v>
      </c>
      <c r="L386" t="s">
        <v>2651</v>
      </c>
      <c r="M386" t="s">
        <v>2652</v>
      </c>
      <c r="N386" t="s">
        <v>163</v>
      </c>
      <c r="O386" t="s">
        <v>144</v>
      </c>
      <c r="P386" t="s">
        <v>698</v>
      </c>
      <c r="Q386" t="s">
        <v>228</v>
      </c>
      <c r="R386" t="s">
        <v>147</v>
      </c>
      <c r="S386" t="s">
        <v>148</v>
      </c>
      <c r="T386" t="s">
        <v>189</v>
      </c>
      <c r="U386" t="s">
        <v>349</v>
      </c>
      <c r="V386">
        <v>3</v>
      </c>
      <c r="W386" t="s">
        <v>269</v>
      </c>
      <c r="X386" t="s">
        <v>2658</v>
      </c>
      <c r="Y386" t="s">
        <v>153</v>
      </c>
      <c r="Z386" s="53" t="s">
        <v>2659</v>
      </c>
      <c r="AA386"/>
      <c r="AB386"/>
      <c r="AC386"/>
      <c r="AD386"/>
      <c r="AE386">
        <v>1</v>
      </c>
      <c r="AF386">
        <v>1</v>
      </c>
      <c r="AH386" s="8">
        <v>1</v>
      </c>
      <c r="AM386" s="7">
        <v>1</v>
      </c>
      <c r="BG386" t="str">
        <f t="shared" si="5"/>
        <v>Interazionale</v>
      </c>
      <c r="BH386" s="3" t="str" cm="1">
        <f t="array" ref="BH386">IF(AE386=1, _xlfn.TEXTJOIN(" &amp; ", TRUE, _xlfn._xlws.FILTER($AG$2:$BC$2, AG386:BC386=1)), "")</f>
        <v>Richiesta di accordo/conferma &amp; Marcatura della conoscenza condivisa</v>
      </c>
    </row>
    <row r="387" spans="1:60" x14ac:dyDescent="0.3">
      <c r="A387" t="s">
        <v>2647</v>
      </c>
      <c r="B387" t="s">
        <v>2660</v>
      </c>
      <c r="C387" t="s">
        <v>2649</v>
      </c>
      <c r="D387">
        <v>2023</v>
      </c>
      <c r="E387" s="52" t="s">
        <v>2661</v>
      </c>
      <c r="F387">
        <v>1989686</v>
      </c>
      <c r="G387">
        <v>1993991</v>
      </c>
      <c r="H387" t="s">
        <v>2657</v>
      </c>
      <c r="I387" t="s">
        <v>2647</v>
      </c>
      <c r="J387" s="51">
        <v>2.5960648148148149E-2</v>
      </c>
      <c r="K387" t="s">
        <v>140</v>
      </c>
      <c r="L387" t="s">
        <v>2651</v>
      </c>
      <c r="M387" t="s">
        <v>2652</v>
      </c>
      <c r="N387" t="s">
        <v>163</v>
      </c>
      <c r="O387" t="s">
        <v>144</v>
      </c>
      <c r="P387" t="s">
        <v>698</v>
      </c>
      <c r="Q387" t="s">
        <v>228</v>
      </c>
      <c r="R387" t="s">
        <v>147</v>
      </c>
      <c r="S387" t="s">
        <v>148</v>
      </c>
      <c r="T387" t="s">
        <v>189</v>
      </c>
      <c r="U387" t="s">
        <v>349</v>
      </c>
      <c r="V387">
        <v>3</v>
      </c>
      <c r="W387" t="s">
        <v>269</v>
      </c>
      <c r="X387" t="s">
        <v>2662</v>
      </c>
      <c r="Y387" t="s">
        <v>153</v>
      </c>
      <c r="Z387" s="53" t="s">
        <v>2663</v>
      </c>
      <c r="AA387"/>
      <c r="AB387"/>
      <c r="AC387"/>
      <c r="AD387"/>
      <c r="AE387">
        <v>1</v>
      </c>
      <c r="AF387">
        <v>1</v>
      </c>
      <c r="AM387" s="7">
        <v>1</v>
      </c>
      <c r="BG387" t="str">
        <f t="shared" si="5"/>
        <v>Interazionale</v>
      </c>
      <c r="BH387" s="3" t="str" cm="1">
        <f t="array" ref="BH387">IF(AE387=1, _xlfn.TEXTJOIN(" &amp; ", TRUE, _xlfn._xlws.FILTER($AG$2:$BC$2, AG387:BC387=1)), "")</f>
        <v>Marcatura della conoscenza condivisa</v>
      </c>
    </row>
    <row r="388" spans="1:60" x14ac:dyDescent="0.3">
      <c r="A388" t="s">
        <v>2664</v>
      </c>
      <c r="B388" t="s">
        <v>2665</v>
      </c>
      <c r="C388" t="s">
        <v>2666</v>
      </c>
      <c r="D388">
        <v>2020</v>
      </c>
      <c r="E388" s="52" t="s">
        <v>2667</v>
      </c>
      <c r="F388">
        <v>514605</v>
      </c>
      <c r="G388">
        <v>517905</v>
      </c>
      <c r="H388" t="s">
        <v>2668</v>
      </c>
      <c r="I388" t="s">
        <v>2664</v>
      </c>
      <c r="J388" s="51">
        <v>2.0902777777777777E-2</v>
      </c>
      <c r="K388" t="s">
        <v>140</v>
      </c>
      <c r="L388" t="s">
        <v>2669</v>
      </c>
      <c r="M388" t="s">
        <v>2670</v>
      </c>
      <c r="N388" t="s">
        <v>381</v>
      </c>
      <c r="O388" t="s">
        <v>144</v>
      </c>
      <c r="P388" t="s">
        <v>747</v>
      </c>
      <c r="Q388" t="s">
        <v>228</v>
      </c>
      <c r="R388" t="s">
        <v>147</v>
      </c>
      <c r="S388" t="s">
        <v>148</v>
      </c>
      <c r="T388" t="s">
        <v>658</v>
      </c>
      <c r="U388" t="s">
        <v>229</v>
      </c>
      <c r="V388">
        <v>4</v>
      </c>
      <c r="W388" t="s">
        <v>269</v>
      </c>
      <c r="X388" t="s">
        <v>2671</v>
      </c>
      <c r="Y388" t="s">
        <v>153</v>
      </c>
      <c r="Z388" s="53" t="s">
        <v>2672</v>
      </c>
      <c r="AA388">
        <v>1</v>
      </c>
      <c r="AB388"/>
      <c r="AC388"/>
      <c r="AD388">
        <v>1</v>
      </c>
      <c r="AE388"/>
      <c r="AF388"/>
      <c r="BG388" t="str">
        <f t="shared" ref="BG388:BG451" si="7">IF(AE388=1,_xlfn.TEXTJOIN(" &amp; ", TRUE,
    IF(COUNTIF(AG388:AO388,1)&gt;0,"Interazionale",""),
    IF(COUNTIF(AP388:AW388,1)&gt;0,"Metatestuale",""),
    IF(COUNTIF(AX388:BC388,1)&gt;0,"Cognitiva","")
),"")</f>
        <v/>
      </c>
      <c r="BH388" s="3" t="str" cm="1">
        <f t="array" ref="BH388">IF(AE388=1, _xlfn.TEXTJOIN(" &amp; ", TRUE, _xlfn._xlws.FILTER($AG$2:$BC$2, AG388:BC388=1)), "")</f>
        <v/>
      </c>
    </row>
    <row r="389" spans="1:60" x14ac:dyDescent="0.3">
      <c r="A389" t="s">
        <v>2664</v>
      </c>
      <c r="B389" t="s">
        <v>2673</v>
      </c>
      <c r="C389" t="s">
        <v>2666</v>
      </c>
      <c r="D389">
        <v>2020</v>
      </c>
      <c r="E389" s="52" t="s">
        <v>2674</v>
      </c>
      <c r="F389">
        <v>1517045</v>
      </c>
      <c r="G389">
        <v>1522335</v>
      </c>
      <c r="H389" t="s">
        <v>784</v>
      </c>
      <c r="I389" t="s">
        <v>2664</v>
      </c>
      <c r="J389" s="51">
        <v>2.0902777777777777E-2</v>
      </c>
      <c r="K389" t="s">
        <v>140</v>
      </c>
      <c r="L389" t="s">
        <v>2669</v>
      </c>
      <c r="M389" t="s">
        <v>2670</v>
      </c>
      <c r="N389" t="s">
        <v>143</v>
      </c>
      <c r="O389" t="s">
        <v>164</v>
      </c>
      <c r="P389" t="s">
        <v>747</v>
      </c>
      <c r="Q389" t="s">
        <v>146</v>
      </c>
      <c r="R389" t="s">
        <v>147</v>
      </c>
      <c r="S389" t="s">
        <v>148</v>
      </c>
      <c r="T389" t="s">
        <v>658</v>
      </c>
      <c r="U389" t="s">
        <v>151</v>
      </c>
      <c r="V389">
        <v>4</v>
      </c>
      <c r="W389" t="s">
        <v>269</v>
      </c>
      <c r="X389" t="s">
        <v>2675</v>
      </c>
      <c r="Y389" t="s">
        <v>153</v>
      </c>
      <c r="Z389" s="53" t="s">
        <v>2676</v>
      </c>
      <c r="AA389">
        <v>1</v>
      </c>
      <c r="AB389"/>
      <c r="AC389">
        <v>1</v>
      </c>
      <c r="AD389"/>
      <c r="AE389"/>
      <c r="AF389"/>
      <c r="BG389" t="str">
        <f t="shared" si="7"/>
        <v/>
      </c>
      <c r="BH389" s="3" t="str" cm="1">
        <f t="array" ref="BH389">IF(AE389=1, _xlfn.TEXTJOIN(" &amp; ", TRUE, _xlfn._xlws.FILTER($AG$2:$BC$2, AG389:BC389=1)), "")</f>
        <v/>
      </c>
    </row>
    <row r="390" spans="1:60" x14ac:dyDescent="0.3">
      <c r="A390" t="s">
        <v>2677</v>
      </c>
      <c r="B390" t="s">
        <v>2678</v>
      </c>
      <c r="C390" t="s">
        <v>2679</v>
      </c>
      <c r="D390" t="s">
        <v>204</v>
      </c>
      <c r="E390" s="52" t="s">
        <v>2680</v>
      </c>
      <c r="F390">
        <v>570945</v>
      </c>
      <c r="G390">
        <v>580260</v>
      </c>
      <c r="H390" t="s">
        <v>1070</v>
      </c>
      <c r="I390" t="s">
        <v>2677</v>
      </c>
      <c r="J390" s="51">
        <v>1.4826388888888889E-2</v>
      </c>
      <c r="K390" t="s">
        <v>140</v>
      </c>
      <c r="L390" t="s">
        <v>2681</v>
      </c>
      <c r="M390" t="s">
        <v>2682</v>
      </c>
      <c r="N390" t="s">
        <v>143</v>
      </c>
      <c r="O390" t="s">
        <v>144</v>
      </c>
      <c r="P390" t="s">
        <v>145</v>
      </c>
      <c r="Q390" t="s">
        <v>146</v>
      </c>
      <c r="R390" t="s">
        <v>147</v>
      </c>
      <c r="S390" t="s">
        <v>148</v>
      </c>
      <c r="T390" t="s">
        <v>1071</v>
      </c>
      <c r="U390" t="s">
        <v>151</v>
      </c>
      <c r="V390">
        <v>2</v>
      </c>
      <c r="W390" t="s">
        <v>150</v>
      </c>
      <c r="X390" t="s">
        <v>2683</v>
      </c>
      <c r="Y390" t="s">
        <v>153</v>
      </c>
      <c r="Z390" s="53" t="s">
        <v>2684</v>
      </c>
      <c r="AA390">
        <v>1</v>
      </c>
      <c r="AB390">
        <v>1</v>
      </c>
      <c r="AC390"/>
      <c r="AD390"/>
      <c r="AE390"/>
      <c r="AF390"/>
      <c r="BG390" t="str">
        <f t="shared" si="7"/>
        <v/>
      </c>
      <c r="BH390" s="3" t="str" cm="1">
        <f t="array" ref="BH390">IF(AE390=1, _xlfn.TEXTJOIN(" &amp; ", TRUE, _xlfn._xlws.FILTER($AG$2:$BC$2, AG390:BC390=1)), "")</f>
        <v/>
      </c>
    </row>
    <row r="391" spans="1:60" x14ac:dyDescent="0.3">
      <c r="A391" t="s">
        <v>2677</v>
      </c>
      <c r="B391" t="s">
        <v>2685</v>
      </c>
      <c r="C391" t="s">
        <v>2679</v>
      </c>
      <c r="D391" t="s">
        <v>204</v>
      </c>
      <c r="E391" s="52" t="s">
        <v>2686</v>
      </c>
      <c r="F391">
        <v>588409</v>
      </c>
      <c r="G391">
        <v>599600</v>
      </c>
      <c r="H391" t="s">
        <v>1070</v>
      </c>
      <c r="I391" t="s">
        <v>2677</v>
      </c>
      <c r="J391" s="51">
        <v>1.4826388888888889E-2</v>
      </c>
      <c r="K391" t="s">
        <v>140</v>
      </c>
      <c r="L391" t="s">
        <v>2681</v>
      </c>
      <c r="M391" t="s">
        <v>2682</v>
      </c>
      <c r="N391" t="s">
        <v>143</v>
      </c>
      <c r="O391" t="s">
        <v>144</v>
      </c>
      <c r="P391" t="s">
        <v>145</v>
      </c>
      <c r="Q391" t="s">
        <v>146</v>
      </c>
      <c r="R391" t="s">
        <v>147</v>
      </c>
      <c r="S391" t="s">
        <v>148</v>
      </c>
      <c r="T391" t="s">
        <v>1071</v>
      </c>
      <c r="U391" t="s">
        <v>151</v>
      </c>
      <c r="V391">
        <v>2</v>
      </c>
      <c r="W391" t="s">
        <v>150</v>
      </c>
      <c r="X391" t="s">
        <v>2687</v>
      </c>
      <c r="Y391" t="s">
        <v>153</v>
      </c>
      <c r="Z391" s="53" t="s">
        <v>2688</v>
      </c>
      <c r="AA391">
        <v>1</v>
      </c>
      <c r="AB391">
        <v>1</v>
      </c>
      <c r="AC391"/>
      <c r="AD391"/>
      <c r="AE391"/>
      <c r="AF391"/>
      <c r="BG391" t="str">
        <f t="shared" si="7"/>
        <v/>
      </c>
      <c r="BH391" s="3" t="str" cm="1">
        <f t="array" ref="BH391">IF(AE391=1, _xlfn.TEXTJOIN(" &amp; ", TRUE, _xlfn._xlws.FILTER($AG$2:$BC$2, AG391:BC391=1)), "")</f>
        <v/>
      </c>
    </row>
    <row r="392" spans="1:60" x14ac:dyDescent="0.3">
      <c r="A392" t="s">
        <v>2677</v>
      </c>
      <c r="B392" t="s">
        <v>2689</v>
      </c>
      <c r="C392" t="s">
        <v>2679</v>
      </c>
      <c r="D392" t="s">
        <v>204</v>
      </c>
      <c r="E392" s="52" t="s">
        <v>2690</v>
      </c>
      <c r="F392">
        <v>780746</v>
      </c>
      <c r="G392">
        <v>795781</v>
      </c>
      <c r="H392" t="s">
        <v>1070</v>
      </c>
      <c r="I392" t="s">
        <v>2677</v>
      </c>
      <c r="J392" s="51">
        <v>1.4826388888888889E-2</v>
      </c>
      <c r="K392" t="s">
        <v>140</v>
      </c>
      <c r="L392" t="s">
        <v>2681</v>
      </c>
      <c r="M392" t="s">
        <v>2682</v>
      </c>
      <c r="N392" t="s">
        <v>143</v>
      </c>
      <c r="O392" t="s">
        <v>144</v>
      </c>
      <c r="P392" t="s">
        <v>145</v>
      </c>
      <c r="Q392" t="s">
        <v>146</v>
      </c>
      <c r="R392" t="s">
        <v>147</v>
      </c>
      <c r="S392" t="s">
        <v>148</v>
      </c>
      <c r="T392" t="s">
        <v>1071</v>
      </c>
      <c r="U392" t="s">
        <v>151</v>
      </c>
      <c r="V392">
        <v>2</v>
      </c>
      <c r="W392" t="s">
        <v>150</v>
      </c>
      <c r="X392" t="s">
        <v>2691</v>
      </c>
      <c r="Y392" t="s">
        <v>153</v>
      </c>
      <c r="Z392" s="53" t="s">
        <v>2692</v>
      </c>
      <c r="AA392"/>
      <c r="AB392"/>
      <c r="AC392"/>
      <c r="AD392"/>
      <c r="AE392">
        <v>1</v>
      </c>
      <c r="AF392"/>
      <c r="AH392" s="8">
        <v>1</v>
      </c>
      <c r="BG392" t="str">
        <f t="shared" si="7"/>
        <v>Interazionale</v>
      </c>
      <c r="BH392" s="3" t="str" cm="1">
        <f t="array" ref="BH392">IF(AE392=1, _xlfn.TEXTJOIN(" &amp; ", TRUE, _xlfn._xlws.FILTER($AG$2:$BC$2, AG392:BC392=1)), "")</f>
        <v>Richiesta di accordo/conferma</v>
      </c>
    </row>
    <row r="393" spans="1:60" x14ac:dyDescent="0.3">
      <c r="A393" t="s">
        <v>2677</v>
      </c>
      <c r="B393" t="s">
        <v>2693</v>
      </c>
      <c r="C393" t="s">
        <v>2679</v>
      </c>
      <c r="D393" t="s">
        <v>204</v>
      </c>
      <c r="E393" s="52" t="s">
        <v>2694</v>
      </c>
      <c r="F393">
        <v>1243340</v>
      </c>
      <c r="G393">
        <v>1251972</v>
      </c>
      <c r="H393" t="s">
        <v>2695</v>
      </c>
      <c r="I393" t="s">
        <v>2677</v>
      </c>
      <c r="J393" s="51">
        <v>1.4826388888888889E-2</v>
      </c>
      <c r="K393" t="s">
        <v>140</v>
      </c>
      <c r="L393" t="s">
        <v>2681</v>
      </c>
      <c r="M393" t="s">
        <v>2682</v>
      </c>
      <c r="N393"/>
      <c r="O393" t="s">
        <v>144</v>
      </c>
      <c r="P393" t="s">
        <v>145</v>
      </c>
      <c r="Q393" t="s">
        <v>146</v>
      </c>
      <c r="R393" t="s">
        <v>147</v>
      </c>
      <c r="S393" t="s">
        <v>148</v>
      </c>
      <c r="T393"/>
      <c r="U393" t="s">
        <v>151</v>
      </c>
      <c r="V393">
        <v>2</v>
      </c>
      <c r="W393" t="s">
        <v>150</v>
      </c>
      <c r="X393" t="s">
        <v>2696</v>
      </c>
      <c r="Y393" t="s">
        <v>153</v>
      </c>
      <c r="Z393" s="53" t="s">
        <v>2697</v>
      </c>
      <c r="AA393"/>
      <c r="AB393"/>
      <c r="AC393"/>
      <c r="AD393"/>
      <c r="AE393">
        <v>1</v>
      </c>
      <c r="AF393"/>
      <c r="AM393" s="7">
        <v>1</v>
      </c>
      <c r="BB393" s="23">
        <v>1</v>
      </c>
      <c r="BD393" s="3">
        <v>1</v>
      </c>
      <c r="BG393" t="str">
        <f t="shared" si="7"/>
        <v>Interazionale &amp; Cognitiva</v>
      </c>
      <c r="BH393" s="3" t="str" cm="1">
        <f t="array" ref="BH393">IF(AE393=1, _xlfn.TEXTJOIN(" &amp; ", TRUE, _xlfn._xlws.FILTER($AG$2:$BC$2, AG393:BC393=1)), "")</f>
        <v>Marcatura della conoscenza condivisa &amp; Attenuazione</v>
      </c>
    </row>
    <row r="394" spans="1:60" x14ac:dyDescent="0.3">
      <c r="A394" t="s">
        <v>596</v>
      </c>
      <c r="B394" t="s">
        <v>597</v>
      </c>
      <c r="C394" t="s">
        <v>598</v>
      </c>
      <c r="D394" t="s">
        <v>204</v>
      </c>
      <c r="E394" s="52" t="s">
        <v>599</v>
      </c>
      <c r="F394">
        <v>387723</v>
      </c>
      <c r="G394">
        <v>391330</v>
      </c>
      <c r="H394" t="s">
        <v>600</v>
      </c>
      <c r="I394" t="s">
        <v>596</v>
      </c>
      <c r="J394" s="51">
        <v>1.6099537037037037E-2</v>
      </c>
      <c r="K394" t="s">
        <v>140</v>
      </c>
      <c r="L394" t="s">
        <v>601</v>
      </c>
      <c r="M394" t="s">
        <v>602</v>
      </c>
      <c r="N394" t="s">
        <v>143</v>
      </c>
      <c r="O394" t="s">
        <v>144</v>
      </c>
      <c r="P394" t="s">
        <v>165</v>
      </c>
      <c r="Q394" t="s">
        <v>146</v>
      </c>
      <c r="R394" t="s">
        <v>147</v>
      </c>
      <c r="S394" t="s">
        <v>148</v>
      </c>
      <c r="T394" t="s">
        <v>603</v>
      </c>
      <c r="U394" t="s">
        <v>151</v>
      </c>
      <c r="V394">
        <v>2</v>
      </c>
      <c r="W394" t="s">
        <v>150</v>
      </c>
      <c r="X394" t="s">
        <v>604</v>
      </c>
      <c r="Y394" t="s">
        <v>153</v>
      </c>
      <c r="Z394" s="53" t="s">
        <v>605</v>
      </c>
      <c r="AA394"/>
      <c r="AB394"/>
      <c r="AC394"/>
      <c r="AD394"/>
      <c r="AE394">
        <v>1</v>
      </c>
      <c r="AF394"/>
      <c r="AV394" s="9">
        <v>1</v>
      </c>
      <c r="BG394" t="str">
        <f t="shared" si="7"/>
        <v>Metatestuale</v>
      </c>
      <c r="BH394" s="3" t="str" cm="1">
        <f t="array" ref="BH394">IF(AE394=1, _xlfn.TEXTJOIN(" &amp; ", TRUE, _xlfn._xlws.FILTER($AG$2:$BC$2, AG394:BC394=1)), "")</f>
        <v>Filler, riempimento dei tempi di formulazione</v>
      </c>
    </row>
    <row r="395" spans="1:60" x14ac:dyDescent="0.3">
      <c r="A395" t="s">
        <v>596</v>
      </c>
      <c r="B395" t="s">
        <v>2698</v>
      </c>
      <c r="C395" t="s">
        <v>598</v>
      </c>
      <c r="D395" t="s">
        <v>204</v>
      </c>
      <c r="E395" s="52" t="s">
        <v>2699</v>
      </c>
      <c r="F395">
        <v>610366</v>
      </c>
      <c r="G395">
        <v>612645</v>
      </c>
      <c r="H395" t="s">
        <v>600</v>
      </c>
      <c r="I395" t="s">
        <v>596</v>
      </c>
      <c r="J395" s="51">
        <v>1.6099537037037037E-2</v>
      </c>
      <c r="K395" t="s">
        <v>140</v>
      </c>
      <c r="L395" t="s">
        <v>601</v>
      </c>
      <c r="M395" t="s">
        <v>602</v>
      </c>
      <c r="N395" t="s">
        <v>143</v>
      </c>
      <c r="O395" t="s">
        <v>144</v>
      </c>
      <c r="P395" t="s">
        <v>165</v>
      </c>
      <c r="Q395" t="s">
        <v>146</v>
      </c>
      <c r="R395" t="s">
        <v>147</v>
      </c>
      <c r="S395" t="s">
        <v>148</v>
      </c>
      <c r="T395" t="s">
        <v>603</v>
      </c>
      <c r="U395" t="s">
        <v>151</v>
      </c>
      <c r="V395">
        <v>2</v>
      </c>
      <c r="W395" t="s">
        <v>150</v>
      </c>
      <c r="X395" t="s">
        <v>2700</v>
      </c>
      <c r="Y395" t="s">
        <v>153</v>
      </c>
      <c r="Z395" s="53" t="s">
        <v>2701</v>
      </c>
      <c r="AA395"/>
      <c r="AB395"/>
      <c r="AC395"/>
      <c r="AD395"/>
      <c r="AE395">
        <v>1</v>
      </c>
      <c r="AF395"/>
      <c r="AM395" s="7">
        <v>1</v>
      </c>
      <c r="AS395" s="21">
        <v>1</v>
      </c>
      <c r="BD395" s="3">
        <v>1</v>
      </c>
      <c r="BG395" t="str">
        <f t="shared" si="7"/>
        <v>Interazionale &amp; Metatestuale</v>
      </c>
      <c r="BH395" s="3" t="str" cm="1">
        <f t="array" ref="BH395">IF(AE395=1, _xlfn.TEXTJOIN(" &amp; ", TRUE, _xlfn._xlws.FILTER($AG$2:$BC$2, AG395:BC395=1)), "")</f>
        <v>Marcatura della conoscenza condivisa &amp; Riformulazione</v>
      </c>
    </row>
    <row r="396" spans="1:60" x14ac:dyDescent="0.3">
      <c r="A396" t="s">
        <v>596</v>
      </c>
      <c r="B396" t="s">
        <v>2702</v>
      </c>
      <c r="C396" t="s">
        <v>598</v>
      </c>
      <c r="D396" t="s">
        <v>204</v>
      </c>
      <c r="E396" s="52" t="s">
        <v>2703</v>
      </c>
      <c r="F396">
        <v>1125981</v>
      </c>
      <c r="G396">
        <v>1129066</v>
      </c>
      <c r="H396" t="s">
        <v>600</v>
      </c>
      <c r="I396" t="s">
        <v>596</v>
      </c>
      <c r="J396" s="51">
        <v>1.6099537037037037E-2</v>
      </c>
      <c r="K396" t="s">
        <v>140</v>
      </c>
      <c r="L396" t="s">
        <v>601</v>
      </c>
      <c r="M396" t="s">
        <v>602</v>
      </c>
      <c r="N396" t="s">
        <v>143</v>
      </c>
      <c r="O396" t="s">
        <v>144</v>
      </c>
      <c r="P396" t="s">
        <v>165</v>
      </c>
      <c r="Q396" t="s">
        <v>146</v>
      </c>
      <c r="R396" t="s">
        <v>147</v>
      </c>
      <c r="S396" t="s">
        <v>148</v>
      </c>
      <c r="T396" t="s">
        <v>603</v>
      </c>
      <c r="U396" t="s">
        <v>151</v>
      </c>
      <c r="V396">
        <v>2</v>
      </c>
      <c r="W396" t="s">
        <v>150</v>
      </c>
      <c r="X396" t="s">
        <v>2704</v>
      </c>
      <c r="Y396" t="s">
        <v>153</v>
      </c>
      <c r="Z396" s="53" t="s">
        <v>2705</v>
      </c>
      <c r="AA396">
        <v>1</v>
      </c>
      <c r="AB396">
        <v>1</v>
      </c>
      <c r="AC396"/>
      <c r="AD396"/>
      <c r="AE396"/>
      <c r="AF396"/>
      <c r="BG396" t="str">
        <f t="shared" si="7"/>
        <v/>
      </c>
      <c r="BH396" s="3" t="str" cm="1">
        <f t="array" ref="BH396">IF(AE396=1, _xlfn.TEXTJOIN(" &amp; ", TRUE, _xlfn._xlws.FILTER($AG$2:$BC$2, AG396:BC396=1)), "")</f>
        <v/>
      </c>
    </row>
    <row r="397" spans="1:60" x14ac:dyDescent="0.3">
      <c r="A397" t="s">
        <v>596</v>
      </c>
      <c r="B397" t="s">
        <v>2706</v>
      </c>
      <c r="C397" t="s">
        <v>598</v>
      </c>
      <c r="D397" t="s">
        <v>204</v>
      </c>
      <c r="E397" s="52" t="s">
        <v>2707</v>
      </c>
      <c r="F397">
        <v>1293106</v>
      </c>
      <c r="G397">
        <v>1296064</v>
      </c>
      <c r="H397" t="s">
        <v>600</v>
      </c>
      <c r="I397" t="s">
        <v>596</v>
      </c>
      <c r="J397" s="51">
        <v>1.6099537037037037E-2</v>
      </c>
      <c r="K397" t="s">
        <v>140</v>
      </c>
      <c r="L397" t="s">
        <v>601</v>
      </c>
      <c r="M397" t="s">
        <v>602</v>
      </c>
      <c r="N397" t="s">
        <v>143</v>
      </c>
      <c r="O397" t="s">
        <v>144</v>
      </c>
      <c r="P397" t="s">
        <v>165</v>
      </c>
      <c r="Q397" t="s">
        <v>146</v>
      </c>
      <c r="R397" t="s">
        <v>147</v>
      </c>
      <c r="S397" t="s">
        <v>148</v>
      </c>
      <c r="T397" t="s">
        <v>603</v>
      </c>
      <c r="U397" t="s">
        <v>151</v>
      </c>
      <c r="V397">
        <v>2</v>
      </c>
      <c r="W397" t="s">
        <v>150</v>
      </c>
      <c r="X397" t="s">
        <v>2708</v>
      </c>
      <c r="Y397" t="s">
        <v>153</v>
      </c>
      <c r="Z397" s="53" t="s">
        <v>2709</v>
      </c>
      <c r="AA397"/>
      <c r="AB397"/>
      <c r="AC397"/>
      <c r="AD397"/>
      <c r="AE397">
        <v>1</v>
      </c>
      <c r="AF397"/>
      <c r="AZ397" s="23">
        <v>1</v>
      </c>
      <c r="BG397" t="str">
        <f t="shared" si="7"/>
        <v>Cognitiva</v>
      </c>
      <c r="BH397" s="3" t="str" cm="1">
        <f t="array" ref="BH397">IF(AE397=1, _xlfn.TEXTJOIN(" &amp; ", TRUE, _xlfn._xlws.FILTER($AG$2:$BC$2, AG397:BC397=1)), "")</f>
        <v>Approssimazione</v>
      </c>
    </row>
    <row r="398" spans="1:60" x14ac:dyDescent="0.3">
      <c r="A398" t="s">
        <v>2710</v>
      </c>
      <c r="B398" t="s">
        <v>2711</v>
      </c>
      <c r="C398" t="s">
        <v>2712</v>
      </c>
      <c r="D398">
        <v>2019</v>
      </c>
      <c r="E398" s="52" t="s">
        <v>2713</v>
      </c>
      <c r="F398">
        <v>311710</v>
      </c>
      <c r="G398">
        <v>313147</v>
      </c>
      <c r="H398" t="s">
        <v>2714</v>
      </c>
      <c r="I398" t="s">
        <v>2710</v>
      </c>
      <c r="J398" s="51">
        <v>4.974537037037037E-2</v>
      </c>
      <c r="K398" t="s">
        <v>140</v>
      </c>
      <c r="L398" t="s">
        <v>2715</v>
      </c>
      <c r="M398" t="s">
        <v>2716</v>
      </c>
      <c r="N398" t="s">
        <v>143</v>
      </c>
      <c r="O398" t="s">
        <v>164</v>
      </c>
      <c r="P398" t="s">
        <v>165</v>
      </c>
      <c r="Q398" t="s">
        <v>146</v>
      </c>
      <c r="R398" t="s">
        <v>147</v>
      </c>
      <c r="S398" t="s">
        <v>148</v>
      </c>
      <c r="T398" t="s">
        <v>169</v>
      </c>
      <c r="U398" t="s">
        <v>151</v>
      </c>
      <c r="V398">
        <v>4</v>
      </c>
      <c r="W398" t="s">
        <v>150</v>
      </c>
      <c r="X398" t="s">
        <v>2717</v>
      </c>
      <c r="Y398" t="s">
        <v>153</v>
      </c>
      <c r="Z398" s="53" t="s">
        <v>2718</v>
      </c>
      <c r="AA398">
        <v>1</v>
      </c>
      <c r="AB398">
        <v>1</v>
      </c>
      <c r="AC398"/>
      <c r="AD398"/>
      <c r="AE398"/>
      <c r="AF398"/>
      <c r="BG398" t="str">
        <f t="shared" si="7"/>
        <v/>
      </c>
      <c r="BH398" s="3" t="str" cm="1">
        <f t="array" ref="BH398">IF(AE398=1, _xlfn.TEXTJOIN(" &amp; ", TRUE, _xlfn._xlws.FILTER($AG$2:$BC$2, AG398:BC398=1)), "")</f>
        <v/>
      </c>
    </row>
    <row r="399" spans="1:60" x14ac:dyDescent="0.3">
      <c r="A399" t="s">
        <v>2710</v>
      </c>
      <c r="B399" t="s">
        <v>2719</v>
      </c>
      <c r="C399" t="s">
        <v>2712</v>
      </c>
      <c r="D399">
        <v>2019</v>
      </c>
      <c r="E399" s="52" t="s">
        <v>2720</v>
      </c>
      <c r="F399">
        <v>1377712</v>
      </c>
      <c r="G399">
        <v>1383532</v>
      </c>
      <c r="H399" t="s">
        <v>2721</v>
      </c>
      <c r="I399" t="s">
        <v>2710</v>
      </c>
      <c r="J399" s="51">
        <v>4.974537037037037E-2</v>
      </c>
      <c r="K399" t="s">
        <v>140</v>
      </c>
      <c r="L399" t="s">
        <v>2715</v>
      </c>
      <c r="M399" t="s">
        <v>2716</v>
      </c>
      <c r="N399" t="s">
        <v>143</v>
      </c>
      <c r="O399" t="s">
        <v>164</v>
      </c>
      <c r="P399" t="s">
        <v>165</v>
      </c>
      <c r="Q399" t="s">
        <v>146</v>
      </c>
      <c r="R399" t="s">
        <v>147</v>
      </c>
      <c r="S399" t="s">
        <v>148</v>
      </c>
      <c r="T399" t="s">
        <v>169</v>
      </c>
      <c r="U399" t="s">
        <v>151</v>
      </c>
      <c r="V399">
        <v>4</v>
      </c>
      <c r="W399" t="s">
        <v>150</v>
      </c>
      <c r="X399" t="s">
        <v>2722</v>
      </c>
      <c r="Y399" t="s">
        <v>153</v>
      </c>
      <c r="Z399" s="53" t="s">
        <v>2723</v>
      </c>
      <c r="AA399">
        <v>1</v>
      </c>
      <c r="AB399">
        <v>1</v>
      </c>
      <c r="AC399"/>
      <c r="AD399"/>
      <c r="AE399"/>
      <c r="AF399"/>
      <c r="BG399" t="str">
        <f t="shared" si="7"/>
        <v/>
      </c>
      <c r="BH399" s="3" t="str" cm="1">
        <f t="array" ref="BH399">IF(AE399=1, _xlfn.TEXTJOIN(" &amp; ", TRUE, _xlfn._xlws.FILTER($AG$2:$BC$2, AG399:BC399=1)), "")</f>
        <v/>
      </c>
    </row>
    <row r="400" spans="1:60" x14ac:dyDescent="0.3">
      <c r="A400" t="s">
        <v>2710</v>
      </c>
      <c r="B400" t="s">
        <v>2724</v>
      </c>
      <c r="C400" t="s">
        <v>2712</v>
      </c>
      <c r="D400">
        <v>2019</v>
      </c>
      <c r="E400" s="52" t="s">
        <v>2725</v>
      </c>
      <c r="F400">
        <v>3817658</v>
      </c>
      <c r="G400">
        <v>3821050</v>
      </c>
      <c r="H400" t="s">
        <v>2726</v>
      </c>
      <c r="I400" t="s">
        <v>2710</v>
      </c>
      <c r="J400" s="51">
        <v>4.974537037037037E-2</v>
      </c>
      <c r="K400" t="s">
        <v>140</v>
      </c>
      <c r="L400" t="s">
        <v>2715</v>
      </c>
      <c r="M400" t="s">
        <v>2716</v>
      </c>
      <c r="N400" t="s">
        <v>143</v>
      </c>
      <c r="O400" t="s">
        <v>164</v>
      </c>
      <c r="P400" t="s">
        <v>165</v>
      </c>
      <c r="Q400" t="s">
        <v>146</v>
      </c>
      <c r="R400" t="s">
        <v>147</v>
      </c>
      <c r="S400" t="s">
        <v>148</v>
      </c>
      <c r="T400" t="s">
        <v>169</v>
      </c>
      <c r="U400" t="s">
        <v>151</v>
      </c>
      <c r="V400">
        <v>4</v>
      </c>
      <c r="W400" t="s">
        <v>150</v>
      </c>
      <c r="X400" t="s">
        <v>2727</v>
      </c>
      <c r="Y400" t="s">
        <v>153</v>
      </c>
      <c r="Z400" s="53" t="s">
        <v>2728</v>
      </c>
      <c r="AA400">
        <v>1</v>
      </c>
      <c r="AB400"/>
      <c r="AC400">
        <v>1</v>
      </c>
      <c r="AD400"/>
      <c r="AE400"/>
      <c r="AF400"/>
      <c r="BG400" t="str">
        <f t="shared" si="7"/>
        <v/>
      </c>
      <c r="BH400" s="3" t="str" cm="1">
        <f t="array" ref="BH400">IF(AE400=1, _xlfn.TEXTJOIN(" &amp; ", TRUE, _xlfn._xlws.FILTER($AG$2:$BC$2, AG400:BC400=1)), "")</f>
        <v/>
      </c>
    </row>
    <row r="401" spans="1:60" x14ac:dyDescent="0.3">
      <c r="A401" t="s">
        <v>2730</v>
      </c>
      <c r="B401" t="s">
        <v>2731</v>
      </c>
      <c r="C401" t="s">
        <v>2732</v>
      </c>
      <c r="D401">
        <v>2022</v>
      </c>
      <c r="E401" s="52" t="s">
        <v>2733</v>
      </c>
      <c r="F401">
        <v>2618210</v>
      </c>
      <c r="G401">
        <v>2621949</v>
      </c>
      <c r="H401" t="s">
        <v>2734</v>
      </c>
      <c r="I401" t="s">
        <v>2730</v>
      </c>
      <c r="J401" s="51">
        <v>3.5717592592592592E-2</v>
      </c>
      <c r="K401" t="s">
        <v>160</v>
      </c>
      <c r="L401" t="s">
        <v>2735</v>
      </c>
      <c r="M401" t="s">
        <v>2736</v>
      </c>
      <c r="N401" t="s">
        <v>227</v>
      </c>
      <c r="O401" t="s">
        <v>164</v>
      </c>
      <c r="P401" t="s">
        <v>165</v>
      </c>
      <c r="Q401" t="s">
        <v>179</v>
      </c>
      <c r="R401" t="s">
        <v>167</v>
      </c>
      <c r="S401" t="s">
        <v>168</v>
      </c>
      <c r="T401" t="s">
        <v>169</v>
      </c>
      <c r="U401" t="s">
        <v>318</v>
      </c>
      <c r="V401">
        <v>2</v>
      </c>
      <c r="W401" t="s">
        <v>170</v>
      </c>
      <c r="X401" t="s">
        <v>2737</v>
      </c>
      <c r="Y401" t="s">
        <v>153</v>
      </c>
      <c r="Z401" s="53" t="s">
        <v>2738</v>
      </c>
      <c r="AA401">
        <v>1</v>
      </c>
      <c r="AB401">
        <v>1</v>
      </c>
      <c r="AC401"/>
      <c r="AD401"/>
      <c r="AE401"/>
      <c r="AF401"/>
      <c r="BG401" t="str">
        <f t="shared" si="7"/>
        <v/>
      </c>
      <c r="BH401" s="3" t="str" cm="1">
        <f t="array" ref="BH401">IF(AE401=1, _xlfn.TEXTJOIN(" &amp; ", TRUE, _xlfn._xlws.FILTER($AG$2:$BC$2, AG401:BC401=1)), "")</f>
        <v/>
      </c>
    </row>
    <row r="402" spans="1:60" x14ac:dyDescent="0.3">
      <c r="A402" t="s">
        <v>2730</v>
      </c>
      <c r="B402" t="s">
        <v>2739</v>
      </c>
      <c r="C402" t="s">
        <v>2732</v>
      </c>
      <c r="D402">
        <v>2022</v>
      </c>
      <c r="E402" s="52" t="s">
        <v>2740</v>
      </c>
      <c r="F402">
        <v>2917370</v>
      </c>
      <c r="G402">
        <v>2920732</v>
      </c>
      <c r="H402" t="s">
        <v>2734</v>
      </c>
      <c r="I402" t="s">
        <v>2730</v>
      </c>
      <c r="J402" s="51">
        <v>3.5717592592592592E-2</v>
      </c>
      <c r="K402" t="s">
        <v>160</v>
      </c>
      <c r="L402" t="s">
        <v>2735</v>
      </c>
      <c r="M402" t="s">
        <v>2736</v>
      </c>
      <c r="N402" t="s">
        <v>227</v>
      </c>
      <c r="O402" t="s">
        <v>164</v>
      </c>
      <c r="P402" t="s">
        <v>165</v>
      </c>
      <c r="Q402" t="s">
        <v>179</v>
      </c>
      <c r="R402" t="s">
        <v>167</v>
      </c>
      <c r="S402" t="s">
        <v>168</v>
      </c>
      <c r="T402" t="s">
        <v>169</v>
      </c>
      <c r="U402" t="s">
        <v>318</v>
      </c>
      <c r="V402">
        <v>2</v>
      </c>
      <c r="W402" t="s">
        <v>170</v>
      </c>
      <c r="X402" t="s">
        <v>2741</v>
      </c>
      <c r="Y402" t="s">
        <v>153</v>
      </c>
      <c r="Z402" s="53" t="s">
        <v>2742</v>
      </c>
      <c r="AA402">
        <v>1</v>
      </c>
      <c r="AB402"/>
      <c r="AC402"/>
      <c r="AD402"/>
      <c r="AE402"/>
      <c r="AF402"/>
      <c r="BG402" t="str">
        <f t="shared" si="7"/>
        <v/>
      </c>
      <c r="BH402" s="3" t="str" cm="1">
        <f t="array" ref="BH402">IF(AE402=1, _xlfn.TEXTJOIN(" &amp; ", TRUE, _xlfn._xlws.FILTER($AG$2:$BC$2, AG402:BC402=1)), "")</f>
        <v/>
      </c>
    </row>
    <row r="403" spans="1:60" x14ac:dyDescent="0.3">
      <c r="A403" t="s">
        <v>2743</v>
      </c>
      <c r="B403" t="s">
        <v>2748</v>
      </c>
      <c r="C403" t="s">
        <v>2744</v>
      </c>
      <c r="D403">
        <v>2024</v>
      </c>
      <c r="E403" s="52" t="s">
        <v>2749</v>
      </c>
      <c r="F403">
        <v>894549</v>
      </c>
      <c r="G403">
        <v>899607</v>
      </c>
      <c r="H403" t="s">
        <v>2745</v>
      </c>
      <c r="I403" t="s">
        <v>2743</v>
      </c>
      <c r="J403" s="51">
        <v>4.2256944444444444E-2</v>
      </c>
      <c r="K403" t="s">
        <v>160</v>
      </c>
      <c r="L403" t="s">
        <v>2746</v>
      </c>
      <c r="M403" t="s">
        <v>2747</v>
      </c>
      <c r="N403" t="s">
        <v>286</v>
      </c>
      <c r="O403" t="s">
        <v>144</v>
      </c>
      <c r="P403" t="s">
        <v>165</v>
      </c>
      <c r="Q403" t="s">
        <v>228</v>
      </c>
      <c r="R403" t="s">
        <v>167</v>
      </c>
      <c r="S403" t="s">
        <v>168</v>
      </c>
      <c r="T403" t="s">
        <v>169</v>
      </c>
      <c r="U403" t="s">
        <v>229</v>
      </c>
      <c r="V403">
        <v>3</v>
      </c>
      <c r="W403" t="s">
        <v>170</v>
      </c>
      <c r="X403" t="s">
        <v>2750</v>
      </c>
      <c r="Y403" t="s">
        <v>153</v>
      </c>
      <c r="Z403" s="53" t="s">
        <v>2751</v>
      </c>
      <c r="AA403"/>
      <c r="AB403"/>
      <c r="AC403"/>
      <c r="AD403"/>
      <c r="AE403">
        <v>1</v>
      </c>
      <c r="AF403"/>
      <c r="AM403" s="7">
        <v>1</v>
      </c>
      <c r="BG403" t="str">
        <f t="shared" si="7"/>
        <v>Interazionale</v>
      </c>
      <c r="BH403" s="3" t="str" cm="1">
        <f t="array" ref="BH403">IF(AE403=1, _xlfn.TEXTJOIN(" &amp; ", TRUE, _xlfn._xlws.FILTER($AG$2:$BC$2, AG403:BC403=1)), "")</f>
        <v>Marcatura della conoscenza condivisa</v>
      </c>
    </row>
    <row r="404" spans="1:60" x14ac:dyDescent="0.3">
      <c r="A404" t="s">
        <v>2743</v>
      </c>
      <c r="B404" t="s">
        <v>2752</v>
      </c>
      <c r="C404" t="s">
        <v>2744</v>
      </c>
      <c r="D404">
        <v>2024</v>
      </c>
      <c r="E404" s="52" t="s">
        <v>2753</v>
      </c>
      <c r="F404">
        <v>1853017</v>
      </c>
      <c r="G404">
        <v>1855047</v>
      </c>
      <c r="H404" t="s">
        <v>2745</v>
      </c>
      <c r="I404" t="s">
        <v>2743</v>
      </c>
      <c r="J404" s="51">
        <v>4.2256944444444444E-2</v>
      </c>
      <c r="K404" t="s">
        <v>160</v>
      </c>
      <c r="L404" t="s">
        <v>2746</v>
      </c>
      <c r="M404" t="s">
        <v>2747</v>
      </c>
      <c r="N404" t="s">
        <v>286</v>
      </c>
      <c r="O404" t="s">
        <v>144</v>
      </c>
      <c r="P404" t="s">
        <v>165</v>
      </c>
      <c r="Q404" t="s">
        <v>228</v>
      </c>
      <c r="R404" t="s">
        <v>167</v>
      </c>
      <c r="S404" t="s">
        <v>168</v>
      </c>
      <c r="T404" t="s">
        <v>169</v>
      </c>
      <c r="U404" t="s">
        <v>229</v>
      </c>
      <c r="V404">
        <v>3</v>
      </c>
      <c r="W404" t="s">
        <v>170</v>
      </c>
      <c r="X404" t="s">
        <v>2754</v>
      </c>
      <c r="Y404" t="s">
        <v>153</v>
      </c>
      <c r="Z404" s="53" t="s">
        <v>2755</v>
      </c>
      <c r="AA404"/>
      <c r="AB404"/>
      <c r="AC404"/>
      <c r="AD404"/>
      <c r="AE404">
        <v>1</v>
      </c>
      <c r="AF404"/>
      <c r="AH404" s="8">
        <v>1</v>
      </c>
      <c r="AM404" s="7">
        <v>1</v>
      </c>
      <c r="BD404" s="3">
        <v>1</v>
      </c>
      <c r="BG404" t="str">
        <f t="shared" si="7"/>
        <v>Interazionale</v>
      </c>
      <c r="BH404" s="3" t="str" cm="1">
        <f t="array" ref="BH404">IF(AE404=1, _xlfn.TEXTJOIN(" &amp; ", TRUE, _xlfn._xlws.FILTER($AG$2:$BC$2, AG404:BC404=1)), "")</f>
        <v>Richiesta di accordo/conferma &amp; Marcatura della conoscenza condivisa</v>
      </c>
    </row>
    <row r="405" spans="1:60" x14ac:dyDescent="0.3">
      <c r="A405" t="s">
        <v>2743</v>
      </c>
      <c r="B405" t="s">
        <v>2756</v>
      </c>
      <c r="C405" t="s">
        <v>2744</v>
      </c>
      <c r="D405">
        <v>2024</v>
      </c>
      <c r="E405" s="52" t="s">
        <v>2757</v>
      </c>
      <c r="F405">
        <v>2352415</v>
      </c>
      <c r="G405">
        <v>2354398</v>
      </c>
      <c r="H405" t="s">
        <v>2604</v>
      </c>
      <c r="I405" t="s">
        <v>2743</v>
      </c>
      <c r="J405" s="51">
        <v>4.2256944444444444E-2</v>
      </c>
      <c r="K405" t="s">
        <v>160</v>
      </c>
      <c r="L405" t="s">
        <v>2746</v>
      </c>
      <c r="M405" t="s">
        <v>2747</v>
      </c>
      <c r="N405" t="s">
        <v>143</v>
      </c>
      <c r="O405" t="s">
        <v>144</v>
      </c>
      <c r="P405" t="s">
        <v>165</v>
      </c>
      <c r="Q405" t="s">
        <v>146</v>
      </c>
      <c r="R405" t="s">
        <v>167</v>
      </c>
      <c r="S405" t="s">
        <v>168</v>
      </c>
      <c r="T405" t="s">
        <v>169</v>
      </c>
      <c r="U405" t="s">
        <v>151</v>
      </c>
      <c r="V405">
        <v>3</v>
      </c>
      <c r="W405" t="s">
        <v>170</v>
      </c>
      <c r="X405" t="s">
        <v>2758</v>
      </c>
      <c r="Y405" t="s">
        <v>153</v>
      </c>
      <c r="Z405" s="53" t="s">
        <v>2759</v>
      </c>
      <c r="AA405">
        <v>1</v>
      </c>
      <c r="AB405"/>
      <c r="AC405">
        <v>1</v>
      </c>
      <c r="AD405"/>
      <c r="AE405"/>
      <c r="AF405"/>
      <c r="BG405" t="str">
        <f t="shared" si="7"/>
        <v/>
      </c>
      <c r="BH405" s="3" t="str" cm="1">
        <f t="array" ref="BH405">IF(AE405=1, _xlfn.TEXTJOIN(" &amp; ", TRUE, _xlfn._xlws.FILTER($AG$2:$BC$2, AG405:BC405=1)), "")</f>
        <v/>
      </c>
    </row>
    <row r="406" spans="1:60" x14ac:dyDescent="0.3">
      <c r="A406" t="s">
        <v>2743</v>
      </c>
      <c r="B406" t="s">
        <v>2760</v>
      </c>
      <c r="C406" t="s">
        <v>2744</v>
      </c>
      <c r="D406">
        <v>2024</v>
      </c>
      <c r="E406" s="52" t="s">
        <v>2761</v>
      </c>
      <c r="F406">
        <v>2622392</v>
      </c>
      <c r="G406">
        <v>2625847</v>
      </c>
      <c r="H406" t="s">
        <v>2604</v>
      </c>
      <c r="I406" t="s">
        <v>2743</v>
      </c>
      <c r="J406" s="51">
        <v>4.2256944444444444E-2</v>
      </c>
      <c r="K406" t="s">
        <v>160</v>
      </c>
      <c r="L406" t="s">
        <v>2746</v>
      </c>
      <c r="M406" t="s">
        <v>2747</v>
      </c>
      <c r="N406" t="s">
        <v>143</v>
      </c>
      <c r="O406" t="s">
        <v>144</v>
      </c>
      <c r="P406" t="s">
        <v>165</v>
      </c>
      <c r="Q406" t="s">
        <v>146</v>
      </c>
      <c r="R406" t="s">
        <v>167</v>
      </c>
      <c r="S406" t="s">
        <v>168</v>
      </c>
      <c r="T406" t="s">
        <v>169</v>
      </c>
      <c r="U406" t="s">
        <v>151</v>
      </c>
      <c r="V406">
        <v>3</v>
      </c>
      <c r="W406" t="s">
        <v>170</v>
      </c>
      <c r="X406" t="s">
        <v>2762</v>
      </c>
      <c r="Y406" t="s">
        <v>153</v>
      </c>
      <c r="Z406" s="53" t="s">
        <v>2763</v>
      </c>
      <c r="AA406">
        <v>1</v>
      </c>
      <c r="AB406"/>
      <c r="AC406">
        <v>1</v>
      </c>
      <c r="AD406"/>
      <c r="AE406"/>
      <c r="AF406"/>
      <c r="BG406" t="str">
        <f t="shared" si="7"/>
        <v/>
      </c>
      <c r="BH406" s="3" t="str" cm="1">
        <f t="array" ref="BH406">IF(AE406=1, _xlfn.TEXTJOIN(" &amp; ", TRUE, _xlfn._xlws.FILTER($AG$2:$BC$2, AG406:BC406=1)), "")</f>
        <v/>
      </c>
    </row>
    <row r="407" spans="1:60" x14ac:dyDescent="0.3">
      <c r="A407" t="s">
        <v>606</v>
      </c>
      <c r="B407" t="s">
        <v>2764</v>
      </c>
      <c r="C407" t="s">
        <v>607</v>
      </c>
      <c r="D407">
        <v>2024</v>
      </c>
      <c r="E407" s="52" t="s">
        <v>2765</v>
      </c>
      <c r="F407">
        <v>3118083</v>
      </c>
      <c r="G407">
        <v>3121400</v>
      </c>
      <c r="H407" t="s">
        <v>608</v>
      </c>
      <c r="I407" t="s">
        <v>606</v>
      </c>
      <c r="J407" s="51">
        <v>4.8611111111111112E-2</v>
      </c>
      <c r="K407" t="s">
        <v>160</v>
      </c>
      <c r="L407" t="s">
        <v>609</v>
      </c>
      <c r="M407" t="s">
        <v>610</v>
      </c>
      <c r="N407" t="s">
        <v>197</v>
      </c>
      <c r="O407" t="s">
        <v>144</v>
      </c>
      <c r="P407" t="s">
        <v>165</v>
      </c>
      <c r="Q407" t="s">
        <v>179</v>
      </c>
      <c r="R407" t="s">
        <v>167</v>
      </c>
      <c r="S407" t="s">
        <v>168</v>
      </c>
      <c r="T407" t="s">
        <v>169</v>
      </c>
      <c r="U407" t="s">
        <v>318</v>
      </c>
      <c r="V407">
        <v>3</v>
      </c>
      <c r="W407" t="s">
        <v>170</v>
      </c>
      <c r="X407" t="s">
        <v>2766</v>
      </c>
      <c r="Y407" t="s">
        <v>153</v>
      </c>
      <c r="Z407" s="53" t="s">
        <v>2767</v>
      </c>
      <c r="AA407">
        <v>1</v>
      </c>
      <c r="AB407"/>
      <c r="AC407">
        <v>1</v>
      </c>
      <c r="AD407"/>
      <c r="AE407"/>
      <c r="AF407"/>
      <c r="BG407" t="str">
        <f t="shared" si="7"/>
        <v/>
      </c>
      <c r="BH407" s="3" t="str" cm="1">
        <f t="array" ref="BH407">IF(AE407=1, _xlfn.TEXTJOIN(" &amp; ", TRUE, _xlfn._xlws.FILTER($AG$2:$BC$2, AG407:BC407=1)), "")</f>
        <v/>
      </c>
    </row>
    <row r="408" spans="1:60" x14ac:dyDescent="0.3">
      <c r="A408" t="s">
        <v>606</v>
      </c>
      <c r="B408" t="s">
        <v>2768</v>
      </c>
      <c r="C408" t="s">
        <v>607</v>
      </c>
      <c r="D408">
        <v>2024</v>
      </c>
      <c r="E408" s="52" t="s">
        <v>2769</v>
      </c>
      <c r="F408">
        <v>3673480</v>
      </c>
      <c r="G408">
        <v>3674548</v>
      </c>
      <c r="H408" t="s">
        <v>1187</v>
      </c>
      <c r="I408" t="s">
        <v>606</v>
      </c>
      <c r="J408" s="51">
        <v>4.8611111111111112E-2</v>
      </c>
      <c r="K408" t="s">
        <v>160</v>
      </c>
      <c r="L408" t="s">
        <v>609</v>
      </c>
      <c r="M408" t="s">
        <v>610</v>
      </c>
      <c r="N408" t="s">
        <v>286</v>
      </c>
      <c r="O408" t="s">
        <v>144</v>
      </c>
      <c r="P408" t="s">
        <v>165</v>
      </c>
      <c r="Q408" t="s">
        <v>228</v>
      </c>
      <c r="R408" t="s">
        <v>167</v>
      </c>
      <c r="S408" t="s">
        <v>168</v>
      </c>
      <c r="T408" t="s">
        <v>169</v>
      </c>
      <c r="U408" t="s">
        <v>349</v>
      </c>
      <c r="V408">
        <v>3</v>
      </c>
      <c r="W408" t="s">
        <v>170</v>
      </c>
      <c r="X408" t="s">
        <v>2770</v>
      </c>
      <c r="Y408" t="s">
        <v>153</v>
      </c>
      <c r="Z408" s="53" t="s">
        <v>2771</v>
      </c>
      <c r="AA408">
        <v>1</v>
      </c>
      <c r="AB408">
        <v>1</v>
      </c>
      <c r="AC408"/>
      <c r="AD408"/>
      <c r="AE408"/>
      <c r="AF408"/>
      <c r="BG408" t="str">
        <f t="shared" si="7"/>
        <v/>
      </c>
      <c r="BH408" s="3" t="str" cm="1">
        <f t="array" ref="BH408">IF(AE408=1, _xlfn.TEXTJOIN(" &amp; ", TRUE, _xlfn._xlws.FILTER($AG$2:$BC$2, AG408:BC408=1)), "")</f>
        <v/>
      </c>
    </row>
    <row r="409" spans="1:60" x14ac:dyDescent="0.3">
      <c r="A409" t="s">
        <v>606</v>
      </c>
      <c r="B409" t="s">
        <v>2772</v>
      </c>
      <c r="C409" t="s">
        <v>607</v>
      </c>
      <c r="D409">
        <v>2024</v>
      </c>
      <c r="E409" s="52" t="s">
        <v>2773</v>
      </c>
      <c r="F409">
        <v>3676180</v>
      </c>
      <c r="G409">
        <v>3678929</v>
      </c>
      <c r="H409" t="s">
        <v>1187</v>
      </c>
      <c r="I409" t="s">
        <v>606</v>
      </c>
      <c r="J409" s="51">
        <v>4.8611111111111112E-2</v>
      </c>
      <c r="K409" t="s">
        <v>160</v>
      </c>
      <c r="L409" t="s">
        <v>609</v>
      </c>
      <c r="M409" t="s">
        <v>610</v>
      </c>
      <c r="N409" t="s">
        <v>286</v>
      </c>
      <c r="O409" t="s">
        <v>144</v>
      </c>
      <c r="P409" t="s">
        <v>165</v>
      </c>
      <c r="Q409" t="s">
        <v>228</v>
      </c>
      <c r="R409" t="s">
        <v>167</v>
      </c>
      <c r="S409" t="s">
        <v>168</v>
      </c>
      <c r="T409" t="s">
        <v>169</v>
      </c>
      <c r="U409" t="s">
        <v>349</v>
      </c>
      <c r="V409">
        <v>3</v>
      </c>
      <c r="W409" t="s">
        <v>170</v>
      </c>
      <c r="X409" t="s">
        <v>2774</v>
      </c>
      <c r="Y409" t="s">
        <v>153</v>
      </c>
      <c r="Z409" s="53" t="s">
        <v>2775</v>
      </c>
      <c r="AA409">
        <v>1</v>
      </c>
      <c r="AB409">
        <v>1</v>
      </c>
      <c r="AC409"/>
      <c r="AD409"/>
      <c r="AE409"/>
      <c r="AF409"/>
      <c r="BG409" t="str">
        <f t="shared" si="7"/>
        <v/>
      </c>
      <c r="BH409" s="3" t="str" cm="1">
        <f t="array" ref="BH409">IF(AE409=1, _xlfn.TEXTJOIN(" &amp; ", TRUE, _xlfn._xlws.FILTER($AG$2:$BC$2, AG409:BC409=1)), "")</f>
        <v/>
      </c>
    </row>
    <row r="410" spans="1:60" x14ac:dyDescent="0.3">
      <c r="A410" t="s">
        <v>2776</v>
      </c>
      <c r="B410" t="s">
        <v>2781</v>
      </c>
      <c r="C410" t="s">
        <v>2777</v>
      </c>
      <c r="D410">
        <v>2020</v>
      </c>
      <c r="E410" s="52" t="s">
        <v>2782</v>
      </c>
      <c r="F410">
        <v>616230</v>
      </c>
      <c r="G410">
        <v>618131</v>
      </c>
      <c r="H410" t="s">
        <v>2783</v>
      </c>
      <c r="I410" t="s">
        <v>2776</v>
      </c>
      <c r="J410" s="51">
        <v>3.0358796296296297E-2</v>
      </c>
      <c r="K410" t="s">
        <v>140</v>
      </c>
      <c r="L410" t="s">
        <v>2778</v>
      </c>
      <c r="M410" t="s">
        <v>2779</v>
      </c>
      <c r="N410" t="s">
        <v>143</v>
      </c>
      <c r="O410" t="s">
        <v>144</v>
      </c>
      <c r="P410" t="s">
        <v>2780</v>
      </c>
      <c r="Q410" t="s">
        <v>228</v>
      </c>
      <c r="R410" t="s">
        <v>147</v>
      </c>
      <c r="S410" t="s">
        <v>148</v>
      </c>
      <c r="T410" t="s">
        <v>180</v>
      </c>
      <c r="U410" t="s">
        <v>183</v>
      </c>
      <c r="V410">
        <v>4</v>
      </c>
      <c r="W410" t="s">
        <v>269</v>
      </c>
      <c r="X410" t="s">
        <v>2784</v>
      </c>
      <c r="Y410" t="s">
        <v>153</v>
      </c>
      <c r="Z410" s="53" t="s">
        <v>2785</v>
      </c>
      <c r="AA410">
        <v>1</v>
      </c>
      <c r="AB410"/>
      <c r="AC410">
        <v>1</v>
      </c>
      <c r="AD410"/>
      <c r="AE410"/>
      <c r="AF410"/>
      <c r="BG410" t="str">
        <f t="shared" si="7"/>
        <v/>
      </c>
      <c r="BH410" s="3" t="str" cm="1">
        <f t="array" ref="BH410">IF(AE410=1, _xlfn.TEXTJOIN(" &amp; ", TRUE, _xlfn._xlws.FILTER($AG$2:$BC$2, AG410:BC410=1)), "")</f>
        <v/>
      </c>
    </row>
    <row r="411" spans="1:60" x14ac:dyDescent="0.3">
      <c r="A411" t="s">
        <v>2776</v>
      </c>
      <c r="B411" t="s">
        <v>2786</v>
      </c>
      <c r="C411" t="s">
        <v>2777</v>
      </c>
      <c r="D411">
        <v>2020</v>
      </c>
      <c r="E411" s="52" t="s">
        <v>2787</v>
      </c>
      <c r="F411">
        <v>1408513</v>
      </c>
      <c r="G411">
        <v>1411100</v>
      </c>
      <c r="H411" t="s">
        <v>2783</v>
      </c>
      <c r="I411" t="s">
        <v>2776</v>
      </c>
      <c r="J411" s="51">
        <v>3.0358796296296297E-2</v>
      </c>
      <c r="K411" t="s">
        <v>140</v>
      </c>
      <c r="L411" t="s">
        <v>2778</v>
      </c>
      <c r="M411" t="s">
        <v>2779</v>
      </c>
      <c r="N411" t="s">
        <v>143</v>
      </c>
      <c r="O411" t="s">
        <v>144</v>
      </c>
      <c r="P411" t="s">
        <v>2780</v>
      </c>
      <c r="Q411" t="s">
        <v>228</v>
      </c>
      <c r="R411" t="s">
        <v>147</v>
      </c>
      <c r="S411" t="s">
        <v>148</v>
      </c>
      <c r="T411" t="s">
        <v>180</v>
      </c>
      <c r="U411" t="s">
        <v>183</v>
      </c>
      <c r="V411">
        <v>4</v>
      </c>
      <c r="W411" t="s">
        <v>269</v>
      </c>
      <c r="X411" t="s">
        <v>2788</v>
      </c>
      <c r="Y411" t="s">
        <v>153</v>
      </c>
      <c r="Z411" s="53" t="s">
        <v>2789</v>
      </c>
      <c r="AA411"/>
      <c r="AB411"/>
      <c r="AC411"/>
      <c r="AD411"/>
      <c r="AE411">
        <v>1</v>
      </c>
      <c r="AF411"/>
      <c r="AH411" s="8">
        <v>1</v>
      </c>
      <c r="BG411" t="str">
        <f t="shared" si="7"/>
        <v>Interazionale</v>
      </c>
      <c r="BH411" s="3" t="str" cm="1">
        <f t="array" ref="BH411">IF(AE411=1, _xlfn.TEXTJOIN(" &amp; ", TRUE, _xlfn._xlws.FILTER($AG$2:$BC$2, AG411:BC411=1)), "")</f>
        <v>Richiesta di accordo/conferma</v>
      </c>
    </row>
    <row r="412" spans="1:60" x14ac:dyDescent="0.3">
      <c r="A412" t="s">
        <v>2776</v>
      </c>
      <c r="B412" t="s">
        <v>2791</v>
      </c>
      <c r="C412" t="s">
        <v>2777</v>
      </c>
      <c r="D412">
        <v>2020</v>
      </c>
      <c r="E412" s="52" t="s">
        <v>2792</v>
      </c>
      <c r="F412">
        <v>2185111</v>
      </c>
      <c r="G412">
        <v>2186370</v>
      </c>
      <c r="H412" t="s">
        <v>2790</v>
      </c>
      <c r="I412" t="s">
        <v>2776</v>
      </c>
      <c r="J412" s="51">
        <v>3.0358796296296297E-2</v>
      </c>
      <c r="K412" t="s">
        <v>140</v>
      </c>
      <c r="L412" t="s">
        <v>2778</v>
      </c>
      <c r="M412" t="s">
        <v>2779</v>
      </c>
      <c r="N412" t="s">
        <v>317</v>
      </c>
      <c r="O412" t="s">
        <v>144</v>
      </c>
      <c r="P412" t="s">
        <v>2780</v>
      </c>
      <c r="Q412" t="s">
        <v>228</v>
      </c>
      <c r="R412" t="s">
        <v>147</v>
      </c>
      <c r="S412" t="s">
        <v>148</v>
      </c>
      <c r="T412" t="s">
        <v>180</v>
      </c>
      <c r="U412" t="s">
        <v>183</v>
      </c>
      <c r="V412">
        <v>4</v>
      </c>
      <c r="W412" t="s">
        <v>269</v>
      </c>
      <c r="X412" t="s">
        <v>2793</v>
      </c>
      <c r="Y412" t="s">
        <v>153</v>
      </c>
      <c r="Z412" s="53" t="s">
        <v>2794</v>
      </c>
      <c r="AA412">
        <v>1</v>
      </c>
      <c r="AB412"/>
      <c r="AC412">
        <v>1</v>
      </c>
      <c r="AD412"/>
      <c r="AE412"/>
      <c r="AF412"/>
      <c r="BG412" t="str">
        <f t="shared" si="7"/>
        <v/>
      </c>
      <c r="BH412" s="3" t="str" cm="1">
        <f t="array" ref="BH412">IF(AE412=1, _xlfn.TEXTJOIN(" &amp; ", TRUE, _xlfn._xlws.FILTER($AG$2:$BC$2, AG412:BC412=1)), "")</f>
        <v/>
      </c>
    </row>
    <row r="413" spans="1:60" x14ac:dyDescent="0.3">
      <c r="A413" t="s">
        <v>2795</v>
      </c>
      <c r="B413" t="s">
        <v>2796</v>
      </c>
      <c r="C413" t="s">
        <v>2797</v>
      </c>
      <c r="D413">
        <v>2019</v>
      </c>
      <c r="E413" s="52" t="s">
        <v>2798</v>
      </c>
      <c r="F413">
        <v>163796</v>
      </c>
      <c r="G413">
        <v>165794</v>
      </c>
      <c r="H413" t="s">
        <v>2799</v>
      </c>
      <c r="I413" t="s">
        <v>2795</v>
      </c>
      <c r="J413" s="51">
        <v>3.9895833333333332E-2</v>
      </c>
      <c r="K413" t="s">
        <v>160</v>
      </c>
      <c r="L413" t="s">
        <v>2800</v>
      </c>
      <c r="M413" t="s">
        <v>2801</v>
      </c>
      <c r="N413" t="s">
        <v>336</v>
      </c>
      <c r="O413" t="s">
        <v>164</v>
      </c>
      <c r="P413" t="s">
        <v>145</v>
      </c>
      <c r="Q413" t="s">
        <v>481</v>
      </c>
      <c r="R413" t="s">
        <v>167</v>
      </c>
      <c r="S413" t="s">
        <v>168</v>
      </c>
      <c r="T413" t="s">
        <v>149</v>
      </c>
      <c r="U413" t="s">
        <v>183</v>
      </c>
      <c r="V413">
        <v>2</v>
      </c>
      <c r="W413" t="s">
        <v>170</v>
      </c>
      <c r="X413" t="s">
        <v>2802</v>
      </c>
      <c r="Y413" t="s">
        <v>153</v>
      </c>
      <c r="Z413" s="53" t="s">
        <v>2803</v>
      </c>
      <c r="AA413">
        <v>1</v>
      </c>
      <c r="AB413"/>
      <c r="AC413"/>
      <c r="AD413">
        <v>1</v>
      </c>
      <c r="AE413"/>
      <c r="AF413"/>
      <c r="BG413" t="str">
        <f t="shared" si="7"/>
        <v/>
      </c>
      <c r="BH413" s="3" t="str" cm="1">
        <f t="array" ref="BH413">IF(AE413=1, _xlfn.TEXTJOIN(" &amp; ", TRUE, _xlfn._xlws.FILTER($AG$2:$BC$2, AG413:BC413=1)), "")</f>
        <v/>
      </c>
    </row>
    <row r="414" spans="1:60" x14ac:dyDescent="0.3">
      <c r="A414" t="s">
        <v>2795</v>
      </c>
      <c r="B414" t="s">
        <v>2804</v>
      </c>
      <c r="C414" t="s">
        <v>2797</v>
      </c>
      <c r="D414">
        <v>2019</v>
      </c>
      <c r="E414" s="52" t="s">
        <v>2805</v>
      </c>
      <c r="F414">
        <v>729400</v>
      </c>
      <c r="G414">
        <v>730180</v>
      </c>
      <c r="H414" t="s">
        <v>2799</v>
      </c>
      <c r="I414" t="s">
        <v>2795</v>
      </c>
      <c r="J414" s="51">
        <v>3.9895833333333332E-2</v>
      </c>
      <c r="K414" t="s">
        <v>160</v>
      </c>
      <c r="L414" t="s">
        <v>2800</v>
      </c>
      <c r="M414" t="s">
        <v>2801</v>
      </c>
      <c r="N414" t="s">
        <v>336</v>
      </c>
      <c r="O414" t="s">
        <v>164</v>
      </c>
      <c r="P414" t="s">
        <v>145</v>
      </c>
      <c r="Q414" t="s">
        <v>481</v>
      </c>
      <c r="R414" t="s">
        <v>167</v>
      </c>
      <c r="S414" t="s">
        <v>168</v>
      </c>
      <c r="T414" t="s">
        <v>149</v>
      </c>
      <c r="U414" t="s">
        <v>183</v>
      </c>
      <c r="V414">
        <v>2</v>
      </c>
      <c r="W414" t="s">
        <v>170</v>
      </c>
      <c r="X414" t="s">
        <v>2806</v>
      </c>
      <c r="Y414" t="s">
        <v>153</v>
      </c>
      <c r="Z414" s="53" t="s">
        <v>2807</v>
      </c>
      <c r="AA414"/>
      <c r="AB414"/>
      <c r="AC414"/>
      <c r="AD414"/>
      <c r="AE414">
        <v>1</v>
      </c>
      <c r="AF414">
        <v>1</v>
      </c>
      <c r="AH414" s="8">
        <v>1</v>
      </c>
      <c r="AM414" s="7">
        <v>1</v>
      </c>
      <c r="BD414" s="3">
        <v>1</v>
      </c>
      <c r="BG414" t="str">
        <f t="shared" si="7"/>
        <v>Interazionale</v>
      </c>
      <c r="BH414" s="3" t="str" cm="1">
        <f t="array" ref="BH414">IF(AE414=1, _xlfn.TEXTJOIN(" &amp; ", TRUE, _xlfn._xlws.FILTER($AG$2:$BC$2, AG414:BC414=1)), "")</f>
        <v>Richiesta di accordo/conferma &amp; Marcatura della conoscenza condivisa</v>
      </c>
    </row>
    <row r="415" spans="1:60" x14ac:dyDescent="0.3">
      <c r="A415" t="s">
        <v>2795</v>
      </c>
      <c r="B415" t="s">
        <v>2808</v>
      </c>
      <c r="C415" t="s">
        <v>2797</v>
      </c>
      <c r="D415">
        <v>2019</v>
      </c>
      <c r="E415" s="52" t="s">
        <v>2809</v>
      </c>
      <c r="F415">
        <v>1792090</v>
      </c>
      <c r="G415">
        <v>1794075</v>
      </c>
      <c r="H415" t="s">
        <v>791</v>
      </c>
      <c r="I415" t="s">
        <v>2795</v>
      </c>
      <c r="J415" s="51">
        <v>3.9895833333333332E-2</v>
      </c>
      <c r="K415" t="s">
        <v>160</v>
      </c>
      <c r="L415" t="s">
        <v>2800</v>
      </c>
      <c r="M415" t="s">
        <v>2801</v>
      </c>
      <c r="N415" t="s">
        <v>143</v>
      </c>
      <c r="O415" t="s">
        <v>144</v>
      </c>
      <c r="P415" t="s">
        <v>145</v>
      </c>
      <c r="Q415" t="s">
        <v>146</v>
      </c>
      <c r="R415" t="s">
        <v>167</v>
      </c>
      <c r="S415" t="s">
        <v>168</v>
      </c>
      <c r="T415" t="s">
        <v>149</v>
      </c>
      <c r="U415" t="s">
        <v>151</v>
      </c>
      <c r="V415">
        <v>2</v>
      </c>
      <c r="W415" t="s">
        <v>170</v>
      </c>
      <c r="X415" t="s">
        <v>2810</v>
      </c>
      <c r="Y415" t="s">
        <v>153</v>
      </c>
      <c r="Z415" s="53" t="s">
        <v>2811</v>
      </c>
      <c r="AA415">
        <v>1</v>
      </c>
      <c r="AB415">
        <v>1</v>
      </c>
      <c r="AC415"/>
      <c r="AD415"/>
      <c r="AE415"/>
      <c r="AF415"/>
      <c r="BG415" t="str">
        <f t="shared" si="7"/>
        <v/>
      </c>
      <c r="BH415" s="3" t="str" cm="1">
        <f t="array" ref="BH415">IF(AE415=1, _xlfn.TEXTJOIN(" &amp; ", TRUE, _xlfn._xlws.FILTER($AG$2:$BC$2, AG415:BC415=1)), "")</f>
        <v/>
      </c>
    </row>
    <row r="416" spans="1:60" x14ac:dyDescent="0.3">
      <c r="A416" t="s">
        <v>2795</v>
      </c>
      <c r="B416" t="s">
        <v>2812</v>
      </c>
      <c r="C416" t="s">
        <v>2797</v>
      </c>
      <c r="D416">
        <v>2019</v>
      </c>
      <c r="E416" s="52" t="s">
        <v>2813</v>
      </c>
      <c r="F416">
        <v>1801479</v>
      </c>
      <c r="G416">
        <v>1805055</v>
      </c>
      <c r="H416" t="s">
        <v>791</v>
      </c>
      <c r="I416" t="s">
        <v>2795</v>
      </c>
      <c r="J416" s="51">
        <v>3.9895833333333332E-2</v>
      </c>
      <c r="K416" t="s">
        <v>160</v>
      </c>
      <c r="L416" t="s">
        <v>2800</v>
      </c>
      <c r="M416" t="s">
        <v>2801</v>
      </c>
      <c r="N416" t="s">
        <v>143</v>
      </c>
      <c r="O416" t="s">
        <v>144</v>
      </c>
      <c r="P416" t="s">
        <v>145</v>
      </c>
      <c r="Q416" t="s">
        <v>146</v>
      </c>
      <c r="R416" t="s">
        <v>167</v>
      </c>
      <c r="S416" t="s">
        <v>168</v>
      </c>
      <c r="T416" t="s">
        <v>149</v>
      </c>
      <c r="U416" t="s">
        <v>151</v>
      </c>
      <c r="V416">
        <v>2</v>
      </c>
      <c r="W416" t="s">
        <v>170</v>
      </c>
      <c r="X416" t="s">
        <v>2814</v>
      </c>
      <c r="Y416" t="s">
        <v>153</v>
      </c>
      <c r="Z416" s="53" t="s">
        <v>2815</v>
      </c>
      <c r="AA416">
        <v>1</v>
      </c>
      <c r="AB416"/>
      <c r="AC416">
        <v>1</v>
      </c>
      <c r="AD416"/>
      <c r="AE416"/>
      <c r="AF416"/>
      <c r="BG416" t="str">
        <f t="shared" si="7"/>
        <v/>
      </c>
      <c r="BH416" s="3" t="str" cm="1">
        <f t="array" ref="BH416">IF(AE416=1, _xlfn.TEXTJOIN(" &amp; ", TRUE, _xlfn._xlws.FILTER($AG$2:$BC$2, AG416:BC416=1)), "")</f>
        <v/>
      </c>
    </row>
    <row r="417" spans="1:60" x14ac:dyDescent="0.3">
      <c r="A417" t="s">
        <v>2795</v>
      </c>
      <c r="B417" t="s">
        <v>2816</v>
      </c>
      <c r="C417" t="s">
        <v>2797</v>
      </c>
      <c r="D417">
        <v>2019</v>
      </c>
      <c r="E417" s="52" t="s">
        <v>2817</v>
      </c>
      <c r="F417">
        <v>1858775</v>
      </c>
      <c r="G417">
        <v>1859555</v>
      </c>
      <c r="H417" t="s">
        <v>2799</v>
      </c>
      <c r="I417" t="s">
        <v>2795</v>
      </c>
      <c r="J417" s="51">
        <v>3.9895833333333332E-2</v>
      </c>
      <c r="K417" t="s">
        <v>160</v>
      </c>
      <c r="L417" t="s">
        <v>2800</v>
      </c>
      <c r="M417" t="s">
        <v>2801</v>
      </c>
      <c r="N417" t="s">
        <v>336</v>
      </c>
      <c r="O417" t="s">
        <v>164</v>
      </c>
      <c r="P417" t="s">
        <v>145</v>
      </c>
      <c r="Q417" t="s">
        <v>481</v>
      </c>
      <c r="R417" t="s">
        <v>167</v>
      </c>
      <c r="S417" t="s">
        <v>168</v>
      </c>
      <c r="T417" t="s">
        <v>149</v>
      </c>
      <c r="U417" t="s">
        <v>183</v>
      </c>
      <c r="V417">
        <v>2</v>
      </c>
      <c r="W417" t="s">
        <v>170</v>
      </c>
      <c r="X417" t="s">
        <v>2818</v>
      </c>
      <c r="Y417" t="s">
        <v>153</v>
      </c>
      <c r="Z417" s="53" t="s">
        <v>2819</v>
      </c>
      <c r="AA417">
        <v>1</v>
      </c>
      <c r="AB417"/>
      <c r="AC417"/>
      <c r="AD417">
        <v>1</v>
      </c>
      <c r="AE417"/>
      <c r="AF417"/>
      <c r="BG417" t="str">
        <f t="shared" si="7"/>
        <v/>
      </c>
      <c r="BH417" s="3" t="str" cm="1">
        <f t="array" ref="BH417">IF(AE417=1, _xlfn.TEXTJOIN(" &amp; ", TRUE, _xlfn._xlws.FILTER($AG$2:$BC$2, AG417:BC417=1)), "")</f>
        <v/>
      </c>
    </row>
    <row r="418" spans="1:60" x14ac:dyDescent="0.3">
      <c r="A418" t="s">
        <v>611</v>
      </c>
      <c r="B418" t="s">
        <v>612</v>
      </c>
      <c r="C418" t="s">
        <v>613</v>
      </c>
      <c r="D418" t="s">
        <v>204</v>
      </c>
      <c r="E418" s="52" t="s">
        <v>614</v>
      </c>
      <c r="F418">
        <v>1867536</v>
      </c>
      <c r="G418">
        <v>1869218</v>
      </c>
      <c r="H418" t="s">
        <v>615</v>
      </c>
      <c r="I418" t="s">
        <v>611</v>
      </c>
      <c r="J418" s="51">
        <v>5.3657407407407411E-2</v>
      </c>
      <c r="K418" t="s">
        <v>140</v>
      </c>
      <c r="L418" t="s">
        <v>616</v>
      </c>
      <c r="M418" t="s">
        <v>617</v>
      </c>
      <c r="N418" t="s">
        <v>143</v>
      </c>
      <c r="O418" t="s">
        <v>144</v>
      </c>
      <c r="P418" t="s">
        <v>165</v>
      </c>
      <c r="Q418" t="s">
        <v>146</v>
      </c>
      <c r="R418" t="s">
        <v>147</v>
      </c>
      <c r="S418" t="s">
        <v>148</v>
      </c>
      <c r="T418" t="s">
        <v>364</v>
      </c>
      <c r="U418" t="s">
        <v>151</v>
      </c>
      <c r="V418">
        <v>2</v>
      </c>
      <c r="W418" t="s">
        <v>150</v>
      </c>
      <c r="X418" t="s">
        <v>618</v>
      </c>
      <c r="Y418" t="s">
        <v>153</v>
      </c>
      <c r="Z418" s="53" t="s">
        <v>619</v>
      </c>
      <c r="AA418">
        <v>1</v>
      </c>
      <c r="AB418"/>
      <c r="AC418"/>
      <c r="AD418">
        <v>1</v>
      </c>
      <c r="AE418"/>
      <c r="AF418"/>
      <c r="BG418" t="str">
        <f t="shared" si="7"/>
        <v/>
      </c>
      <c r="BH418" s="3" t="str" cm="1">
        <f t="array" ref="BH418">IF(AE418=1, _xlfn.TEXTJOIN(" &amp; ", TRUE, _xlfn._xlws.FILTER($AG$2:$BC$2, AG418:BC418=1)), "")</f>
        <v/>
      </c>
    </row>
    <row r="419" spans="1:60" x14ac:dyDescent="0.3">
      <c r="A419" t="s">
        <v>611</v>
      </c>
      <c r="B419" t="s">
        <v>2820</v>
      </c>
      <c r="C419" t="s">
        <v>613</v>
      </c>
      <c r="D419" t="s">
        <v>204</v>
      </c>
      <c r="E419" s="52" t="s">
        <v>2821</v>
      </c>
      <c r="F419">
        <v>3285414</v>
      </c>
      <c r="G419">
        <v>3288405</v>
      </c>
      <c r="H419" t="s">
        <v>2154</v>
      </c>
      <c r="I419" t="s">
        <v>611</v>
      </c>
      <c r="J419" s="51">
        <v>5.3657407407407411E-2</v>
      </c>
      <c r="K419" t="s">
        <v>140</v>
      </c>
      <c r="L419" t="s">
        <v>616</v>
      </c>
      <c r="M419" t="s">
        <v>617</v>
      </c>
      <c r="N419" t="s">
        <v>143</v>
      </c>
      <c r="O419" t="s">
        <v>144</v>
      </c>
      <c r="P419" t="s">
        <v>165</v>
      </c>
      <c r="Q419" t="s">
        <v>146</v>
      </c>
      <c r="R419" t="s">
        <v>147</v>
      </c>
      <c r="S419" t="s">
        <v>148</v>
      </c>
      <c r="T419" t="s">
        <v>364</v>
      </c>
      <c r="U419" t="s">
        <v>151</v>
      </c>
      <c r="V419">
        <v>2</v>
      </c>
      <c r="W419" t="s">
        <v>150</v>
      </c>
      <c r="X419" t="s">
        <v>2822</v>
      </c>
      <c r="Y419" t="s">
        <v>153</v>
      </c>
      <c r="Z419" s="53" t="s">
        <v>2823</v>
      </c>
      <c r="AA419">
        <v>1</v>
      </c>
      <c r="AB419">
        <v>1</v>
      </c>
      <c r="AC419"/>
      <c r="AD419"/>
      <c r="AE419"/>
      <c r="AF419"/>
      <c r="BG419" t="str">
        <f t="shared" si="7"/>
        <v/>
      </c>
      <c r="BH419" s="3" t="str" cm="1">
        <f t="array" ref="BH419">IF(AE419=1, _xlfn.TEXTJOIN(" &amp; ", TRUE, _xlfn._xlws.FILTER($AG$2:$BC$2, AG419:BC419=1)), "")</f>
        <v/>
      </c>
    </row>
    <row r="420" spans="1:60" x14ac:dyDescent="0.3">
      <c r="A420" t="s">
        <v>620</v>
      </c>
      <c r="B420" t="s">
        <v>2824</v>
      </c>
      <c r="C420" t="s">
        <v>621</v>
      </c>
      <c r="D420">
        <v>2019</v>
      </c>
      <c r="E420" s="52" t="s">
        <v>2825</v>
      </c>
      <c r="F420">
        <v>507455</v>
      </c>
      <c r="G420">
        <v>512101</v>
      </c>
      <c r="H420" t="s">
        <v>622</v>
      </c>
      <c r="I420" t="s">
        <v>620</v>
      </c>
      <c r="J420" s="51">
        <v>2.6643518518518518E-2</v>
      </c>
      <c r="K420" t="s">
        <v>160</v>
      </c>
      <c r="L420" t="s">
        <v>623</v>
      </c>
      <c r="M420" t="s">
        <v>624</v>
      </c>
      <c r="N420" t="s">
        <v>363</v>
      </c>
      <c r="O420" t="s">
        <v>164</v>
      </c>
      <c r="P420" t="s">
        <v>145</v>
      </c>
      <c r="Q420" t="s">
        <v>625</v>
      </c>
      <c r="R420" t="s">
        <v>167</v>
      </c>
      <c r="S420" t="s">
        <v>168</v>
      </c>
      <c r="T420" t="s">
        <v>149</v>
      </c>
      <c r="U420" t="s">
        <v>183</v>
      </c>
      <c r="V420">
        <v>2</v>
      </c>
      <c r="W420" t="s">
        <v>170</v>
      </c>
      <c r="X420" t="s">
        <v>2826</v>
      </c>
      <c r="Y420" t="s">
        <v>153</v>
      </c>
      <c r="Z420" s="53" t="s">
        <v>2827</v>
      </c>
      <c r="AA420">
        <v>1</v>
      </c>
      <c r="AB420"/>
      <c r="AC420">
        <v>1</v>
      </c>
      <c r="AD420"/>
      <c r="AE420"/>
      <c r="AF420"/>
      <c r="BG420" t="str">
        <f t="shared" si="7"/>
        <v/>
      </c>
      <c r="BH420" s="3" t="str" cm="1">
        <f t="array" ref="BH420">IF(AE420=1, _xlfn.TEXTJOIN(" &amp; ", TRUE, _xlfn._xlws.FILTER($AG$2:$BC$2, AG420:BC420=1)), "")</f>
        <v/>
      </c>
    </row>
    <row r="421" spans="1:60" x14ac:dyDescent="0.3">
      <c r="A421" t="s">
        <v>626</v>
      </c>
      <c r="B421" t="s">
        <v>627</v>
      </c>
      <c r="C421" t="s">
        <v>628</v>
      </c>
      <c r="D421">
        <v>2020</v>
      </c>
      <c r="E421" s="52" t="s">
        <v>629</v>
      </c>
      <c r="F421">
        <v>513130</v>
      </c>
      <c r="G421">
        <v>518450</v>
      </c>
      <c r="H421" t="s">
        <v>630</v>
      </c>
      <c r="I421" t="s">
        <v>626</v>
      </c>
      <c r="J421" s="51">
        <v>2.4097222222222221E-2</v>
      </c>
      <c r="K421" t="s">
        <v>140</v>
      </c>
      <c r="L421" t="s">
        <v>631</v>
      </c>
      <c r="M421" t="s">
        <v>632</v>
      </c>
      <c r="N421" t="s">
        <v>163</v>
      </c>
      <c r="O421" t="s">
        <v>144</v>
      </c>
      <c r="P421" t="s">
        <v>633</v>
      </c>
      <c r="Q421" t="s">
        <v>228</v>
      </c>
      <c r="R421" t="s">
        <v>147</v>
      </c>
      <c r="S421" t="s">
        <v>148</v>
      </c>
      <c r="T421" t="s">
        <v>180</v>
      </c>
      <c r="U421" t="s">
        <v>171</v>
      </c>
      <c r="V421">
        <v>4</v>
      </c>
      <c r="W421" t="s">
        <v>269</v>
      </c>
      <c r="X421" t="s">
        <v>634</v>
      </c>
      <c r="Y421" t="s">
        <v>153</v>
      </c>
      <c r="Z421" s="53" t="s">
        <v>635</v>
      </c>
      <c r="AA421">
        <v>1</v>
      </c>
      <c r="AB421"/>
      <c r="AC421">
        <v>1</v>
      </c>
      <c r="AD421"/>
      <c r="AE421"/>
      <c r="AF421"/>
      <c r="BG421" t="str">
        <f t="shared" si="7"/>
        <v/>
      </c>
      <c r="BH421" s="3" t="str" cm="1">
        <f t="array" ref="BH421">IF(AE421=1, _xlfn.TEXTJOIN(" &amp; ", TRUE, _xlfn._xlws.FILTER($AG$2:$BC$2, AG421:BC421=1)), "")</f>
        <v/>
      </c>
    </row>
    <row r="422" spans="1:60" x14ac:dyDescent="0.3">
      <c r="A422" t="s">
        <v>626</v>
      </c>
      <c r="B422" t="s">
        <v>2828</v>
      </c>
      <c r="C422" t="s">
        <v>628</v>
      </c>
      <c r="D422">
        <v>2020</v>
      </c>
      <c r="E422" s="52" t="s">
        <v>2829</v>
      </c>
      <c r="F422">
        <v>1048777</v>
      </c>
      <c r="G422">
        <v>1050800</v>
      </c>
      <c r="H422" t="s">
        <v>889</v>
      </c>
      <c r="I422" t="s">
        <v>626</v>
      </c>
      <c r="J422" s="51">
        <v>2.4097222222222221E-2</v>
      </c>
      <c r="K422" t="s">
        <v>140</v>
      </c>
      <c r="L422" t="s">
        <v>631</v>
      </c>
      <c r="M422" t="s">
        <v>632</v>
      </c>
      <c r="N422" t="s">
        <v>143</v>
      </c>
      <c r="O422" t="s">
        <v>144</v>
      </c>
      <c r="P422" t="s">
        <v>633</v>
      </c>
      <c r="Q422" t="s">
        <v>146</v>
      </c>
      <c r="R422" t="s">
        <v>147</v>
      </c>
      <c r="S422" t="s">
        <v>148</v>
      </c>
      <c r="T422" t="s">
        <v>268</v>
      </c>
      <c r="U422" t="s">
        <v>151</v>
      </c>
      <c r="V422">
        <v>4</v>
      </c>
      <c r="W422" t="s">
        <v>269</v>
      </c>
      <c r="X422" t="s">
        <v>2830</v>
      </c>
      <c r="Y422" t="s">
        <v>153</v>
      </c>
      <c r="Z422" s="53" t="s">
        <v>2831</v>
      </c>
      <c r="AA422">
        <v>1</v>
      </c>
      <c r="AB422">
        <v>1</v>
      </c>
      <c r="AC422"/>
      <c r="AD422"/>
      <c r="AE422"/>
      <c r="AF422"/>
      <c r="BG422" t="str">
        <f t="shared" si="7"/>
        <v/>
      </c>
      <c r="BH422" s="3" t="str" cm="1">
        <f t="array" ref="BH422">IF(AE422=1, _xlfn.TEXTJOIN(" &amp; ", TRUE, _xlfn._xlws.FILTER($AG$2:$BC$2, AG422:BC422=1)), "")</f>
        <v/>
      </c>
    </row>
    <row r="423" spans="1:60" x14ac:dyDescent="0.3">
      <c r="A423" t="s">
        <v>626</v>
      </c>
      <c r="B423" t="s">
        <v>2832</v>
      </c>
      <c r="C423" t="s">
        <v>628</v>
      </c>
      <c r="D423">
        <v>2020</v>
      </c>
      <c r="E423" s="52" t="s">
        <v>2833</v>
      </c>
      <c r="F423">
        <v>1410374</v>
      </c>
      <c r="G423">
        <v>1415889</v>
      </c>
      <c r="H423" t="s">
        <v>630</v>
      </c>
      <c r="I423" t="s">
        <v>626</v>
      </c>
      <c r="J423" s="51">
        <v>2.4097222222222221E-2</v>
      </c>
      <c r="K423" t="s">
        <v>140</v>
      </c>
      <c r="L423" t="s">
        <v>631</v>
      </c>
      <c r="M423" t="s">
        <v>632</v>
      </c>
      <c r="N423" t="s">
        <v>163</v>
      </c>
      <c r="O423" t="s">
        <v>144</v>
      </c>
      <c r="P423" t="s">
        <v>633</v>
      </c>
      <c r="Q423" t="s">
        <v>228</v>
      </c>
      <c r="R423" t="s">
        <v>147</v>
      </c>
      <c r="S423" t="s">
        <v>148</v>
      </c>
      <c r="T423" t="s">
        <v>180</v>
      </c>
      <c r="U423" t="s">
        <v>171</v>
      </c>
      <c r="V423">
        <v>4</v>
      </c>
      <c r="W423" t="s">
        <v>269</v>
      </c>
      <c r="X423" t="s">
        <v>2834</v>
      </c>
      <c r="Y423" t="s">
        <v>153</v>
      </c>
      <c r="Z423" s="53" t="s">
        <v>2835</v>
      </c>
      <c r="AA423">
        <v>1</v>
      </c>
      <c r="AB423">
        <v>1</v>
      </c>
      <c r="AC423"/>
      <c r="AD423"/>
      <c r="AE423"/>
      <c r="AF423"/>
      <c r="BG423" t="str">
        <f t="shared" si="7"/>
        <v/>
      </c>
      <c r="BH423" s="3" t="str" cm="1">
        <f t="array" ref="BH423">IF(AE423=1, _xlfn.TEXTJOIN(" &amp; ", TRUE, _xlfn._xlws.FILTER($AG$2:$BC$2, AG423:BC423=1)), "")</f>
        <v/>
      </c>
    </row>
    <row r="424" spans="1:60" x14ac:dyDescent="0.3">
      <c r="A424" t="s">
        <v>636</v>
      </c>
      <c r="B424" t="s">
        <v>637</v>
      </c>
      <c r="C424" t="s">
        <v>638</v>
      </c>
      <c r="D424">
        <v>2020</v>
      </c>
      <c r="E424" s="52" t="s">
        <v>639</v>
      </c>
      <c r="F424">
        <v>657077</v>
      </c>
      <c r="G424">
        <v>664353</v>
      </c>
      <c r="H424" t="s">
        <v>640</v>
      </c>
      <c r="I424" t="s">
        <v>636</v>
      </c>
      <c r="J424" s="51">
        <v>3.7048611111111109E-2</v>
      </c>
      <c r="K424" t="s">
        <v>140</v>
      </c>
      <c r="L424" t="s">
        <v>641</v>
      </c>
      <c r="M424" t="s">
        <v>642</v>
      </c>
      <c r="N424" t="s">
        <v>143</v>
      </c>
      <c r="O424" t="s">
        <v>144</v>
      </c>
      <c r="P424" t="s">
        <v>165</v>
      </c>
      <c r="Q424" t="s">
        <v>228</v>
      </c>
      <c r="R424" t="s">
        <v>147</v>
      </c>
      <c r="S424" t="s">
        <v>148</v>
      </c>
      <c r="T424" t="s">
        <v>643</v>
      </c>
      <c r="U424" t="s">
        <v>183</v>
      </c>
      <c r="V424">
        <v>2</v>
      </c>
      <c r="W424" t="s">
        <v>269</v>
      </c>
      <c r="X424" t="s">
        <v>644</v>
      </c>
      <c r="Y424" t="s">
        <v>153</v>
      </c>
      <c r="Z424" s="53" t="s">
        <v>645</v>
      </c>
      <c r="AA424"/>
      <c r="AB424"/>
      <c r="AC424"/>
      <c r="AD424"/>
      <c r="AE424">
        <v>1</v>
      </c>
      <c r="AF424"/>
      <c r="AM424" s="7">
        <v>1</v>
      </c>
      <c r="AW424" s="21">
        <v>1</v>
      </c>
      <c r="BD424" s="3">
        <v>1</v>
      </c>
      <c r="BG424" t="str">
        <f t="shared" si="7"/>
        <v>Interazionale &amp; Metatestuale</v>
      </c>
      <c r="BH424" s="3" t="str" cm="1">
        <f t="array" ref="BH424">IF(AE424=1, _xlfn.TEXTJOIN(" &amp; ", TRUE, _xlfn._xlws.FILTER($AG$2:$BC$2, AG424:BC424=1)), "")</f>
        <v>Marcatura della conoscenza condivisa &amp; General extenders e marche di generalizzazione</v>
      </c>
    </row>
    <row r="425" spans="1:60" x14ac:dyDescent="0.3">
      <c r="A425" t="s">
        <v>636</v>
      </c>
      <c r="B425" t="s">
        <v>2836</v>
      </c>
      <c r="C425" t="s">
        <v>638</v>
      </c>
      <c r="D425">
        <v>2020</v>
      </c>
      <c r="E425" s="52" t="s">
        <v>2837</v>
      </c>
      <c r="F425">
        <v>674395</v>
      </c>
      <c r="G425">
        <v>684437</v>
      </c>
      <c r="H425" t="s">
        <v>640</v>
      </c>
      <c r="I425" t="s">
        <v>636</v>
      </c>
      <c r="J425" s="51">
        <v>3.7048611111111109E-2</v>
      </c>
      <c r="K425" t="s">
        <v>140</v>
      </c>
      <c r="L425" t="s">
        <v>641</v>
      </c>
      <c r="M425" t="s">
        <v>642</v>
      </c>
      <c r="N425" t="s">
        <v>143</v>
      </c>
      <c r="O425" t="s">
        <v>144</v>
      </c>
      <c r="P425" t="s">
        <v>165</v>
      </c>
      <c r="Q425" t="s">
        <v>228</v>
      </c>
      <c r="R425" t="s">
        <v>147</v>
      </c>
      <c r="S425" t="s">
        <v>148</v>
      </c>
      <c r="T425" t="s">
        <v>643</v>
      </c>
      <c r="U425" t="s">
        <v>183</v>
      </c>
      <c r="V425">
        <v>2</v>
      </c>
      <c r="W425" t="s">
        <v>269</v>
      </c>
      <c r="X425" t="s">
        <v>2838</v>
      </c>
      <c r="Y425" t="s">
        <v>153</v>
      </c>
      <c r="Z425" s="53" t="s">
        <v>2839</v>
      </c>
      <c r="AA425">
        <v>1</v>
      </c>
      <c r="AB425"/>
      <c r="AC425">
        <v>1</v>
      </c>
      <c r="AD425"/>
      <c r="AE425"/>
      <c r="AF425"/>
      <c r="BG425" t="str">
        <f t="shared" si="7"/>
        <v/>
      </c>
      <c r="BH425" s="3" t="str" cm="1">
        <f t="array" ref="BH425">IF(AE425=1, _xlfn.TEXTJOIN(" &amp; ", TRUE, _xlfn._xlws.FILTER($AG$2:$BC$2, AG425:BC425=1)), "")</f>
        <v/>
      </c>
    </row>
    <row r="426" spans="1:60" x14ac:dyDescent="0.3">
      <c r="A426" t="s">
        <v>636</v>
      </c>
      <c r="B426" t="s">
        <v>2840</v>
      </c>
      <c r="C426" t="s">
        <v>638</v>
      </c>
      <c r="D426">
        <v>2020</v>
      </c>
      <c r="E426" s="52" t="s">
        <v>2841</v>
      </c>
      <c r="F426">
        <v>726515</v>
      </c>
      <c r="G426">
        <v>734400</v>
      </c>
      <c r="H426" t="s">
        <v>640</v>
      </c>
      <c r="I426" t="s">
        <v>636</v>
      </c>
      <c r="J426" s="51">
        <v>3.7048611111111109E-2</v>
      </c>
      <c r="K426" t="s">
        <v>140</v>
      </c>
      <c r="L426" t="s">
        <v>641</v>
      </c>
      <c r="M426" t="s">
        <v>642</v>
      </c>
      <c r="N426" t="s">
        <v>143</v>
      </c>
      <c r="O426" t="s">
        <v>144</v>
      </c>
      <c r="P426" t="s">
        <v>165</v>
      </c>
      <c r="Q426" t="s">
        <v>228</v>
      </c>
      <c r="R426" t="s">
        <v>147</v>
      </c>
      <c r="S426" t="s">
        <v>148</v>
      </c>
      <c r="T426" t="s">
        <v>643</v>
      </c>
      <c r="U426" t="s">
        <v>183</v>
      </c>
      <c r="V426">
        <v>2</v>
      </c>
      <c r="W426" t="s">
        <v>269</v>
      </c>
      <c r="X426" t="s">
        <v>2842</v>
      </c>
      <c r="Y426" t="s">
        <v>153</v>
      </c>
      <c r="Z426" s="53" t="s">
        <v>2843</v>
      </c>
      <c r="AA426">
        <v>1</v>
      </c>
      <c r="AB426"/>
      <c r="AC426">
        <v>1</v>
      </c>
      <c r="AD426"/>
      <c r="AE426"/>
      <c r="AF426"/>
      <c r="BG426" t="str">
        <f t="shared" si="7"/>
        <v/>
      </c>
      <c r="BH426" s="3" t="str" cm="1">
        <f t="array" ref="BH426">IF(AE426=1, _xlfn.TEXTJOIN(" &amp; ", TRUE, _xlfn._xlws.FILTER($AG$2:$BC$2, AG426:BC426=1)), "")</f>
        <v/>
      </c>
    </row>
    <row r="427" spans="1:60" x14ac:dyDescent="0.3">
      <c r="A427" t="s">
        <v>636</v>
      </c>
      <c r="B427" t="s">
        <v>2844</v>
      </c>
      <c r="C427" t="s">
        <v>638</v>
      </c>
      <c r="D427">
        <v>2020</v>
      </c>
      <c r="E427" s="52" t="s">
        <v>2845</v>
      </c>
      <c r="F427">
        <v>799020</v>
      </c>
      <c r="G427">
        <v>805102</v>
      </c>
      <c r="H427" t="s">
        <v>640</v>
      </c>
      <c r="I427" t="s">
        <v>636</v>
      </c>
      <c r="J427" s="51">
        <v>3.7048611111111109E-2</v>
      </c>
      <c r="K427" t="s">
        <v>140</v>
      </c>
      <c r="L427" t="s">
        <v>641</v>
      </c>
      <c r="M427" t="s">
        <v>642</v>
      </c>
      <c r="N427" t="s">
        <v>143</v>
      </c>
      <c r="O427" t="s">
        <v>144</v>
      </c>
      <c r="P427" t="s">
        <v>165</v>
      </c>
      <c r="Q427" t="s">
        <v>228</v>
      </c>
      <c r="R427" t="s">
        <v>147</v>
      </c>
      <c r="S427" t="s">
        <v>148</v>
      </c>
      <c r="T427" t="s">
        <v>643</v>
      </c>
      <c r="U427" t="s">
        <v>183</v>
      </c>
      <c r="V427">
        <v>2</v>
      </c>
      <c r="W427" t="s">
        <v>269</v>
      </c>
      <c r="X427" t="s">
        <v>2846</v>
      </c>
      <c r="Y427" t="s">
        <v>153</v>
      </c>
      <c r="Z427" s="53" t="s">
        <v>2847</v>
      </c>
      <c r="AA427">
        <v>1</v>
      </c>
      <c r="AB427"/>
      <c r="AC427">
        <v>1</v>
      </c>
      <c r="AD427"/>
      <c r="AE427"/>
      <c r="AF427"/>
      <c r="BG427" t="str">
        <f t="shared" si="7"/>
        <v/>
      </c>
      <c r="BH427" s="3" t="str" cm="1">
        <f t="array" ref="BH427">IF(AE427=1, _xlfn.TEXTJOIN(" &amp; ", TRUE, _xlfn._xlws.FILTER($AG$2:$BC$2, AG427:BC427=1)), "")</f>
        <v/>
      </c>
    </row>
    <row r="428" spans="1:60" x14ac:dyDescent="0.3">
      <c r="A428" t="s">
        <v>636</v>
      </c>
      <c r="B428" t="s">
        <v>2848</v>
      </c>
      <c r="C428" t="s">
        <v>638</v>
      </c>
      <c r="D428">
        <v>2020</v>
      </c>
      <c r="E428" s="52" t="s">
        <v>2849</v>
      </c>
      <c r="F428">
        <v>1033096</v>
      </c>
      <c r="G428">
        <v>1044489</v>
      </c>
      <c r="H428" t="s">
        <v>640</v>
      </c>
      <c r="I428" t="s">
        <v>636</v>
      </c>
      <c r="J428" s="51">
        <v>3.7048611111111109E-2</v>
      </c>
      <c r="K428" t="s">
        <v>140</v>
      </c>
      <c r="L428" t="s">
        <v>641</v>
      </c>
      <c r="M428" t="s">
        <v>642</v>
      </c>
      <c r="N428" t="s">
        <v>143</v>
      </c>
      <c r="O428" t="s">
        <v>144</v>
      </c>
      <c r="P428" t="s">
        <v>165</v>
      </c>
      <c r="Q428" t="s">
        <v>228</v>
      </c>
      <c r="R428" t="s">
        <v>147</v>
      </c>
      <c r="S428" t="s">
        <v>148</v>
      </c>
      <c r="T428" t="s">
        <v>643</v>
      </c>
      <c r="U428" t="s">
        <v>183</v>
      </c>
      <c r="V428">
        <v>2</v>
      </c>
      <c r="W428" t="s">
        <v>269</v>
      </c>
      <c r="X428" t="s">
        <v>2850</v>
      </c>
      <c r="Y428" t="s">
        <v>153</v>
      </c>
      <c r="Z428" s="53" t="s">
        <v>2851</v>
      </c>
      <c r="AA428"/>
      <c r="AB428"/>
      <c r="AC428"/>
      <c r="AD428"/>
      <c r="AE428">
        <v>1</v>
      </c>
      <c r="AF428"/>
      <c r="AM428" s="7">
        <v>1</v>
      </c>
      <c r="AU428" s="21">
        <v>1</v>
      </c>
      <c r="BD428" s="3">
        <v>1</v>
      </c>
      <c r="BG428" t="str">
        <f t="shared" si="7"/>
        <v>Interazionale &amp; Metatestuale</v>
      </c>
      <c r="BH428" s="3" t="str" cm="1">
        <f t="array" ref="BH428">IF(AE428=1, _xlfn.TEXTJOIN(" &amp; ", TRUE, _xlfn._xlws.FILTER($AG$2:$BC$2, AG428:BC428=1)), "")</f>
        <v>Marcatura della conoscenza condivisa &amp; Esemplificazione</v>
      </c>
    </row>
    <row r="429" spans="1:60" x14ac:dyDescent="0.3">
      <c r="A429" t="s">
        <v>636</v>
      </c>
      <c r="B429" t="s">
        <v>2852</v>
      </c>
      <c r="C429" t="s">
        <v>638</v>
      </c>
      <c r="D429">
        <v>2020</v>
      </c>
      <c r="E429" s="52" t="s">
        <v>2853</v>
      </c>
      <c r="F429">
        <v>1138424</v>
      </c>
      <c r="G429">
        <v>1142538</v>
      </c>
      <c r="H429" t="s">
        <v>640</v>
      </c>
      <c r="I429" t="s">
        <v>636</v>
      </c>
      <c r="J429" s="51">
        <v>3.7048611111111109E-2</v>
      </c>
      <c r="K429" t="s">
        <v>140</v>
      </c>
      <c r="L429" t="s">
        <v>641</v>
      </c>
      <c r="M429" t="s">
        <v>642</v>
      </c>
      <c r="N429" t="s">
        <v>143</v>
      </c>
      <c r="O429" t="s">
        <v>144</v>
      </c>
      <c r="P429" t="s">
        <v>165</v>
      </c>
      <c r="Q429" t="s">
        <v>228</v>
      </c>
      <c r="R429" t="s">
        <v>147</v>
      </c>
      <c r="S429" t="s">
        <v>148</v>
      </c>
      <c r="T429" t="s">
        <v>643</v>
      </c>
      <c r="U429" t="s">
        <v>183</v>
      </c>
      <c r="V429">
        <v>2</v>
      </c>
      <c r="W429" t="s">
        <v>269</v>
      </c>
      <c r="X429" t="s">
        <v>2854</v>
      </c>
      <c r="Y429" t="s">
        <v>153</v>
      </c>
      <c r="Z429" s="53" t="s">
        <v>2855</v>
      </c>
      <c r="AA429">
        <v>1</v>
      </c>
      <c r="AB429"/>
      <c r="AC429">
        <v>1</v>
      </c>
      <c r="AD429"/>
      <c r="AE429"/>
      <c r="AF429"/>
      <c r="BG429" t="str">
        <f t="shared" si="7"/>
        <v/>
      </c>
      <c r="BH429" s="3" t="str" cm="1">
        <f t="array" ref="BH429">IF(AE429=1, _xlfn.TEXTJOIN(" &amp; ", TRUE, _xlfn._xlws.FILTER($AG$2:$BC$2, AG429:BC429=1)), "")</f>
        <v/>
      </c>
    </row>
    <row r="430" spans="1:60" x14ac:dyDescent="0.3">
      <c r="A430" t="s">
        <v>636</v>
      </c>
      <c r="B430" t="s">
        <v>2856</v>
      </c>
      <c r="C430" t="s">
        <v>638</v>
      </c>
      <c r="D430">
        <v>2020</v>
      </c>
      <c r="E430" s="52" t="s">
        <v>2857</v>
      </c>
      <c r="F430">
        <v>1815225</v>
      </c>
      <c r="G430">
        <v>1816333</v>
      </c>
      <c r="H430" t="s">
        <v>640</v>
      </c>
      <c r="I430" t="s">
        <v>636</v>
      </c>
      <c r="J430" s="51">
        <v>3.7048611111111109E-2</v>
      </c>
      <c r="K430" t="s">
        <v>140</v>
      </c>
      <c r="L430" t="s">
        <v>641</v>
      </c>
      <c r="M430" t="s">
        <v>642</v>
      </c>
      <c r="N430" t="s">
        <v>143</v>
      </c>
      <c r="O430" t="s">
        <v>144</v>
      </c>
      <c r="P430" t="s">
        <v>165</v>
      </c>
      <c r="Q430" t="s">
        <v>228</v>
      </c>
      <c r="R430" t="s">
        <v>147</v>
      </c>
      <c r="S430" t="s">
        <v>148</v>
      </c>
      <c r="T430" t="s">
        <v>643</v>
      </c>
      <c r="U430" t="s">
        <v>183</v>
      </c>
      <c r="V430">
        <v>2</v>
      </c>
      <c r="W430" t="s">
        <v>269</v>
      </c>
      <c r="X430" t="s">
        <v>2858</v>
      </c>
      <c r="Y430" t="s">
        <v>153</v>
      </c>
      <c r="Z430" s="53" t="s">
        <v>2859</v>
      </c>
      <c r="AA430"/>
      <c r="AB430"/>
      <c r="AC430"/>
      <c r="AD430"/>
      <c r="AE430">
        <v>1</v>
      </c>
      <c r="AF430"/>
      <c r="AY430" s="10">
        <v>1</v>
      </c>
      <c r="BG430" t="str">
        <f t="shared" si="7"/>
        <v>Cognitiva</v>
      </c>
      <c r="BH430" s="3" t="str" cm="1">
        <f t="array" ref="BH430">IF(AE430=1, _xlfn.TEXTJOIN(" &amp; ", TRUE, _xlfn._xlws.FILTER($AG$2:$BC$2, AG430:BC430=1)), "")</f>
        <v>Modulazione del grado di confidenza del parlante</v>
      </c>
    </row>
    <row r="431" spans="1:60" x14ac:dyDescent="0.3">
      <c r="A431" t="s">
        <v>636</v>
      </c>
      <c r="B431" t="s">
        <v>2860</v>
      </c>
      <c r="C431" t="s">
        <v>638</v>
      </c>
      <c r="D431">
        <v>2020</v>
      </c>
      <c r="E431" s="52" t="s">
        <v>2861</v>
      </c>
      <c r="F431">
        <v>1825446</v>
      </c>
      <c r="G431">
        <v>1827580</v>
      </c>
      <c r="H431" t="s">
        <v>640</v>
      </c>
      <c r="I431" t="s">
        <v>636</v>
      </c>
      <c r="J431" s="51">
        <v>3.7048611111111109E-2</v>
      </c>
      <c r="K431" t="s">
        <v>140</v>
      </c>
      <c r="L431" t="s">
        <v>641</v>
      </c>
      <c r="M431" t="s">
        <v>642</v>
      </c>
      <c r="N431" t="s">
        <v>143</v>
      </c>
      <c r="O431" t="s">
        <v>144</v>
      </c>
      <c r="P431" t="s">
        <v>165</v>
      </c>
      <c r="Q431" t="s">
        <v>228</v>
      </c>
      <c r="R431" t="s">
        <v>147</v>
      </c>
      <c r="S431" t="s">
        <v>148</v>
      </c>
      <c r="T431" t="s">
        <v>643</v>
      </c>
      <c r="U431" t="s">
        <v>183</v>
      </c>
      <c r="V431">
        <v>2</v>
      </c>
      <c r="W431" t="s">
        <v>269</v>
      </c>
      <c r="X431" t="s">
        <v>2862</v>
      </c>
      <c r="Y431" t="s">
        <v>153</v>
      </c>
      <c r="Z431" s="53" t="s">
        <v>2863</v>
      </c>
      <c r="AA431"/>
      <c r="AB431"/>
      <c r="AC431"/>
      <c r="AD431"/>
      <c r="AE431">
        <v>1</v>
      </c>
      <c r="AF431"/>
      <c r="AY431" s="10">
        <v>1</v>
      </c>
      <c r="BG431" t="str">
        <f t="shared" si="7"/>
        <v>Cognitiva</v>
      </c>
      <c r="BH431" s="3" t="str" cm="1">
        <f t="array" ref="BH431">IF(AE431=1, _xlfn.TEXTJOIN(" &amp; ", TRUE, _xlfn._xlws.FILTER($AG$2:$BC$2, AG431:BC431=1)), "")</f>
        <v>Modulazione del grado di confidenza del parlante</v>
      </c>
    </row>
    <row r="432" spans="1:60" x14ac:dyDescent="0.3">
      <c r="A432" t="s">
        <v>636</v>
      </c>
      <c r="B432" t="s">
        <v>646</v>
      </c>
      <c r="C432" t="s">
        <v>638</v>
      </c>
      <c r="D432">
        <v>2020</v>
      </c>
      <c r="E432" s="52" t="s">
        <v>647</v>
      </c>
      <c r="F432">
        <v>2008534</v>
      </c>
      <c r="G432">
        <v>2009895</v>
      </c>
      <c r="H432" t="s">
        <v>640</v>
      </c>
      <c r="I432" t="s">
        <v>636</v>
      </c>
      <c r="J432" s="51">
        <v>3.7048611111111109E-2</v>
      </c>
      <c r="K432" t="s">
        <v>140</v>
      </c>
      <c r="L432" t="s">
        <v>641</v>
      </c>
      <c r="M432" t="s">
        <v>642</v>
      </c>
      <c r="N432" t="s">
        <v>143</v>
      </c>
      <c r="O432" t="s">
        <v>144</v>
      </c>
      <c r="P432" t="s">
        <v>165</v>
      </c>
      <c r="Q432" t="s">
        <v>228</v>
      </c>
      <c r="R432" t="s">
        <v>147</v>
      </c>
      <c r="S432" t="s">
        <v>148</v>
      </c>
      <c r="T432" t="s">
        <v>643</v>
      </c>
      <c r="U432" t="s">
        <v>183</v>
      </c>
      <c r="V432">
        <v>2</v>
      </c>
      <c r="W432" t="s">
        <v>269</v>
      </c>
      <c r="X432" t="s">
        <v>648</v>
      </c>
      <c r="Y432" t="s">
        <v>153</v>
      </c>
      <c r="Z432" s="53" t="s">
        <v>649</v>
      </c>
      <c r="AA432">
        <v>1</v>
      </c>
      <c r="AB432"/>
      <c r="AC432">
        <v>1</v>
      </c>
      <c r="AD432"/>
      <c r="AE432"/>
      <c r="AF432"/>
      <c r="BG432" t="str">
        <f t="shared" si="7"/>
        <v/>
      </c>
      <c r="BH432" s="3" t="str" cm="1">
        <f t="array" ref="BH432">IF(AE432=1, _xlfn.TEXTJOIN(" &amp; ", TRUE, _xlfn._xlws.FILTER($AG$2:$BC$2, AG432:BC432=1)), "")</f>
        <v/>
      </c>
    </row>
    <row r="433" spans="1:60" x14ac:dyDescent="0.3">
      <c r="A433" t="s">
        <v>636</v>
      </c>
      <c r="B433" t="s">
        <v>2864</v>
      </c>
      <c r="C433" t="s">
        <v>638</v>
      </c>
      <c r="D433">
        <v>2020</v>
      </c>
      <c r="E433" s="52" t="s">
        <v>2865</v>
      </c>
      <c r="F433">
        <v>2169784</v>
      </c>
      <c r="G433">
        <v>2172772</v>
      </c>
      <c r="H433" t="s">
        <v>640</v>
      </c>
      <c r="I433" t="s">
        <v>636</v>
      </c>
      <c r="J433" s="51">
        <v>3.7048611111111109E-2</v>
      </c>
      <c r="K433" t="s">
        <v>140</v>
      </c>
      <c r="L433" t="s">
        <v>641</v>
      </c>
      <c r="M433" t="s">
        <v>642</v>
      </c>
      <c r="N433" t="s">
        <v>143</v>
      </c>
      <c r="O433" t="s">
        <v>144</v>
      </c>
      <c r="P433" t="s">
        <v>165</v>
      </c>
      <c r="Q433" t="s">
        <v>228</v>
      </c>
      <c r="R433" t="s">
        <v>147</v>
      </c>
      <c r="S433" t="s">
        <v>148</v>
      </c>
      <c r="T433" t="s">
        <v>643</v>
      </c>
      <c r="U433" t="s">
        <v>183</v>
      </c>
      <c r="V433">
        <v>2</v>
      </c>
      <c r="W433" t="s">
        <v>269</v>
      </c>
      <c r="X433" t="s">
        <v>2866</v>
      </c>
      <c r="Y433" t="s">
        <v>153</v>
      </c>
      <c r="Z433" s="53" t="s">
        <v>2867</v>
      </c>
      <c r="AA433"/>
      <c r="AB433"/>
      <c r="AC433"/>
      <c r="AD433"/>
      <c r="AE433">
        <v>1</v>
      </c>
      <c r="AF433">
        <v>1</v>
      </c>
      <c r="AM433" s="7">
        <v>1</v>
      </c>
      <c r="BG433" t="str">
        <f t="shared" si="7"/>
        <v>Interazionale</v>
      </c>
      <c r="BH433" s="3" t="str" cm="1">
        <f t="array" ref="BH433">IF(AE433=1, _xlfn.TEXTJOIN(" &amp; ", TRUE, _xlfn._xlws.FILTER($AG$2:$BC$2, AG433:BC433=1)), "")</f>
        <v>Marcatura della conoscenza condivisa</v>
      </c>
    </row>
    <row r="434" spans="1:60" x14ac:dyDescent="0.3">
      <c r="A434" t="s">
        <v>636</v>
      </c>
      <c r="B434" t="s">
        <v>2868</v>
      </c>
      <c r="C434" t="s">
        <v>638</v>
      </c>
      <c r="D434">
        <v>2020</v>
      </c>
      <c r="E434" s="52" t="s">
        <v>2869</v>
      </c>
      <c r="F434">
        <v>2171782</v>
      </c>
      <c r="G434">
        <v>2173200</v>
      </c>
      <c r="H434" t="s">
        <v>2870</v>
      </c>
      <c r="I434" t="s">
        <v>636</v>
      </c>
      <c r="J434" s="51">
        <v>3.7048611111111109E-2</v>
      </c>
      <c r="K434" t="s">
        <v>140</v>
      </c>
      <c r="L434" t="s">
        <v>641</v>
      </c>
      <c r="M434" t="s">
        <v>642</v>
      </c>
      <c r="N434" t="s">
        <v>336</v>
      </c>
      <c r="O434" t="s">
        <v>144</v>
      </c>
      <c r="P434" t="s">
        <v>165</v>
      </c>
      <c r="Q434" t="s">
        <v>228</v>
      </c>
      <c r="R434" t="s">
        <v>147</v>
      </c>
      <c r="S434" t="s">
        <v>148</v>
      </c>
      <c r="T434" t="s">
        <v>149</v>
      </c>
      <c r="U434" t="s">
        <v>349</v>
      </c>
      <c r="V434">
        <v>2</v>
      </c>
      <c r="W434" t="s">
        <v>269</v>
      </c>
      <c r="X434" t="s">
        <v>2871</v>
      </c>
      <c r="Y434" t="s">
        <v>153</v>
      </c>
      <c r="Z434" s="53" t="s">
        <v>2872</v>
      </c>
      <c r="AA434">
        <v>1</v>
      </c>
      <c r="AB434">
        <v>1</v>
      </c>
      <c r="AC434"/>
      <c r="AD434"/>
      <c r="AE434"/>
      <c r="AF434"/>
      <c r="BG434" t="str">
        <f t="shared" si="7"/>
        <v/>
      </c>
      <c r="BH434" s="3" t="str" cm="1">
        <f t="array" ref="BH434">IF(AE434=1, _xlfn.TEXTJOIN(" &amp; ", TRUE, _xlfn._xlws.FILTER($AG$2:$BC$2, AG434:BC434=1)), "")</f>
        <v/>
      </c>
    </row>
    <row r="435" spans="1:60" x14ac:dyDescent="0.3">
      <c r="A435" t="s">
        <v>636</v>
      </c>
      <c r="B435" t="s">
        <v>2873</v>
      </c>
      <c r="C435" t="s">
        <v>638</v>
      </c>
      <c r="D435">
        <v>2020</v>
      </c>
      <c r="E435" s="52" t="s">
        <v>2874</v>
      </c>
      <c r="F435">
        <v>2211673</v>
      </c>
      <c r="G435">
        <v>2221072</v>
      </c>
      <c r="H435" t="s">
        <v>640</v>
      </c>
      <c r="I435" t="s">
        <v>636</v>
      </c>
      <c r="J435" s="51">
        <v>3.7048611111111109E-2</v>
      </c>
      <c r="K435" t="s">
        <v>140</v>
      </c>
      <c r="L435" t="s">
        <v>641</v>
      </c>
      <c r="M435" t="s">
        <v>642</v>
      </c>
      <c r="N435" t="s">
        <v>143</v>
      </c>
      <c r="O435" t="s">
        <v>144</v>
      </c>
      <c r="P435" t="s">
        <v>165</v>
      </c>
      <c r="Q435" t="s">
        <v>228</v>
      </c>
      <c r="R435" t="s">
        <v>147</v>
      </c>
      <c r="S435" t="s">
        <v>148</v>
      </c>
      <c r="T435" t="s">
        <v>643</v>
      </c>
      <c r="U435" t="s">
        <v>183</v>
      </c>
      <c r="V435">
        <v>2</v>
      </c>
      <c r="W435" t="s">
        <v>269</v>
      </c>
      <c r="X435" t="s">
        <v>2875</v>
      </c>
      <c r="Y435" t="s">
        <v>153</v>
      </c>
      <c r="Z435" s="53" t="s">
        <v>2876</v>
      </c>
      <c r="AA435">
        <v>1</v>
      </c>
      <c r="AB435"/>
      <c r="AC435"/>
      <c r="AD435">
        <v>1</v>
      </c>
      <c r="AE435"/>
      <c r="AF435"/>
      <c r="BG435" t="str">
        <f t="shared" si="7"/>
        <v/>
      </c>
      <c r="BH435" s="3" t="str" cm="1">
        <f t="array" ref="BH435">IF(AE435=1, _xlfn.TEXTJOIN(" &amp; ", TRUE, _xlfn._xlws.FILTER($AG$2:$BC$2, AG435:BC435=1)), "")</f>
        <v/>
      </c>
    </row>
    <row r="436" spans="1:60" x14ac:dyDescent="0.3">
      <c r="A436" t="s">
        <v>2877</v>
      </c>
      <c r="B436" t="s">
        <v>2878</v>
      </c>
      <c r="C436" t="s">
        <v>2879</v>
      </c>
      <c r="D436">
        <v>2019</v>
      </c>
      <c r="E436" s="52" t="s">
        <v>2880</v>
      </c>
      <c r="F436">
        <v>386691</v>
      </c>
      <c r="G436">
        <v>389602</v>
      </c>
      <c r="H436" t="s">
        <v>2881</v>
      </c>
      <c r="I436" t="s">
        <v>2877</v>
      </c>
      <c r="J436" s="51">
        <v>2.7222222222222221E-2</v>
      </c>
      <c r="K436" t="s">
        <v>160</v>
      </c>
      <c r="L436" t="s">
        <v>2882</v>
      </c>
      <c r="M436" t="s">
        <v>2883</v>
      </c>
      <c r="N436" t="s">
        <v>246</v>
      </c>
      <c r="O436" t="s">
        <v>144</v>
      </c>
      <c r="P436" t="s">
        <v>145</v>
      </c>
      <c r="Q436" t="s">
        <v>228</v>
      </c>
      <c r="R436" t="s">
        <v>167</v>
      </c>
      <c r="S436" t="s">
        <v>168</v>
      </c>
      <c r="T436" t="s">
        <v>149</v>
      </c>
      <c r="U436" t="s">
        <v>229</v>
      </c>
      <c r="V436">
        <v>2</v>
      </c>
      <c r="W436" t="s">
        <v>170</v>
      </c>
      <c r="X436" t="s">
        <v>2884</v>
      </c>
      <c r="Y436" t="s">
        <v>153</v>
      </c>
      <c r="Z436" s="53" t="s">
        <v>2885</v>
      </c>
      <c r="AA436">
        <v>1</v>
      </c>
      <c r="AB436">
        <v>1</v>
      </c>
      <c r="AC436"/>
      <c r="AD436"/>
      <c r="AE436"/>
      <c r="AF436"/>
      <c r="BG436" t="str">
        <f t="shared" si="7"/>
        <v/>
      </c>
      <c r="BH436" s="3" t="str" cm="1">
        <f t="array" ref="BH436">IF(AE436=1, _xlfn.TEXTJOIN(" &amp; ", TRUE, _xlfn._xlws.FILTER($AG$2:$BC$2, AG436:BC436=1)), "")</f>
        <v/>
      </c>
    </row>
    <row r="437" spans="1:60" x14ac:dyDescent="0.3">
      <c r="A437" t="s">
        <v>2877</v>
      </c>
      <c r="B437" t="s">
        <v>2886</v>
      </c>
      <c r="C437" t="s">
        <v>2879</v>
      </c>
      <c r="D437">
        <v>2019</v>
      </c>
      <c r="E437" s="52" t="s">
        <v>2887</v>
      </c>
      <c r="F437">
        <v>2296169</v>
      </c>
      <c r="G437">
        <v>2296850</v>
      </c>
      <c r="H437" t="s">
        <v>2881</v>
      </c>
      <c r="I437" t="s">
        <v>2877</v>
      </c>
      <c r="J437" s="51">
        <v>2.7222222222222221E-2</v>
      </c>
      <c r="K437" t="s">
        <v>160</v>
      </c>
      <c r="L437" t="s">
        <v>2882</v>
      </c>
      <c r="M437" t="s">
        <v>2883</v>
      </c>
      <c r="N437" t="s">
        <v>246</v>
      </c>
      <c r="O437" t="s">
        <v>144</v>
      </c>
      <c r="P437" t="s">
        <v>145</v>
      </c>
      <c r="Q437" t="s">
        <v>228</v>
      </c>
      <c r="R437" t="s">
        <v>167</v>
      </c>
      <c r="S437" t="s">
        <v>168</v>
      </c>
      <c r="T437" t="s">
        <v>149</v>
      </c>
      <c r="U437" t="s">
        <v>229</v>
      </c>
      <c r="V437">
        <v>2</v>
      </c>
      <c r="W437" t="s">
        <v>170</v>
      </c>
      <c r="X437" t="s">
        <v>2888</v>
      </c>
      <c r="Y437" t="s">
        <v>153</v>
      </c>
      <c r="Z437" s="53" t="s">
        <v>2889</v>
      </c>
      <c r="AA437"/>
      <c r="AB437"/>
      <c r="AC437"/>
      <c r="AD437"/>
      <c r="AE437">
        <v>1</v>
      </c>
      <c r="AF437">
        <v>1</v>
      </c>
      <c r="AM437" s="7">
        <v>1</v>
      </c>
      <c r="BG437" t="str">
        <f t="shared" si="7"/>
        <v>Interazionale</v>
      </c>
      <c r="BH437" s="3" t="str" cm="1">
        <f t="array" ref="BH437">IF(AE437=1, _xlfn.TEXTJOIN(" &amp; ", TRUE, _xlfn._xlws.FILTER($AG$2:$BC$2, AG437:BC437=1)), "")</f>
        <v>Marcatura della conoscenza condivisa</v>
      </c>
    </row>
    <row r="438" spans="1:60" x14ac:dyDescent="0.3">
      <c r="A438" t="s">
        <v>2890</v>
      </c>
      <c r="B438" t="s">
        <v>2894</v>
      </c>
      <c r="C438" t="s">
        <v>2891</v>
      </c>
      <c r="D438">
        <v>2022</v>
      </c>
      <c r="E438" s="52" t="s">
        <v>2895</v>
      </c>
      <c r="F438">
        <v>1666308</v>
      </c>
      <c r="G438">
        <v>1667070</v>
      </c>
      <c r="H438" t="s">
        <v>2896</v>
      </c>
      <c r="I438" t="s">
        <v>2890</v>
      </c>
      <c r="J438" s="51">
        <v>2.7789351851851853E-2</v>
      </c>
      <c r="K438" t="s">
        <v>140</v>
      </c>
      <c r="L438" t="s">
        <v>2892</v>
      </c>
      <c r="M438" t="s">
        <v>2893</v>
      </c>
      <c r="N438" t="s">
        <v>178</v>
      </c>
      <c r="O438" t="s">
        <v>144</v>
      </c>
      <c r="P438" t="s">
        <v>425</v>
      </c>
      <c r="Q438" t="s">
        <v>179</v>
      </c>
      <c r="R438" t="s">
        <v>147</v>
      </c>
      <c r="S438" t="s">
        <v>148</v>
      </c>
      <c r="T438" t="s">
        <v>288</v>
      </c>
      <c r="U438" t="s">
        <v>229</v>
      </c>
      <c r="V438">
        <v>3</v>
      </c>
      <c r="W438" t="s">
        <v>269</v>
      </c>
      <c r="X438" t="s">
        <v>2897</v>
      </c>
      <c r="Y438" t="s">
        <v>153</v>
      </c>
      <c r="Z438" s="53" t="s">
        <v>2898</v>
      </c>
      <c r="AA438">
        <v>1</v>
      </c>
      <c r="AB438"/>
      <c r="AC438"/>
      <c r="AD438">
        <v>1</v>
      </c>
      <c r="AE438"/>
      <c r="AF438"/>
      <c r="BG438" t="str">
        <f t="shared" si="7"/>
        <v/>
      </c>
      <c r="BH438" s="3" t="str" cm="1">
        <f t="array" ref="BH438">IF(AE438=1, _xlfn.TEXTJOIN(" &amp; ", TRUE, _xlfn._xlws.FILTER($AG$2:$BC$2, AG438:BC438=1)), "")</f>
        <v/>
      </c>
    </row>
    <row r="439" spans="1:60" x14ac:dyDescent="0.3">
      <c r="A439" t="s">
        <v>2890</v>
      </c>
      <c r="B439" t="s">
        <v>2899</v>
      </c>
      <c r="C439" t="s">
        <v>2891</v>
      </c>
      <c r="D439">
        <v>2022</v>
      </c>
      <c r="E439" s="52" t="s">
        <v>2900</v>
      </c>
      <c r="F439">
        <v>2238413</v>
      </c>
      <c r="G439">
        <v>2239447</v>
      </c>
      <c r="H439" t="s">
        <v>770</v>
      </c>
      <c r="I439" t="s">
        <v>2890</v>
      </c>
      <c r="J439" s="51">
        <v>2.7789351851851853E-2</v>
      </c>
      <c r="K439" t="s">
        <v>140</v>
      </c>
      <c r="L439" t="s">
        <v>2892</v>
      </c>
      <c r="M439" t="s">
        <v>2893</v>
      </c>
      <c r="N439" t="s">
        <v>143</v>
      </c>
      <c r="O439" t="s">
        <v>144</v>
      </c>
      <c r="P439" t="s">
        <v>425</v>
      </c>
      <c r="Q439" t="s">
        <v>146</v>
      </c>
      <c r="R439" t="s">
        <v>147</v>
      </c>
      <c r="S439" t="s">
        <v>148</v>
      </c>
      <c r="T439" t="s">
        <v>247</v>
      </c>
      <c r="U439" t="s">
        <v>151</v>
      </c>
      <c r="V439">
        <v>3</v>
      </c>
      <c r="W439" t="s">
        <v>269</v>
      </c>
      <c r="X439" t="s">
        <v>2901</v>
      </c>
      <c r="Y439" t="s">
        <v>153</v>
      </c>
      <c r="Z439" s="53" t="s">
        <v>2902</v>
      </c>
      <c r="AA439">
        <v>1</v>
      </c>
      <c r="AB439"/>
      <c r="AC439">
        <v>1</v>
      </c>
      <c r="AD439"/>
      <c r="AE439"/>
      <c r="AF439"/>
      <c r="AM439" s="7">
        <v>1</v>
      </c>
      <c r="BG439" t="str">
        <f t="shared" si="7"/>
        <v/>
      </c>
      <c r="BH439" s="3" t="str" cm="1">
        <f t="array" ref="BH439">IF(AE439=1, _xlfn.TEXTJOIN(" &amp; ", TRUE, _xlfn._xlws.FILTER($AG$2:$BC$2, AG439:BC439=1)), "")</f>
        <v/>
      </c>
    </row>
    <row r="440" spans="1:60" x14ac:dyDescent="0.3">
      <c r="A440" t="s">
        <v>2903</v>
      </c>
      <c r="B440" t="s">
        <v>2908</v>
      </c>
      <c r="C440" t="s">
        <v>2904</v>
      </c>
      <c r="D440">
        <v>2019</v>
      </c>
      <c r="E440" s="52" t="s">
        <v>2909</v>
      </c>
      <c r="F440">
        <v>534213</v>
      </c>
      <c r="G440">
        <v>536031</v>
      </c>
      <c r="H440" t="s">
        <v>2905</v>
      </c>
      <c r="I440" t="s">
        <v>2903</v>
      </c>
      <c r="J440" s="51">
        <v>1.9016203703703705E-2</v>
      </c>
      <c r="K440" t="s">
        <v>160</v>
      </c>
      <c r="L440" t="s">
        <v>2906</v>
      </c>
      <c r="M440" t="s">
        <v>2907</v>
      </c>
      <c r="N440" t="s">
        <v>363</v>
      </c>
      <c r="O440" t="s">
        <v>144</v>
      </c>
      <c r="P440" t="s">
        <v>145</v>
      </c>
      <c r="Q440" t="s">
        <v>228</v>
      </c>
      <c r="R440" t="s">
        <v>167</v>
      </c>
      <c r="S440" t="s">
        <v>168</v>
      </c>
      <c r="T440" t="s">
        <v>149</v>
      </c>
      <c r="U440" t="s">
        <v>229</v>
      </c>
      <c r="V440">
        <v>2</v>
      </c>
      <c r="W440" t="s">
        <v>170</v>
      </c>
      <c r="X440" t="s">
        <v>2910</v>
      </c>
      <c r="Y440" t="s">
        <v>153</v>
      </c>
      <c r="Z440" s="53" t="s">
        <v>2911</v>
      </c>
      <c r="AA440"/>
      <c r="AB440"/>
      <c r="AC440"/>
      <c r="AD440"/>
      <c r="AE440">
        <v>1</v>
      </c>
      <c r="AF440"/>
      <c r="AM440" s="7">
        <v>1</v>
      </c>
      <c r="BG440" t="str">
        <f t="shared" si="7"/>
        <v>Interazionale</v>
      </c>
      <c r="BH440" s="3" t="str" cm="1">
        <f t="array" ref="BH440">IF(AE440=1, _xlfn.TEXTJOIN(" &amp; ", TRUE, _xlfn._xlws.FILTER($AG$2:$BC$2, AG440:BC440=1)), "")</f>
        <v>Marcatura della conoscenza condivisa</v>
      </c>
    </row>
    <row r="441" spans="1:60" x14ac:dyDescent="0.3">
      <c r="A441" t="s">
        <v>2903</v>
      </c>
      <c r="B441" t="s">
        <v>2912</v>
      </c>
      <c r="C441" t="s">
        <v>2904</v>
      </c>
      <c r="D441">
        <v>2019</v>
      </c>
      <c r="E441" s="52" t="s">
        <v>2913</v>
      </c>
      <c r="F441">
        <v>677606</v>
      </c>
      <c r="G441">
        <v>679000</v>
      </c>
      <c r="H441" t="s">
        <v>2905</v>
      </c>
      <c r="I441" t="s">
        <v>2903</v>
      </c>
      <c r="J441" s="51">
        <v>1.9016203703703705E-2</v>
      </c>
      <c r="K441" t="s">
        <v>160</v>
      </c>
      <c r="L441" t="s">
        <v>2906</v>
      </c>
      <c r="M441" t="s">
        <v>2907</v>
      </c>
      <c r="N441" t="s">
        <v>363</v>
      </c>
      <c r="O441" t="s">
        <v>144</v>
      </c>
      <c r="P441" t="s">
        <v>145</v>
      </c>
      <c r="Q441" t="s">
        <v>228</v>
      </c>
      <c r="R441" t="s">
        <v>167</v>
      </c>
      <c r="S441" t="s">
        <v>168</v>
      </c>
      <c r="T441" t="s">
        <v>149</v>
      </c>
      <c r="U441" t="s">
        <v>229</v>
      </c>
      <c r="V441">
        <v>2</v>
      </c>
      <c r="W441" t="s">
        <v>170</v>
      </c>
      <c r="X441" t="s">
        <v>2914</v>
      </c>
      <c r="Y441" t="s">
        <v>153</v>
      </c>
      <c r="Z441" s="53" t="s">
        <v>2915</v>
      </c>
      <c r="AA441"/>
      <c r="AB441"/>
      <c r="AC441"/>
      <c r="AD441"/>
      <c r="AE441">
        <v>1</v>
      </c>
      <c r="AF441"/>
      <c r="AM441" s="7">
        <v>1</v>
      </c>
      <c r="AW441" s="21">
        <v>1</v>
      </c>
      <c r="BD441" s="3">
        <v>1</v>
      </c>
      <c r="BG441" t="str">
        <f t="shared" si="7"/>
        <v>Interazionale &amp; Metatestuale</v>
      </c>
      <c r="BH441" s="3" t="str" cm="1">
        <f t="array" ref="BH441">IF(AE441=1, _xlfn.TEXTJOIN(" &amp; ", TRUE, _xlfn._xlws.FILTER($AG$2:$BC$2, AG441:BC441=1)), "")</f>
        <v>Marcatura della conoscenza condivisa &amp; General extenders e marche di generalizzazione</v>
      </c>
    </row>
    <row r="442" spans="1:60" x14ac:dyDescent="0.3">
      <c r="A442" t="s">
        <v>2903</v>
      </c>
      <c r="B442" t="s">
        <v>2916</v>
      </c>
      <c r="C442" t="s">
        <v>2904</v>
      </c>
      <c r="D442">
        <v>2019</v>
      </c>
      <c r="E442" s="52" t="s">
        <v>2917</v>
      </c>
      <c r="F442">
        <v>837706</v>
      </c>
      <c r="G442">
        <v>840007</v>
      </c>
      <c r="H442" t="s">
        <v>2905</v>
      </c>
      <c r="I442" t="s">
        <v>2903</v>
      </c>
      <c r="J442" s="51">
        <v>1.9016203703703705E-2</v>
      </c>
      <c r="K442" t="s">
        <v>160</v>
      </c>
      <c r="L442" t="s">
        <v>2906</v>
      </c>
      <c r="M442" t="s">
        <v>2907</v>
      </c>
      <c r="N442" t="s">
        <v>363</v>
      </c>
      <c r="O442" t="s">
        <v>144</v>
      </c>
      <c r="P442" t="s">
        <v>145</v>
      </c>
      <c r="Q442" t="s">
        <v>228</v>
      </c>
      <c r="R442" t="s">
        <v>167</v>
      </c>
      <c r="S442" t="s">
        <v>168</v>
      </c>
      <c r="T442" t="s">
        <v>149</v>
      </c>
      <c r="U442" t="s">
        <v>229</v>
      </c>
      <c r="V442">
        <v>2</v>
      </c>
      <c r="W442" t="s">
        <v>170</v>
      </c>
      <c r="X442" t="s">
        <v>2918</v>
      </c>
      <c r="Y442" t="s">
        <v>153</v>
      </c>
      <c r="Z442" s="53" t="s">
        <v>2919</v>
      </c>
      <c r="AA442"/>
      <c r="AB442"/>
      <c r="AC442"/>
      <c r="AD442"/>
      <c r="AE442">
        <v>1</v>
      </c>
      <c r="AF442"/>
      <c r="AH442" s="8">
        <v>1</v>
      </c>
      <c r="AM442" s="7">
        <v>1</v>
      </c>
      <c r="AW442" s="21">
        <v>1</v>
      </c>
      <c r="BD442" s="3">
        <v>1</v>
      </c>
      <c r="BG442" t="str">
        <f t="shared" si="7"/>
        <v>Interazionale &amp; Metatestuale</v>
      </c>
      <c r="BH442" s="3" t="str" cm="1">
        <f t="array" ref="BH442">IF(AE442=1, _xlfn.TEXTJOIN(" &amp; ", TRUE, _xlfn._xlws.FILTER($AG$2:$BC$2, AG442:BC442=1)), "")</f>
        <v>Richiesta di accordo/conferma &amp; Marcatura della conoscenza condivisa &amp; General extenders e marche di generalizzazione</v>
      </c>
    </row>
    <row r="443" spans="1:60" x14ac:dyDescent="0.3">
      <c r="A443" t="s">
        <v>2903</v>
      </c>
      <c r="B443" t="s">
        <v>2920</v>
      </c>
      <c r="C443" t="s">
        <v>2904</v>
      </c>
      <c r="D443">
        <v>2019</v>
      </c>
      <c r="E443" s="52" t="s">
        <v>2921</v>
      </c>
      <c r="F443">
        <v>840206</v>
      </c>
      <c r="G443">
        <v>841995</v>
      </c>
      <c r="H443" t="s">
        <v>2905</v>
      </c>
      <c r="I443" t="s">
        <v>2903</v>
      </c>
      <c r="J443" s="51">
        <v>1.9016203703703705E-2</v>
      </c>
      <c r="K443" t="s">
        <v>160</v>
      </c>
      <c r="L443" t="s">
        <v>2906</v>
      </c>
      <c r="M443" t="s">
        <v>2907</v>
      </c>
      <c r="N443" t="s">
        <v>363</v>
      </c>
      <c r="O443" t="s">
        <v>144</v>
      </c>
      <c r="P443" t="s">
        <v>145</v>
      </c>
      <c r="Q443" t="s">
        <v>228</v>
      </c>
      <c r="R443" t="s">
        <v>167</v>
      </c>
      <c r="S443" t="s">
        <v>168</v>
      </c>
      <c r="T443" t="s">
        <v>149</v>
      </c>
      <c r="U443" t="s">
        <v>229</v>
      </c>
      <c r="V443">
        <v>2</v>
      </c>
      <c r="W443" t="s">
        <v>170</v>
      </c>
      <c r="X443" t="s">
        <v>2922</v>
      </c>
      <c r="Y443" t="s">
        <v>153</v>
      </c>
      <c r="Z443" s="53" t="s">
        <v>2923</v>
      </c>
      <c r="AA443"/>
      <c r="AB443"/>
      <c r="AC443"/>
      <c r="AD443"/>
      <c r="AE443">
        <v>1</v>
      </c>
      <c r="AF443">
        <v>1</v>
      </c>
      <c r="AP443" s="9">
        <v>1</v>
      </c>
      <c r="BD443" s="3">
        <v>1</v>
      </c>
      <c r="BG443" t="str">
        <f t="shared" si="7"/>
        <v>Metatestuale</v>
      </c>
      <c r="BH443" s="3" t="str" cm="1">
        <f t="array" ref="BH443">IF(AE443=1, _xlfn.TEXTJOIN(" &amp; ", TRUE, _xlfn._xlws.FILTER($AG$2:$BC$2, AG443:BC443=1)), "")</f>
        <v>Gestione del topic: introduzione o ripresa di topic</v>
      </c>
    </row>
    <row r="444" spans="1:60" x14ac:dyDescent="0.3">
      <c r="A444" t="s">
        <v>2903</v>
      </c>
      <c r="B444" t="s">
        <v>2924</v>
      </c>
      <c r="C444" t="s">
        <v>2904</v>
      </c>
      <c r="D444">
        <v>2019</v>
      </c>
      <c r="E444" s="52" t="s">
        <v>2925</v>
      </c>
      <c r="F444">
        <v>1014213</v>
      </c>
      <c r="G444">
        <v>1016497</v>
      </c>
      <c r="H444" t="s">
        <v>2905</v>
      </c>
      <c r="I444" t="s">
        <v>2903</v>
      </c>
      <c r="J444" s="51">
        <v>1.9016203703703705E-2</v>
      </c>
      <c r="K444" t="s">
        <v>160</v>
      </c>
      <c r="L444" t="s">
        <v>2906</v>
      </c>
      <c r="M444" t="s">
        <v>2907</v>
      </c>
      <c r="N444" t="s">
        <v>363</v>
      </c>
      <c r="O444" t="s">
        <v>144</v>
      </c>
      <c r="P444" t="s">
        <v>145</v>
      </c>
      <c r="Q444" t="s">
        <v>228</v>
      </c>
      <c r="R444" t="s">
        <v>167</v>
      </c>
      <c r="S444" t="s">
        <v>168</v>
      </c>
      <c r="T444" t="s">
        <v>149</v>
      </c>
      <c r="U444" t="s">
        <v>229</v>
      </c>
      <c r="V444">
        <v>2</v>
      </c>
      <c r="W444" t="s">
        <v>170</v>
      </c>
      <c r="X444" t="s">
        <v>2926</v>
      </c>
      <c r="Y444" t="s">
        <v>153</v>
      </c>
      <c r="Z444" s="53" t="s">
        <v>2927</v>
      </c>
      <c r="AA444">
        <v>1</v>
      </c>
      <c r="AB444"/>
      <c r="AC444">
        <v>1</v>
      </c>
      <c r="AD444"/>
      <c r="AE444"/>
      <c r="AF444"/>
      <c r="BG444" t="str">
        <f t="shared" si="7"/>
        <v/>
      </c>
      <c r="BH444" s="3" t="str" cm="1">
        <f t="array" ref="BH444">IF(AE444=1, _xlfn.TEXTJOIN(" &amp; ", TRUE, _xlfn._xlws.FILTER($AG$2:$BC$2, AG444:BC444=1)), "")</f>
        <v/>
      </c>
    </row>
    <row r="445" spans="1:60" x14ac:dyDescent="0.3">
      <c r="A445" t="s">
        <v>650</v>
      </c>
      <c r="B445" t="s">
        <v>2928</v>
      </c>
      <c r="C445" t="s">
        <v>652</v>
      </c>
      <c r="D445">
        <v>2020</v>
      </c>
      <c r="E445" s="52" t="s">
        <v>2929</v>
      </c>
      <c r="F445">
        <v>365239</v>
      </c>
      <c r="G445">
        <v>368859</v>
      </c>
      <c r="H445" t="s">
        <v>654</v>
      </c>
      <c r="I445" t="s">
        <v>650</v>
      </c>
      <c r="J445" s="51">
        <v>4.2002314814814812E-2</v>
      </c>
      <c r="K445" t="s">
        <v>140</v>
      </c>
      <c r="L445" t="s">
        <v>655</v>
      </c>
      <c r="M445" t="s">
        <v>656</v>
      </c>
      <c r="N445" t="s">
        <v>317</v>
      </c>
      <c r="O445" t="s">
        <v>164</v>
      </c>
      <c r="P445" t="s">
        <v>657</v>
      </c>
      <c r="Q445" t="s">
        <v>146</v>
      </c>
      <c r="R445" t="s">
        <v>147</v>
      </c>
      <c r="S445" t="s">
        <v>148</v>
      </c>
      <c r="T445" t="s">
        <v>658</v>
      </c>
      <c r="U445" t="s">
        <v>151</v>
      </c>
      <c r="V445">
        <v>4</v>
      </c>
      <c r="W445" t="s">
        <v>269</v>
      </c>
      <c r="X445" t="s">
        <v>2930</v>
      </c>
      <c r="Y445" t="s">
        <v>153</v>
      </c>
      <c r="Z445" s="53" t="s">
        <v>2931</v>
      </c>
      <c r="AA445">
        <v>1</v>
      </c>
      <c r="AB445"/>
      <c r="AC445">
        <v>1</v>
      </c>
      <c r="AD445"/>
      <c r="AE445"/>
      <c r="AF445"/>
      <c r="BG445" t="str">
        <f t="shared" si="7"/>
        <v/>
      </c>
      <c r="BH445" s="3" t="str" cm="1">
        <f t="array" ref="BH445">IF(AE445=1, _xlfn.TEXTJOIN(" &amp; ", TRUE, _xlfn._xlws.FILTER($AG$2:$BC$2, AG445:BC445=1)), "")</f>
        <v/>
      </c>
    </row>
    <row r="446" spans="1:60" x14ac:dyDescent="0.3">
      <c r="A446" t="s">
        <v>650</v>
      </c>
      <c r="B446" t="s">
        <v>651</v>
      </c>
      <c r="C446" t="s">
        <v>652</v>
      </c>
      <c r="D446">
        <v>2020</v>
      </c>
      <c r="E446" s="52" t="s">
        <v>653</v>
      </c>
      <c r="F446">
        <v>769989</v>
      </c>
      <c r="G446">
        <v>770859</v>
      </c>
      <c r="H446" t="s">
        <v>654</v>
      </c>
      <c r="I446" t="s">
        <v>650</v>
      </c>
      <c r="J446" s="51">
        <v>4.2002314814814812E-2</v>
      </c>
      <c r="K446" t="s">
        <v>140</v>
      </c>
      <c r="L446" t="s">
        <v>655</v>
      </c>
      <c r="M446" t="s">
        <v>656</v>
      </c>
      <c r="N446" t="s">
        <v>317</v>
      </c>
      <c r="O446" t="s">
        <v>164</v>
      </c>
      <c r="P446" t="s">
        <v>657</v>
      </c>
      <c r="Q446" t="s">
        <v>146</v>
      </c>
      <c r="R446" t="s">
        <v>147</v>
      </c>
      <c r="S446" t="s">
        <v>148</v>
      </c>
      <c r="T446" t="s">
        <v>658</v>
      </c>
      <c r="U446" t="s">
        <v>151</v>
      </c>
      <c r="V446">
        <v>4</v>
      </c>
      <c r="W446" t="s">
        <v>269</v>
      </c>
      <c r="X446" t="s">
        <v>659</v>
      </c>
      <c r="Y446" t="s">
        <v>153</v>
      </c>
      <c r="Z446" s="53" t="s">
        <v>660</v>
      </c>
      <c r="AA446">
        <v>1</v>
      </c>
      <c r="AB446"/>
      <c r="AC446">
        <v>1</v>
      </c>
      <c r="AD446"/>
      <c r="AE446"/>
      <c r="AF446"/>
      <c r="BG446" t="str">
        <f t="shared" si="7"/>
        <v/>
      </c>
      <c r="BH446" s="3" t="str" cm="1">
        <f t="array" ref="BH446">IF(AE446=1, _xlfn.TEXTJOIN(" &amp; ", TRUE, _xlfn._xlws.FILTER($AG$2:$BC$2, AG446:BC446=1)), "")</f>
        <v/>
      </c>
    </row>
    <row r="447" spans="1:60" x14ac:dyDescent="0.3">
      <c r="A447" t="s">
        <v>650</v>
      </c>
      <c r="B447" t="s">
        <v>2932</v>
      </c>
      <c r="C447" t="s">
        <v>652</v>
      </c>
      <c r="D447">
        <v>2020</v>
      </c>
      <c r="E447" s="52" t="s">
        <v>2933</v>
      </c>
      <c r="F447">
        <v>895359</v>
      </c>
      <c r="G447">
        <v>898509</v>
      </c>
      <c r="H447" t="s">
        <v>2934</v>
      </c>
      <c r="I447" t="s">
        <v>650</v>
      </c>
      <c r="J447" s="51">
        <v>4.2002314814814812E-2</v>
      </c>
      <c r="K447" t="s">
        <v>140</v>
      </c>
      <c r="L447" t="s">
        <v>655</v>
      </c>
      <c r="M447" t="s">
        <v>656</v>
      </c>
      <c r="N447" t="s">
        <v>143</v>
      </c>
      <c r="O447" t="s">
        <v>144</v>
      </c>
      <c r="P447" t="s">
        <v>657</v>
      </c>
      <c r="Q447" t="s">
        <v>1396</v>
      </c>
      <c r="R447" t="s">
        <v>147</v>
      </c>
      <c r="S447" t="s">
        <v>148</v>
      </c>
      <c r="T447" t="s">
        <v>658</v>
      </c>
      <c r="U447" t="s">
        <v>1396</v>
      </c>
      <c r="V447">
        <v>4</v>
      </c>
      <c r="W447" t="s">
        <v>269</v>
      </c>
      <c r="X447" t="s">
        <v>2935</v>
      </c>
      <c r="Y447" t="s">
        <v>153</v>
      </c>
      <c r="Z447" s="53" t="s">
        <v>2936</v>
      </c>
      <c r="AA447"/>
      <c r="AB447"/>
      <c r="AC447"/>
      <c r="AD447"/>
      <c r="AE447">
        <v>1</v>
      </c>
      <c r="AF447"/>
      <c r="AM447" s="7">
        <v>1</v>
      </c>
      <c r="BG447" t="str">
        <f t="shared" si="7"/>
        <v>Interazionale</v>
      </c>
      <c r="BH447" s="3" t="str" cm="1">
        <f t="array" ref="BH447">IF(AE447=1, _xlfn.TEXTJOIN(" &amp; ", TRUE, _xlfn._xlws.FILTER($AG$2:$BC$2, AG447:BC447=1)), "")</f>
        <v>Marcatura della conoscenza condivisa</v>
      </c>
    </row>
    <row r="448" spans="1:60" x14ac:dyDescent="0.3">
      <c r="A448" t="s">
        <v>650</v>
      </c>
      <c r="B448" t="s">
        <v>2937</v>
      </c>
      <c r="C448" t="s">
        <v>652</v>
      </c>
      <c r="D448">
        <v>2020</v>
      </c>
      <c r="E448" s="52" t="s">
        <v>2938</v>
      </c>
      <c r="F448">
        <v>914159</v>
      </c>
      <c r="G448">
        <v>918189</v>
      </c>
      <c r="H448" t="s">
        <v>2934</v>
      </c>
      <c r="I448" t="s">
        <v>650</v>
      </c>
      <c r="J448" s="51">
        <v>4.2002314814814812E-2</v>
      </c>
      <c r="K448" t="s">
        <v>140</v>
      </c>
      <c r="L448" t="s">
        <v>655</v>
      </c>
      <c r="M448" t="s">
        <v>656</v>
      </c>
      <c r="N448" t="s">
        <v>143</v>
      </c>
      <c r="O448" t="s">
        <v>144</v>
      </c>
      <c r="P448" t="s">
        <v>657</v>
      </c>
      <c r="Q448" t="s">
        <v>1396</v>
      </c>
      <c r="R448" t="s">
        <v>147</v>
      </c>
      <c r="S448" t="s">
        <v>148</v>
      </c>
      <c r="T448" t="s">
        <v>658</v>
      </c>
      <c r="U448" t="s">
        <v>1396</v>
      </c>
      <c r="V448">
        <v>4</v>
      </c>
      <c r="W448" t="s">
        <v>269</v>
      </c>
      <c r="X448" t="s">
        <v>2939</v>
      </c>
      <c r="Y448" t="s">
        <v>153</v>
      </c>
      <c r="Z448" s="53" t="s">
        <v>2940</v>
      </c>
      <c r="AA448"/>
      <c r="AB448"/>
      <c r="AC448"/>
      <c r="AD448"/>
      <c r="AE448">
        <v>1</v>
      </c>
      <c r="AF448"/>
      <c r="AV448" s="9">
        <v>1</v>
      </c>
      <c r="BG448" t="str">
        <f t="shared" si="7"/>
        <v>Metatestuale</v>
      </c>
      <c r="BH448" s="3" t="str" cm="1">
        <f t="array" ref="BH448">IF(AE448=1, _xlfn.TEXTJOIN(" &amp; ", TRUE, _xlfn._xlws.FILTER($AG$2:$BC$2, AG448:BC448=1)), "")</f>
        <v>Filler, riempimento dei tempi di formulazione</v>
      </c>
    </row>
    <row r="449" spans="1:60" x14ac:dyDescent="0.3">
      <c r="A449" t="s">
        <v>650</v>
      </c>
      <c r="B449" t="s">
        <v>2941</v>
      </c>
      <c r="C449" t="s">
        <v>652</v>
      </c>
      <c r="D449">
        <v>2020</v>
      </c>
      <c r="E449" s="52" t="s">
        <v>2942</v>
      </c>
      <c r="F449">
        <v>987655</v>
      </c>
      <c r="G449">
        <v>993469</v>
      </c>
      <c r="H449" t="s">
        <v>2934</v>
      </c>
      <c r="I449" t="s">
        <v>650</v>
      </c>
      <c r="J449" s="51">
        <v>4.2002314814814812E-2</v>
      </c>
      <c r="K449" t="s">
        <v>140</v>
      </c>
      <c r="L449" t="s">
        <v>655</v>
      </c>
      <c r="M449" t="s">
        <v>656</v>
      </c>
      <c r="N449" t="s">
        <v>143</v>
      </c>
      <c r="O449" t="s">
        <v>144</v>
      </c>
      <c r="P449" t="s">
        <v>657</v>
      </c>
      <c r="Q449" t="s">
        <v>1396</v>
      </c>
      <c r="R449" t="s">
        <v>147</v>
      </c>
      <c r="S449" t="s">
        <v>148</v>
      </c>
      <c r="T449" t="s">
        <v>658</v>
      </c>
      <c r="U449" t="s">
        <v>1396</v>
      </c>
      <c r="V449">
        <v>4</v>
      </c>
      <c r="W449" t="s">
        <v>269</v>
      </c>
      <c r="X449" t="s">
        <v>2943</v>
      </c>
      <c r="Y449" t="s">
        <v>153</v>
      </c>
      <c r="Z449" s="53" t="s">
        <v>2944</v>
      </c>
      <c r="AA449">
        <v>1</v>
      </c>
      <c r="AB449">
        <v>1</v>
      </c>
      <c r="AC449"/>
      <c r="AD449"/>
      <c r="AE449"/>
      <c r="AF449"/>
      <c r="BG449" t="str">
        <f t="shared" si="7"/>
        <v/>
      </c>
      <c r="BH449" s="3" t="str" cm="1">
        <f t="array" ref="BH449">IF(AE449=1, _xlfn.TEXTJOIN(" &amp; ", TRUE, _xlfn._xlws.FILTER($AG$2:$BC$2, AG449:BC449=1)), "")</f>
        <v/>
      </c>
    </row>
    <row r="450" spans="1:60" x14ac:dyDescent="0.3">
      <c r="A450" t="s">
        <v>650</v>
      </c>
      <c r="B450" t="s">
        <v>2945</v>
      </c>
      <c r="C450" t="s">
        <v>652</v>
      </c>
      <c r="D450">
        <v>2020</v>
      </c>
      <c r="E450" s="52" t="s">
        <v>2946</v>
      </c>
      <c r="F450">
        <v>998828</v>
      </c>
      <c r="G450">
        <v>1002549</v>
      </c>
      <c r="H450" t="s">
        <v>2947</v>
      </c>
      <c r="I450" t="s">
        <v>650</v>
      </c>
      <c r="J450" s="51">
        <v>4.2002314814814812E-2</v>
      </c>
      <c r="K450" t="s">
        <v>140</v>
      </c>
      <c r="L450" t="s">
        <v>655</v>
      </c>
      <c r="M450" t="s">
        <v>656</v>
      </c>
      <c r="N450" t="s">
        <v>143</v>
      </c>
      <c r="O450" t="s">
        <v>164</v>
      </c>
      <c r="P450" t="s">
        <v>657</v>
      </c>
      <c r="Q450" t="s">
        <v>146</v>
      </c>
      <c r="R450" t="s">
        <v>147</v>
      </c>
      <c r="S450" t="s">
        <v>148</v>
      </c>
      <c r="T450" t="s">
        <v>658</v>
      </c>
      <c r="U450" t="s">
        <v>151</v>
      </c>
      <c r="V450">
        <v>4</v>
      </c>
      <c r="W450" t="s">
        <v>269</v>
      </c>
      <c r="X450" t="s">
        <v>2948</v>
      </c>
      <c r="Y450" t="s">
        <v>153</v>
      </c>
      <c r="Z450" s="53" t="s">
        <v>2949</v>
      </c>
      <c r="AA450">
        <v>1</v>
      </c>
      <c r="AB450">
        <v>1</v>
      </c>
      <c r="AC450"/>
      <c r="AD450"/>
      <c r="AE450"/>
      <c r="AF450"/>
      <c r="BG450" t="str">
        <f t="shared" si="7"/>
        <v/>
      </c>
      <c r="BH450" s="3" t="str" cm="1">
        <f t="array" ref="BH450">IF(AE450=1, _xlfn.TEXTJOIN(" &amp; ", TRUE, _xlfn._xlws.FILTER($AG$2:$BC$2, AG450:BC450=1)), "")</f>
        <v/>
      </c>
    </row>
    <row r="451" spans="1:60" x14ac:dyDescent="0.3">
      <c r="A451" t="s">
        <v>650</v>
      </c>
      <c r="B451" t="s">
        <v>2950</v>
      </c>
      <c r="C451" t="s">
        <v>652</v>
      </c>
      <c r="D451">
        <v>2020</v>
      </c>
      <c r="E451" s="52" t="s">
        <v>2951</v>
      </c>
      <c r="F451">
        <v>1649199</v>
      </c>
      <c r="G451">
        <v>1654999</v>
      </c>
      <c r="H451" t="s">
        <v>2934</v>
      </c>
      <c r="I451" t="s">
        <v>650</v>
      </c>
      <c r="J451" s="51">
        <v>4.2002314814814812E-2</v>
      </c>
      <c r="K451" t="s">
        <v>140</v>
      </c>
      <c r="L451" t="s">
        <v>655</v>
      </c>
      <c r="M451" t="s">
        <v>656</v>
      </c>
      <c r="N451" t="s">
        <v>143</v>
      </c>
      <c r="O451" t="s">
        <v>144</v>
      </c>
      <c r="P451" t="s">
        <v>657</v>
      </c>
      <c r="Q451" t="s">
        <v>1396</v>
      </c>
      <c r="R451" t="s">
        <v>147</v>
      </c>
      <c r="S451" t="s">
        <v>148</v>
      </c>
      <c r="T451" t="s">
        <v>658</v>
      </c>
      <c r="U451" t="s">
        <v>1396</v>
      </c>
      <c r="V451">
        <v>4</v>
      </c>
      <c r="W451" t="s">
        <v>269</v>
      </c>
      <c r="X451" t="s">
        <v>2952</v>
      </c>
      <c r="Y451" t="s">
        <v>153</v>
      </c>
      <c r="Z451" s="53" t="s">
        <v>2953</v>
      </c>
      <c r="AA451">
        <v>1</v>
      </c>
      <c r="AB451">
        <v>1</v>
      </c>
      <c r="AC451"/>
      <c r="AD451"/>
      <c r="AE451"/>
      <c r="AF451"/>
      <c r="BG451" t="str">
        <f t="shared" si="7"/>
        <v/>
      </c>
      <c r="BH451" s="3" t="str" cm="1">
        <f t="array" ref="BH451">IF(AE451=1, _xlfn.TEXTJOIN(" &amp; ", TRUE, _xlfn._xlws.FILTER($AG$2:$BC$2, AG451:BC451=1)), "")</f>
        <v/>
      </c>
    </row>
    <row r="452" spans="1:60" x14ac:dyDescent="0.3">
      <c r="A452" t="s">
        <v>650</v>
      </c>
      <c r="B452" t="s">
        <v>2954</v>
      </c>
      <c r="C452" t="s">
        <v>652</v>
      </c>
      <c r="D452">
        <v>2020</v>
      </c>
      <c r="E452" s="52" t="s">
        <v>2955</v>
      </c>
      <c r="F452">
        <v>1664540</v>
      </c>
      <c r="G452">
        <v>1666100</v>
      </c>
      <c r="H452" t="s">
        <v>2934</v>
      </c>
      <c r="I452" t="s">
        <v>650</v>
      </c>
      <c r="J452" s="51">
        <v>4.2002314814814812E-2</v>
      </c>
      <c r="K452" t="s">
        <v>140</v>
      </c>
      <c r="L452" t="s">
        <v>655</v>
      </c>
      <c r="M452" t="s">
        <v>656</v>
      </c>
      <c r="N452" t="s">
        <v>143</v>
      </c>
      <c r="O452" t="s">
        <v>144</v>
      </c>
      <c r="P452" t="s">
        <v>657</v>
      </c>
      <c r="Q452" t="s">
        <v>1396</v>
      </c>
      <c r="R452" t="s">
        <v>147</v>
      </c>
      <c r="S452" t="s">
        <v>148</v>
      </c>
      <c r="T452" t="s">
        <v>658</v>
      </c>
      <c r="U452" t="s">
        <v>1396</v>
      </c>
      <c r="V452">
        <v>4</v>
      </c>
      <c r="W452" t="s">
        <v>269</v>
      </c>
      <c r="X452" t="s">
        <v>2956</v>
      </c>
      <c r="Y452" t="s">
        <v>153</v>
      </c>
      <c r="Z452" s="53" t="s">
        <v>2957</v>
      </c>
      <c r="AA452">
        <v>1</v>
      </c>
      <c r="AB452">
        <v>1</v>
      </c>
      <c r="AC452"/>
      <c r="AD452"/>
      <c r="AE452"/>
      <c r="AF452"/>
      <c r="BG452" t="str">
        <f t="shared" ref="BG452:BG515" si="8">IF(AE452=1,_xlfn.TEXTJOIN(" &amp; ", TRUE,
    IF(COUNTIF(AG452:AO452,1)&gt;0,"Interazionale",""),
    IF(COUNTIF(AP452:AW452,1)&gt;0,"Metatestuale",""),
    IF(COUNTIF(AX452:BC452,1)&gt;0,"Cognitiva","")
),"")</f>
        <v/>
      </c>
      <c r="BH452" s="3" t="str" cm="1">
        <f t="array" ref="BH452">IF(AE452=1, _xlfn.TEXTJOIN(" &amp; ", TRUE, _xlfn._xlws.FILTER($AG$2:$BC$2, AG452:BC452=1)), "")</f>
        <v/>
      </c>
    </row>
    <row r="453" spans="1:60" x14ac:dyDescent="0.3">
      <c r="A453" t="s">
        <v>650</v>
      </c>
      <c r="B453" t="s">
        <v>2958</v>
      </c>
      <c r="C453" t="s">
        <v>652</v>
      </c>
      <c r="D453">
        <v>2020</v>
      </c>
      <c r="E453" s="52" t="s">
        <v>2959</v>
      </c>
      <c r="F453">
        <v>3065292</v>
      </c>
      <c r="G453">
        <v>3072124</v>
      </c>
      <c r="H453" t="s">
        <v>2934</v>
      </c>
      <c r="I453" t="s">
        <v>650</v>
      </c>
      <c r="J453" s="51">
        <v>4.2002314814814812E-2</v>
      </c>
      <c r="K453" t="s">
        <v>140</v>
      </c>
      <c r="L453" t="s">
        <v>655</v>
      </c>
      <c r="M453" t="s">
        <v>656</v>
      </c>
      <c r="N453" t="s">
        <v>143</v>
      </c>
      <c r="O453" t="s">
        <v>144</v>
      </c>
      <c r="P453" t="s">
        <v>657</v>
      </c>
      <c r="Q453" t="s">
        <v>1396</v>
      </c>
      <c r="R453" t="s">
        <v>147</v>
      </c>
      <c r="S453" t="s">
        <v>148</v>
      </c>
      <c r="T453" t="s">
        <v>658</v>
      </c>
      <c r="U453" t="s">
        <v>1396</v>
      </c>
      <c r="V453">
        <v>4</v>
      </c>
      <c r="W453" t="s">
        <v>269</v>
      </c>
      <c r="X453" t="s">
        <v>2960</v>
      </c>
      <c r="Y453" t="s">
        <v>153</v>
      </c>
      <c r="Z453" s="53" t="s">
        <v>2961</v>
      </c>
      <c r="AA453"/>
      <c r="AB453"/>
      <c r="AC453"/>
      <c r="AD453"/>
      <c r="AE453">
        <v>1</v>
      </c>
      <c r="AF453"/>
      <c r="AV453" s="9">
        <v>1</v>
      </c>
      <c r="BG453" t="str">
        <f t="shared" si="8"/>
        <v>Metatestuale</v>
      </c>
      <c r="BH453" s="3" t="str" cm="1">
        <f t="array" ref="BH453">IF(AE453=1, _xlfn.TEXTJOIN(" &amp; ", TRUE, _xlfn._xlws.FILTER($AG$2:$BC$2, AG453:BC453=1)), "")</f>
        <v>Filler, riempimento dei tempi di formulazione</v>
      </c>
    </row>
    <row r="454" spans="1:60" x14ac:dyDescent="0.3">
      <c r="A454" t="s">
        <v>650</v>
      </c>
      <c r="B454" t="s">
        <v>2962</v>
      </c>
      <c r="C454" t="s">
        <v>652</v>
      </c>
      <c r="D454">
        <v>2020</v>
      </c>
      <c r="E454" s="52" t="s">
        <v>2963</v>
      </c>
      <c r="F454">
        <v>3367656</v>
      </c>
      <c r="G454">
        <v>3370981</v>
      </c>
      <c r="H454" t="s">
        <v>2934</v>
      </c>
      <c r="I454" t="s">
        <v>650</v>
      </c>
      <c r="J454" s="51">
        <v>4.2002314814814812E-2</v>
      </c>
      <c r="K454" t="s">
        <v>140</v>
      </c>
      <c r="L454" t="s">
        <v>655</v>
      </c>
      <c r="M454" t="s">
        <v>656</v>
      </c>
      <c r="N454" t="s">
        <v>143</v>
      </c>
      <c r="O454" t="s">
        <v>144</v>
      </c>
      <c r="P454" t="s">
        <v>657</v>
      </c>
      <c r="Q454" t="s">
        <v>1396</v>
      </c>
      <c r="R454" t="s">
        <v>147</v>
      </c>
      <c r="S454" t="s">
        <v>148</v>
      </c>
      <c r="T454" t="s">
        <v>658</v>
      </c>
      <c r="U454" t="s">
        <v>1396</v>
      </c>
      <c r="V454">
        <v>4</v>
      </c>
      <c r="W454" t="s">
        <v>269</v>
      </c>
      <c r="X454" t="s">
        <v>2964</v>
      </c>
      <c r="Y454" t="s">
        <v>153</v>
      </c>
      <c r="Z454" s="53" t="s">
        <v>2965</v>
      </c>
      <c r="AA454">
        <v>1</v>
      </c>
      <c r="AB454">
        <v>1</v>
      </c>
      <c r="AC454"/>
      <c r="AD454"/>
      <c r="AE454"/>
      <c r="AF454"/>
      <c r="BG454" t="str">
        <f t="shared" si="8"/>
        <v/>
      </c>
      <c r="BH454" s="3" t="str" cm="1">
        <f t="array" ref="BH454">IF(AE454=1, _xlfn.TEXTJOIN(" &amp; ", TRUE, _xlfn._xlws.FILTER($AG$2:$BC$2, AG454:BC454=1)), "")</f>
        <v/>
      </c>
    </row>
    <row r="455" spans="1:60" x14ac:dyDescent="0.3">
      <c r="A455" t="s">
        <v>650</v>
      </c>
      <c r="B455" t="s">
        <v>2966</v>
      </c>
      <c r="C455" t="s">
        <v>652</v>
      </c>
      <c r="D455">
        <v>2020</v>
      </c>
      <c r="E455" s="52" t="s">
        <v>2967</v>
      </c>
      <c r="F455">
        <v>3547863</v>
      </c>
      <c r="G455">
        <v>3553444</v>
      </c>
      <c r="H455" t="s">
        <v>2934</v>
      </c>
      <c r="I455" t="s">
        <v>650</v>
      </c>
      <c r="J455" s="51">
        <v>4.2002314814814812E-2</v>
      </c>
      <c r="K455" t="s">
        <v>140</v>
      </c>
      <c r="L455" t="s">
        <v>655</v>
      </c>
      <c r="M455" t="s">
        <v>656</v>
      </c>
      <c r="N455" t="s">
        <v>143</v>
      </c>
      <c r="O455" t="s">
        <v>144</v>
      </c>
      <c r="P455" t="s">
        <v>657</v>
      </c>
      <c r="Q455" t="s">
        <v>1396</v>
      </c>
      <c r="R455" t="s">
        <v>147</v>
      </c>
      <c r="S455" t="s">
        <v>148</v>
      </c>
      <c r="T455" t="s">
        <v>658</v>
      </c>
      <c r="U455" t="s">
        <v>1396</v>
      </c>
      <c r="V455">
        <v>4</v>
      </c>
      <c r="W455" t="s">
        <v>269</v>
      </c>
      <c r="X455" t="s">
        <v>2968</v>
      </c>
      <c r="Y455" t="s">
        <v>153</v>
      </c>
      <c r="Z455" s="53" t="s">
        <v>2969</v>
      </c>
      <c r="AA455">
        <v>1</v>
      </c>
      <c r="AB455"/>
      <c r="AC455">
        <v>1</v>
      </c>
      <c r="AD455"/>
      <c r="AE455"/>
      <c r="AF455"/>
      <c r="BG455" t="str">
        <f t="shared" si="8"/>
        <v/>
      </c>
      <c r="BH455" s="3" t="str" cm="1">
        <f t="array" ref="BH455">IF(AE455=1, _xlfn.TEXTJOIN(" &amp; ", TRUE, _xlfn._xlws.FILTER($AG$2:$BC$2, AG455:BC455=1)), "")</f>
        <v/>
      </c>
    </row>
    <row r="456" spans="1:60" x14ac:dyDescent="0.3">
      <c r="A456" t="s">
        <v>2970</v>
      </c>
      <c r="B456" t="s">
        <v>2971</v>
      </c>
      <c r="C456" t="s">
        <v>2972</v>
      </c>
      <c r="D456">
        <v>2019</v>
      </c>
      <c r="E456" s="52" t="s">
        <v>2973</v>
      </c>
      <c r="F456">
        <v>1560249</v>
      </c>
      <c r="G456">
        <v>1566829</v>
      </c>
      <c r="H456" t="s">
        <v>194</v>
      </c>
      <c r="I456" t="s">
        <v>2970</v>
      </c>
      <c r="J456" s="51">
        <v>3.6122685185185188E-2</v>
      </c>
      <c r="K456" t="s">
        <v>160</v>
      </c>
      <c r="L456" t="s">
        <v>2974</v>
      </c>
      <c r="M456" t="s">
        <v>2975</v>
      </c>
      <c r="N456" t="s">
        <v>197</v>
      </c>
      <c r="O456" t="s">
        <v>164</v>
      </c>
      <c r="P456" t="s">
        <v>145</v>
      </c>
      <c r="Q456" t="s">
        <v>179</v>
      </c>
      <c r="R456" t="s">
        <v>167</v>
      </c>
      <c r="S456" t="s">
        <v>168</v>
      </c>
      <c r="T456" t="s">
        <v>180</v>
      </c>
      <c r="U456" t="s">
        <v>198</v>
      </c>
      <c r="V456">
        <v>3</v>
      </c>
      <c r="W456" t="s">
        <v>170</v>
      </c>
      <c r="X456" t="s">
        <v>2976</v>
      </c>
      <c r="Y456" t="s">
        <v>153</v>
      </c>
      <c r="Z456" s="53" t="s">
        <v>2977</v>
      </c>
      <c r="AA456"/>
      <c r="AB456"/>
      <c r="AC456"/>
      <c r="AD456"/>
      <c r="AE456">
        <v>1</v>
      </c>
      <c r="AF456"/>
      <c r="AH456" s="8">
        <v>1</v>
      </c>
      <c r="BG456" t="str">
        <f t="shared" si="8"/>
        <v>Interazionale</v>
      </c>
      <c r="BH456" s="3" t="str" cm="1">
        <f t="array" ref="BH456">IF(AE456=1, _xlfn.TEXTJOIN(" &amp; ", TRUE, _xlfn._xlws.FILTER($AG$2:$BC$2, AG456:BC456=1)), "")</f>
        <v>Richiesta di accordo/conferma</v>
      </c>
    </row>
    <row r="457" spans="1:60" x14ac:dyDescent="0.3">
      <c r="A457" t="s">
        <v>661</v>
      </c>
      <c r="B457" t="s">
        <v>2978</v>
      </c>
      <c r="C457" t="s">
        <v>662</v>
      </c>
      <c r="D457">
        <v>2019</v>
      </c>
      <c r="E457" s="52" t="s">
        <v>2979</v>
      </c>
      <c r="F457">
        <v>172323</v>
      </c>
      <c r="G457">
        <v>174370</v>
      </c>
      <c r="H457" t="s">
        <v>663</v>
      </c>
      <c r="I457" t="s">
        <v>661</v>
      </c>
      <c r="J457" s="51">
        <v>3.3321759259259259E-2</v>
      </c>
      <c r="K457" t="s">
        <v>160</v>
      </c>
      <c r="L457" t="s">
        <v>664</v>
      </c>
      <c r="M457" t="s">
        <v>665</v>
      </c>
      <c r="N457" t="s">
        <v>143</v>
      </c>
      <c r="O457" t="s">
        <v>144</v>
      </c>
      <c r="P457" t="s">
        <v>145</v>
      </c>
      <c r="Q457" t="s">
        <v>146</v>
      </c>
      <c r="R457" t="s">
        <v>167</v>
      </c>
      <c r="S457" t="s">
        <v>168</v>
      </c>
      <c r="T457" t="s">
        <v>666</v>
      </c>
      <c r="U457" t="s">
        <v>151</v>
      </c>
      <c r="V457">
        <v>2</v>
      </c>
      <c r="W457" t="s">
        <v>170</v>
      </c>
      <c r="X457" t="s">
        <v>2980</v>
      </c>
      <c r="Y457" t="s">
        <v>153</v>
      </c>
      <c r="Z457" s="53" t="s">
        <v>2981</v>
      </c>
      <c r="AA457">
        <v>1</v>
      </c>
      <c r="AB457"/>
      <c r="AC457">
        <v>1</v>
      </c>
      <c r="AD457"/>
      <c r="AE457"/>
      <c r="AF457"/>
      <c r="BG457" t="str">
        <f t="shared" si="8"/>
        <v/>
      </c>
      <c r="BH457" s="3" t="str" cm="1">
        <f t="array" ref="BH457">IF(AE457=1, _xlfn.TEXTJOIN(" &amp; ", TRUE, _xlfn._xlws.FILTER($AG$2:$BC$2, AG457:BC457=1)), "")</f>
        <v/>
      </c>
    </row>
    <row r="458" spans="1:60" x14ac:dyDescent="0.3">
      <c r="A458" t="s">
        <v>661</v>
      </c>
      <c r="B458" t="s">
        <v>2982</v>
      </c>
      <c r="C458" t="s">
        <v>662</v>
      </c>
      <c r="D458">
        <v>2019</v>
      </c>
      <c r="E458" s="52" t="s">
        <v>2983</v>
      </c>
      <c r="F458">
        <v>432479</v>
      </c>
      <c r="G458">
        <v>435710</v>
      </c>
      <c r="H458" t="s">
        <v>2984</v>
      </c>
      <c r="I458" t="s">
        <v>661</v>
      </c>
      <c r="J458" s="51">
        <v>3.3321759259259259E-2</v>
      </c>
      <c r="K458" t="s">
        <v>160</v>
      </c>
      <c r="L458" t="s">
        <v>664</v>
      </c>
      <c r="M458" t="s">
        <v>665</v>
      </c>
      <c r="N458" t="s">
        <v>324</v>
      </c>
      <c r="O458" t="s">
        <v>164</v>
      </c>
      <c r="P458" t="s">
        <v>145</v>
      </c>
      <c r="Q458" t="s">
        <v>228</v>
      </c>
      <c r="R458" t="s">
        <v>167</v>
      </c>
      <c r="S458" t="s">
        <v>168</v>
      </c>
      <c r="T458" t="s">
        <v>149</v>
      </c>
      <c r="U458" t="s">
        <v>229</v>
      </c>
      <c r="V458">
        <v>2</v>
      </c>
      <c r="W458" t="s">
        <v>170</v>
      </c>
      <c r="X458" t="s">
        <v>2985</v>
      </c>
      <c r="Y458" t="s">
        <v>153</v>
      </c>
      <c r="Z458" s="53" t="s">
        <v>2986</v>
      </c>
      <c r="AA458"/>
      <c r="AB458"/>
      <c r="AC458"/>
      <c r="AD458"/>
      <c r="AE458">
        <v>1</v>
      </c>
      <c r="AF458"/>
      <c r="AH458" s="8">
        <v>1</v>
      </c>
      <c r="BG458" t="str">
        <f t="shared" si="8"/>
        <v>Interazionale</v>
      </c>
      <c r="BH458" s="3" t="str" cm="1">
        <f t="array" ref="BH458">IF(AE458=1, _xlfn.TEXTJOIN(" &amp; ", TRUE, _xlfn._xlws.FILTER($AG$2:$BC$2, AG458:BC458=1)), "")</f>
        <v>Richiesta di accordo/conferma</v>
      </c>
    </row>
    <row r="459" spans="1:60" x14ac:dyDescent="0.3">
      <c r="A459" t="s">
        <v>661</v>
      </c>
      <c r="B459" t="s">
        <v>2987</v>
      </c>
      <c r="C459" t="s">
        <v>662</v>
      </c>
      <c r="D459">
        <v>2019</v>
      </c>
      <c r="E459" s="52" t="s">
        <v>2988</v>
      </c>
      <c r="F459">
        <v>631328</v>
      </c>
      <c r="G459">
        <v>632826</v>
      </c>
      <c r="H459" t="s">
        <v>663</v>
      </c>
      <c r="I459" t="s">
        <v>661</v>
      </c>
      <c r="J459" s="51">
        <v>3.3321759259259259E-2</v>
      </c>
      <c r="K459" t="s">
        <v>160</v>
      </c>
      <c r="L459" t="s">
        <v>664</v>
      </c>
      <c r="M459" t="s">
        <v>665</v>
      </c>
      <c r="N459" t="s">
        <v>143</v>
      </c>
      <c r="O459" t="s">
        <v>144</v>
      </c>
      <c r="P459" t="s">
        <v>145</v>
      </c>
      <c r="Q459" t="s">
        <v>146</v>
      </c>
      <c r="R459" t="s">
        <v>167</v>
      </c>
      <c r="S459" t="s">
        <v>168</v>
      </c>
      <c r="T459" t="s">
        <v>666</v>
      </c>
      <c r="U459" t="s">
        <v>151</v>
      </c>
      <c r="V459">
        <v>2</v>
      </c>
      <c r="W459" t="s">
        <v>170</v>
      </c>
      <c r="X459" t="s">
        <v>2989</v>
      </c>
      <c r="Y459" t="s">
        <v>153</v>
      </c>
      <c r="Z459" s="53" t="s">
        <v>2990</v>
      </c>
      <c r="AA459">
        <v>1</v>
      </c>
      <c r="AB459"/>
      <c r="AC459"/>
      <c r="AD459">
        <v>1</v>
      </c>
      <c r="AE459"/>
      <c r="AF459"/>
      <c r="BG459" t="str">
        <f t="shared" si="8"/>
        <v/>
      </c>
      <c r="BH459" s="3" t="str" cm="1">
        <f t="array" ref="BH459">IF(AE459=1, _xlfn.TEXTJOIN(" &amp; ", TRUE, _xlfn._xlws.FILTER($AG$2:$BC$2, AG459:BC459=1)), "")</f>
        <v/>
      </c>
    </row>
    <row r="460" spans="1:60" x14ac:dyDescent="0.3">
      <c r="A460" t="s">
        <v>661</v>
      </c>
      <c r="B460" t="s">
        <v>2991</v>
      </c>
      <c r="C460" t="s">
        <v>662</v>
      </c>
      <c r="D460">
        <v>2019</v>
      </c>
      <c r="E460" s="52" t="s">
        <v>2992</v>
      </c>
      <c r="F460">
        <v>1180070</v>
      </c>
      <c r="G460">
        <v>1182952</v>
      </c>
      <c r="H460" t="s">
        <v>2984</v>
      </c>
      <c r="I460" t="s">
        <v>661</v>
      </c>
      <c r="J460" s="51">
        <v>3.3321759259259259E-2</v>
      </c>
      <c r="K460" t="s">
        <v>160</v>
      </c>
      <c r="L460" t="s">
        <v>664</v>
      </c>
      <c r="M460" t="s">
        <v>665</v>
      </c>
      <c r="N460" t="s">
        <v>324</v>
      </c>
      <c r="O460" t="s">
        <v>164</v>
      </c>
      <c r="P460" t="s">
        <v>145</v>
      </c>
      <c r="Q460" t="s">
        <v>228</v>
      </c>
      <c r="R460" t="s">
        <v>167</v>
      </c>
      <c r="S460" t="s">
        <v>168</v>
      </c>
      <c r="T460" t="s">
        <v>149</v>
      </c>
      <c r="U460" t="s">
        <v>229</v>
      </c>
      <c r="V460">
        <v>2</v>
      </c>
      <c r="W460" t="s">
        <v>170</v>
      </c>
      <c r="X460" t="s">
        <v>2993</v>
      </c>
      <c r="Y460" t="s">
        <v>153</v>
      </c>
      <c r="Z460" s="53" t="s">
        <v>2994</v>
      </c>
      <c r="AA460">
        <v>1</v>
      </c>
      <c r="AB460">
        <v>1</v>
      </c>
      <c r="AC460"/>
      <c r="AD460"/>
      <c r="AE460"/>
      <c r="AF460"/>
      <c r="BG460" t="str">
        <f t="shared" si="8"/>
        <v/>
      </c>
      <c r="BH460" s="3" t="str" cm="1">
        <f t="array" ref="BH460">IF(AE460=1, _xlfn.TEXTJOIN(" &amp; ", TRUE, _xlfn._xlws.FILTER($AG$2:$BC$2, AG460:BC460=1)), "")</f>
        <v/>
      </c>
    </row>
    <row r="461" spans="1:60" x14ac:dyDescent="0.3">
      <c r="A461" t="s">
        <v>661</v>
      </c>
      <c r="B461" t="s">
        <v>2995</v>
      </c>
      <c r="C461" t="s">
        <v>662</v>
      </c>
      <c r="D461">
        <v>2019</v>
      </c>
      <c r="E461" s="52" t="s">
        <v>2996</v>
      </c>
      <c r="F461">
        <v>1320549</v>
      </c>
      <c r="G461">
        <v>1321700</v>
      </c>
      <c r="H461" t="s">
        <v>663</v>
      </c>
      <c r="I461" t="s">
        <v>661</v>
      </c>
      <c r="J461" s="51">
        <v>3.3321759259259259E-2</v>
      </c>
      <c r="K461" t="s">
        <v>160</v>
      </c>
      <c r="L461" t="s">
        <v>664</v>
      </c>
      <c r="M461" t="s">
        <v>665</v>
      </c>
      <c r="N461" t="s">
        <v>143</v>
      </c>
      <c r="O461" t="s">
        <v>144</v>
      </c>
      <c r="P461" t="s">
        <v>145</v>
      </c>
      <c r="Q461" t="s">
        <v>146</v>
      </c>
      <c r="R461" t="s">
        <v>167</v>
      </c>
      <c r="S461" t="s">
        <v>168</v>
      </c>
      <c r="T461" t="s">
        <v>666</v>
      </c>
      <c r="U461" t="s">
        <v>151</v>
      </c>
      <c r="V461">
        <v>2</v>
      </c>
      <c r="W461" t="s">
        <v>170</v>
      </c>
      <c r="X461" t="s">
        <v>2997</v>
      </c>
      <c r="Y461" t="s">
        <v>153</v>
      </c>
      <c r="Z461" s="53" t="s">
        <v>2998</v>
      </c>
      <c r="AA461"/>
      <c r="AB461"/>
      <c r="AC461"/>
      <c r="AD461"/>
      <c r="AE461">
        <v>1</v>
      </c>
      <c r="AF461"/>
      <c r="AM461" s="7">
        <v>1</v>
      </c>
      <c r="BG461" t="str">
        <f t="shared" si="8"/>
        <v>Interazionale</v>
      </c>
      <c r="BH461" s="3" t="str" cm="1">
        <f t="array" ref="BH461">IF(AE461=1, _xlfn.TEXTJOIN(" &amp; ", TRUE, _xlfn._xlws.FILTER($AG$2:$BC$2, AG461:BC461=1)), "")</f>
        <v>Marcatura della conoscenza condivisa</v>
      </c>
    </row>
    <row r="462" spans="1:60" x14ac:dyDescent="0.3">
      <c r="A462" t="s">
        <v>661</v>
      </c>
      <c r="B462" t="s">
        <v>667</v>
      </c>
      <c r="C462" t="s">
        <v>662</v>
      </c>
      <c r="D462">
        <v>2019</v>
      </c>
      <c r="E462" s="52" t="s">
        <v>668</v>
      </c>
      <c r="F462">
        <v>1500368</v>
      </c>
      <c r="G462">
        <v>1501500</v>
      </c>
      <c r="H462" t="s">
        <v>663</v>
      </c>
      <c r="I462" t="s">
        <v>661</v>
      </c>
      <c r="J462" s="51">
        <v>3.3321759259259259E-2</v>
      </c>
      <c r="K462" t="s">
        <v>160</v>
      </c>
      <c r="L462" t="s">
        <v>664</v>
      </c>
      <c r="M462" t="s">
        <v>665</v>
      </c>
      <c r="N462" t="s">
        <v>143</v>
      </c>
      <c r="O462" t="s">
        <v>144</v>
      </c>
      <c r="P462" t="s">
        <v>145</v>
      </c>
      <c r="Q462" t="s">
        <v>146</v>
      </c>
      <c r="R462" t="s">
        <v>167</v>
      </c>
      <c r="S462" t="s">
        <v>168</v>
      </c>
      <c r="T462" t="s">
        <v>666</v>
      </c>
      <c r="U462" t="s">
        <v>151</v>
      </c>
      <c r="V462">
        <v>2</v>
      </c>
      <c r="W462" t="s">
        <v>170</v>
      </c>
      <c r="X462" t="s">
        <v>669</v>
      </c>
      <c r="Y462" t="s">
        <v>153</v>
      </c>
      <c r="Z462" s="53" t="s">
        <v>670</v>
      </c>
      <c r="AA462">
        <v>1</v>
      </c>
      <c r="AB462"/>
      <c r="AC462">
        <v>1</v>
      </c>
      <c r="AD462"/>
      <c r="AE462"/>
      <c r="AF462"/>
      <c r="BG462" t="str">
        <f t="shared" si="8"/>
        <v/>
      </c>
      <c r="BH462" s="3" t="str" cm="1">
        <f t="array" ref="BH462">IF(AE462=1, _xlfn.TEXTJOIN(" &amp; ", TRUE, _xlfn._xlws.FILTER($AG$2:$BC$2, AG462:BC462=1)), "")</f>
        <v/>
      </c>
    </row>
    <row r="463" spans="1:60" x14ac:dyDescent="0.3">
      <c r="A463" t="s">
        <v>661</v>
      </c>
      <c r="B463" t="s">
        <v>2999</v>
      </c>
      <c r="C463" t="s">
        <v>662</v>
      </c>
      <c r="D463">
        <v>2019</v>
      </c>
      <c r="E463" s="52" t="s">
        <v>3000</v>
      </c>
      <c r="F463">
        <v>1649914</v>
      </c>
      <c r="G463">
        <v>1653592</v>
      </c>
      <c r="H463" t="s">
        <v>2984</v>
      </c>
      <c r="I463" t="s">
        <v>661</v>
      </c>
      <c r="J463" s="51">
        <v>3.3321759259259259E-2</v>
      </c>
      <c r="K463" t="s">
        <v>160</v>
      </c>
      <c r="L463" t="s">
        <v>664</v>
      </c>
      <c r="M463" t="s">
        <v>665</v>
      </c>
      <c r="N463" t="s">
        <v>324</v>
      </c>
      <c r="O463" t="s">
        <v>164</v>
      </c>
      <c r="P463" t="s">
        <v>145</v>
      </c>
      <c r="Q463" t="s">
        <v>228</v>
      </c>
      <c r="R463" t="s">
        <v>167</v>
      </c>
      <c r="S463" t="s">
        <v>168</v>
      </c>
      <c r="T463" t="s">
        <v>149</v>
      </c>
      <c r="U463" t="s">
        <v>229</v>
      </c>
      <c r="V463">
        <v>2</v>
      </c>
      <c r="W463" t="s">
        <v>170</v>
      </c>
      <c r="X463" t="s">
        <v>3001</v>
      </c>
      <c r="Y463" t="s">
        <v>153</v>
      </c>
      <c r="Z463" s="53" t="s">
        <v>3002</v>
      </c>
      <c r="AA463">
        <v>1</v>
      </c>
      <c r="AB463"/>
      <c r="AC463">
        <v>1</v>
      </c>
      <c r="AD463"/>
      <c r="AE463"/>
      <c r="AF463"/>
      <c r="BG463" t="str">
        <f t="shared" si="8"/>
        <v/>
      </c>
      <c r="BH463" s="3" t="str" cm="1">
        <f t="array" ref="BH463">IF(AE463=1, _xlfn.TEXTJOIN(" &amp; ", TRUE, _xlfn._xlws.FILTER($AG$2:$BC$2, AG463:BC463=1)), "")</f>
        <v/>
      </c>
    </row>
    <row r="464" spans="1:60" x14ac:dyDescent="0.3">
      <c r="A464" t="s">
        <v>661</v>
      </c>
      <c r="B464" t="s">
        <v>3003</v>
      </c>
      <c r="C464" t="s">
        <v>662</v>
      </c>
      <c r="D464">
        <v>2019</v>
      </c>
      <c r="E464" s="52" t="s">
        <v>3004</v>
      </c>
      <c r="F464">
        <v>1996723</v>
      </c>
      <c r="G464">
        <v>1998583</v>
      </c>
      <c r="H464" t="s">
        <v>2984</v>
      </c>
      <c r="I464" t="s">
        <v>661</v>
      </c>
      <c r="J464" s="51">
        <v>3.3321759259259259E-2</v>
      </c>
      <c r="K464" t="s">
        <v>160</v>
      </c>
      <c r="L464" t="s">
        <v>664</v>
      </c>
      <c r="M464" t="s">
        <v>665</v>
      </c>
      <c r="N464" t="s">
        <v>324</v>
      </c>
      <c r="O464" t="s">
        <v>164</v>
      </c>
      <c r="P464" t="s">
        <v>145</v>
      </c>
      <c r="Q464" t="s">
        <v>228</v>
      </c>
      <c r="R464" t="s">
        <v>167</v>
      </c>
      <c r="S464" t="s">
        <v>168</v>
      </c>
      <c r="T464" t="s">
        <v>149</v>
      </c>
      <c r="U464" t="s">
        <v>229</v>
      </c>
      <c r="V464">
        <v>2</v>
      </c>
      <c r="W464" t="s">
        <v>170</v>
      </c>
      <c r="X464" t="s">
        <v>3005</v>
      </c>
      <c r="Y464" t="s">
        <v>153</v>
      </c>
      <c r="Z464" s="53" t="s">
        <v>3006</v>
      </c>
      <c r="AA464"/>
      <c r="AB464"/>
      <c r="AC464"/>
      <c r="AD464"/>
      <c r="AE464">
        <v>1</v>
      </c>
      <c r="AF464"/>
      <c r="AM464" s="7">
        <v>1</v>
      </c>
      <c r="BG464" t="str">
        <f t="shared" si="8"/>
        <v>Interazionale</v>
      </c>
      <c r="BH464" s="3" t="str" cm="1">
        <f t="array" ref="BH464">IF(AE464=1, _xlfn.TEXTJOIN(" &amp; ", TRUE, _xlfn._xlws.FILTER($AG$2:$BC$2, AG464:BC464=1)), "")</f>
        <v>Marcatura della conoscenza condivisa</v>
      </c>
    </row>
    <row r="465" spans="1:60" x14ac:dyDescent="0.3">
      <c r="A465" t="s">
        <v>661</v>
      </c>
      <c r="B465" t="s">
        <v>3007</v>
      </c>
      <c r="C465" t="s">
        <v>662</v>
      </c>
      <c r="D465">
        <v>2019</v>
      </c>
      <c r="E465" s="52" t="s">
        <v>3008</v>
      </c>
      <c r="F465">
        <v>2872628</v>
      </c>
      <c r="G465">
        <v>2874792</v>
      </c>
      <c r="H465" t="s">
        <v>663</v>
      </c>
      <c r="I465" t="s">
        <v>661</v>
      </c>
      <c r="J465" s="51">
        <v>3.3321759259259259E-2</v>
      </c>
      <c r="K465" t="s">
        <v>160</v>
      </c>
      <c r="L465" t="s">
        <v>664</v>
      </c>
      <c r="M465" t="s">
        <v>665</v>
      </c>
      <c r="N465" t="s">
        <v>143</v>
      </c>
      <c r="O465" t="s">
        <v>144</v>
      </c>
      <c r="P465" t="s">
        <v>145</v>
      </c>
      <c r="Q465" t="s">
        <v>146</v>
      </c>
      <c r="R465" t="s">
        <v>167</v>
      </c>
      <c r="S465" t="s">
        <v>168</v>
      </c>
      <c r="T465" t="s">
        <v>666</v>
      </c>
      <c r="U465" t="s">
        <v>151</v>
      </c>
      <c r="V465">
        <v>2</v>
      </c>
      <c r="W465" t="s">
        <v>170</v>
      </c>
      <c r="X465" t="s">
        <v>3009</v>
      </c>
      <c r="Y465" t="s">
        <v>153</v>
      </c>
      <c r="Z465" s="53" t="s">
        <v>3010</v>
      </c>
      <c r="AA465">
        <v>1</v>
      </c>
      <c r="AB465">
        <v>1</v>
      </c>
      <c r="AC465"/>
      <c r="AD465"/>
      <c r="AE465"/>
      <c r="AF465"/>
      <c r="BG465" t="str">
        <f t="shared" si="8"/>
        <v/>
      </c>
      <c r="BH465" s="3" t="str" cm="1">
        <f t="array" ref="BH465">IF(AE465=1, _xlfn.TEXTJOIN(" &amp; ", TRUE, _xlfn._xlws.FILTER($AG$2:$BC$2, AG465:BC465=1)), "")</f>
        <v/>
      </c>
    </row>
    <row r="466" spans="1:60" x14ac:dyDescent="0.3">
      <c r="A466" t="s">
        <v>3011</v>
      </c>
      <c r="B466" t="s">
        <v>3012</v>
      </c>
      <c r="C466" t="s">
        <v>3013</v>
      </c>
      <c r="D466">
        <v>2022</v>
      </c>
      <c r="E466" s="52" t="s">
        <v>3014</v>
      </c>
      <c r="F466">
        <v>1071227</v>
      </c>
      <c r="G466">
        <v>1074584</v>
      </c>
      <c r="H466" t="s">
        <v>3015</v>
      </c>
      <c r="I466" t="s">
        <v>3011</v>
      </c>
      <c r="J466" s="51">
        <v>2.9675925925925925E-2</v>
      </c>
      <c r="K466" t="s">
        <v>160</v>
      </c>
      <c r="L466" t="s">
        <v>3016</v>
      </c>
      <c r="M466" t="s">
        <v>3017</v>
      </c>
      <c r="N466" t="s">
        <v>143</v>
      </c>
      <c r="O466" t="s">
        <v>144</v>
      </c>
      <c r="P466" t="s">
        <v>165</v>
      </c>
      <c r="Q466" t="s">
        <v>467</v>
      </c>
      <c r="R466" t="s">
        <v>167</v>
      </c>
      <c r="S466" t="s">
        <v>168</v>
      </c>
      <c r="T466" t="s">
        <v>169</v>
      </c>
      <c r="U466" t="s">
        <v>171</v>
      </c>
      <c r="V466">
        <v>2</v>
      </c>
      <c r="W466" t="s">
        <v>170</v>
      </c>
      <c r="X466" t="s">
        <v>3018</v>
      </c>
      <c r="Y466" t="s">
        <v>153</v>
      </c>
      <c r="Z466" s="53" t="s">
        <v>3019</v>
      </c>
      <c r="AA466">
        <v>1</v>
      </c>
      <c r="AB466">
        <v>1</v>
      </c>
      <c r="AC466"/>
      <c r="AD466"/>
      <c r="AE466"/>
      <c r="AF466"/>
      <c r="BG466" t="str">
        <f t="shared" si="8"/>
        <v/>
      </c>
      <c r="BH466" s="3" t="str" cm="1">
        <f t="array" ref="BH466">IF(AE466=1, _xlfn.TEXTJOIN(" &amp; ", TRUE, _xlfn._xlws.FILTER($AG$2:$BC$2, AG466:BC466=1)), "")</f>
        <v/>
      </c>
    </row>
    <row r="467" spans="1:60" x14ac:dyDescent="0.3">
      <c r="A467" t="s">
        <v>3011</v>
      </c>
      <c r="B467" t="s">
        <v>3020</v>
      </c>
      <c r="C467" t="s">
        <v>3013</v>
      </c>
      <c r="D467">
        <v>2022</v>
      </c>
      <c r="E467" s="52" t="s">
        <v>3014</v>
      </c>
      <c r="F467">
        <v>1071227</v>
      </c>
      <c r="G467">
        <v>1074584</v>
      </c>
      <c r="H467" t="s">
        <v>3015</v>
      </c>
      <c r="I467" t="s">
        <v>3011</v>
      </c>
      <c r="J467" s="51">
        <v>2.9675925925925925E-2</v>
      </c>
      <c r="K467" t="s">
        <v>160</v>
      </c>
      <c r="L467" t="s">
        <v>3016</v>
      </c>
      <c r="M467" t="s">
        <v>3017</v>
      </c>
      <c r="N467" t="s">
        <v>143</v>
      </c>
      <c r="O467" t="s">
        <v>144</v>
      </c>
      <c r="P467" t="s">
        <v>165</v>
      </c>
      <c r="Q467" t="s">
        <v>467</v>
      </c>
      <c r="R467" t="s">
        <v>167</v>
      </c>
      <c r="S467" t="s">
        <v>168</v>
      </c>
      <c r="T467" t="s">
        <v>169</v>
      </c>
      <c r="U467" t="s">
        <v>171</v>
      </c>
      <c r="V467">
        <v>2</v>
      </c>
      <c r="W467" t="s">
        <v>170</v>
      </c>
      <c r="X467" t="s">
        <v>3021</v>
      </c>
      <c r="Y467" t="s">
        <v>153</v>
      </c>
      <c r="Z467" s="53" t="s">
        <v>3022</v>
      </c>
      <c r="AA467">
        <v>1</v>
      </c>
      <c r="AB467"/>
      <c r="AC467">
        <v>1</v>
      </c>
      <c r="AD467"/>
      <c r="AE467"/>
      <c r="AF467"/>
      <c r="BG467" t="str">
        <f t="shared" si="8"/>
        <v/>
      </c>
      <c r="BH467" s="3" t="str" cm="1">
        <f t="array" ref="BH467">IF(AE467=1, _xlfn.TEXTJOIN(" &amp; ", TRUE, _xlfn._xlws.FILTER($AG$2:$BC$2, AG467:BC467=1)), "")</f>
        <v/>
      </c>
    </row>
    <row r="468" spans="1:60" x14ac:dyDescent="0.3">
      <c r="A468" t="s">
        <v>3011</v>
      </c>
      <c r="B468" t="s">
        <v>3023</v>
      </c>
      <c r="C468" t="s">
        <v>3013</v>
      </c>
      <c r="D468">
        <v>2022</v>
      </c>
      <c r="E468" s="52" t="s">
        <v>3024</v>
      </c>
      <c r="F468">
        <v>1755516</v>
      </c>
      <c r="G468">
        <v>1759131</v>
      </c>
      <c r="H468" t="s">
        <v>3015</v>
      </c>
      <c r="I468" t="s">
        <v>3011</v>
      </c>
      <c r="J468" s="51">
        <v>2.9675925925925925E-2</v>
      </c>
      <c r="K468" t="s">
        <v>160</v>
      </c>
      <c r="L468" t="s">
        <v>3016</v>
      </c>
      <c r="M468" t="s">
        <v>3017</v>
      </c>
      <c r="N468" t="s">
        <v>143</v>
      </c>
      <c r="O468" t="s">
        <v>144</v>
      </c>
      <c r="P468" t="s">
        <v>165</v>
      </c>
      <c r="Q468" t="s">
        <v>467</v>
      </c>
      <c r="R468" t="s">
        <v>167</v>
      </c>
      <c r="S468" t="s">
        <v>168</v>
      </c>
      <c r="T468" t="s">
        <v>169</v>
      </c>
      <c r="U468" t="s">
        <v>171</v>
      </c>
      <c r="V468">
        <v>2</v>
      </c>
      <c r="W468" t="s">
        <v>170</v>
      </c>
      <c r="X468" t="s">
        <v>3025</v>
      </c>
      <c r="Y468" t="s">
        <v>153</v>
      </c>
      <c r="Z468" s="53" t="s">
        <v>3026</v>
      </c>
      <c r="AA468">
        <v>1</v>
      </c>
      <c r="AB468"/>
      <c r="AC468"/>
      <c r="AD468">
        <v>1</v>
      </c>
      <c r="AE468"/>
      <c r="AF468"/>
      <c r="BG468" t="str">
        <f t="shared" si="8"/>
        <v/>
      </c>
      <c r="BH468" s="3" t="str" cm="1">
        <f t="array" ref="BH468">IF(AE468=1, _xlfn.TEXTJOIN(" &amp; ", TRUE, _xlfn._xlws.FILTER($AG$2:$BC$2, AG468:BC468=1)), "")</f>
        <v/>
      </c>
    </row>
    <row r="469" spans="1:60" x14ac:dyDescent="0.3">
      <c r="A469" t="s">
        <v>3027</v>
      </c>
      <c r="B469" t="s">
        <v>3028</v>
      </c>
      <c r="C469" t="s">
        <v>3029</v>
      </c>
      <c r="D469">
        <v>2024</v>
      </c>
      <c r="E469" s="52" t="s">
        <v>3030</v>
      </c>
      <c r="F469">
        <v>36410</v>
      </c>
      <c r="G469">
        <v>42720</v>
      </c>
      <c r="H469" t="s">
        <v>3031</v>
      </c>
      <c r="I469" t="s">
        <v>3027</v>
      </c>
      <c r="J469" s="51">
        <v>3.5000000000000003E-2</v>
      </c>
      <c r="K469" t="s">
        <v>160</v>
      </c>
      <c r="L469" t="s">
        <v>3032</v>
      </c>
      <c r="M469" t="s">
        <v>3033</v>
      </c>
      <c r="N469" t="s">
        <v>336</v>
      </c>
      <c r="O469" t="s">
        <v>164</v>
      </c>
      <c r="P469" t="s">
        <v>165</v>
      </c>
      <c r="Q469" t="s">
        <v>699</v>
      </c>
      <c r="R469" t="s">
        <v>167</v>
      </c>
      <c r="S469" t="s">
        <v>168</v>
      </c>
      <c r="T469" t="s">
        <v>169</v>
      </c>
      <c r="U469" t="s">
        <v>171</v>
      </c>
      <c r="V469">
        <v>3</v>
      </c>
      <c r="W469" t="s">
        <v>170</v>
      </c>
      <c r="X469" t="s">
        <v>3034</v>
      </c>
      <c r="Y469" t="s">
        <v>153</v>
      </c>
      <c r="Z469" s="53" t="s">
        <v>3035</v>
      </c>
      <c r="AA469"/>
      <c r="AB469"/>
      <c r="AC469"/>
      <c r="AD469"/>
      <c r="AE469">
        <v>1</v>
      </c>
      <c r="AF469">
        <v>1</v>
      </c>
      <c r="AH469" s="8">
        <v>1</v>
      </c>
      <c r="BG469" t="str">
        <f t="shared" si="8"/>
        <v>Interazionale</v>
      </c>
      <c r="BH469" s="3" t="str" cm="1">
        <f t="array" ref="BH469">IF(AE469=1, _xlfn.TEXTJOIN(" &amp; ", TRUE, _xlfn._xlws.FILTER($AG$2:$BC$2, AG469:BC469=1)), "")</f>
        <v>Richiesta di accordo/conferma</v>
      </c>
    </row>
    <row r="470" spans="1:60" x14ac:dyDescent="0.3">
      <c r="A470" t="s">
        <v>3027</v>
      </c>
      <c r="B470" t="s">
        <v>3036</v>
      </c>
      <c r="C470" t="s">
        <v>3029</v>
      </c>
      <c r="D470">
        <v>2024</v>
      </c>
      <c r="E470" s="52" t="s">
        <v>3037</v>
      </c>
      <c r="F470">
        <v>449447</v>
      </c>
      <c r="G470">
        <v>456236</v>
      </c>
      <c r="H470" t="s">
        <v>3031</v>
      </c>
      <c r="I470" t="s">
        <v>3027</v>
      </c>
      <c r="J470" s="51">
        <v>3.5000000000000003E-2</v>
      </c>
      <c r="K470" t="s">
        <v>160</v>
      </c>
      <c r="L470" t="s">
        <v>3032</v>
      </c>
      <c r="M470" t="s">
        <v>3033</v>
      </c>
      <c r="N470" t="s">
        <v>336</v>
      </c>
      <c r="O470" t="s">
        <v>164</v>
      </c>
      <c r="P470" t="s">
        <v>165</v>
      </c>
      <c r="Q470" t="s">
        <v>699</v>
      </c>
      <c r="R470" t="s">
        <v>167</v>
      </c>
      <c r="S470" t="s">
        <v>168</v>
      </c>
      <c r="T470" t="s">
        <v>169</v>
      </c>
      <c r="U470" t="s">
        <v>171</v>
      </c>
      <c r="V470">
        <v>3</v>
      </c>
      <c r="W470" t="s">
        <v>170</v>
      </c>
      <c r="X470" t="s">
        <v>3038</v>
      </c>
      <c r="Y470" t="s">
        <v>153</v>
      </c>
      <c r="Z470" s="53" t="s">
        <v>3039</v>
      </c>
      <c r="AA470"/>
      <c r="AB470"/>
      <c r="AC470"/>
      <c r="AD470"/>
      <c r="AE470">
        <v>1</v>
      </c>
      <c r="AF470">
        <v>1</v>
      </c>
      <c r="AN470" s="8">
        <v>1</v>
      </c>
      <c r="BG470" t="str">
        <f t="shared" si="8"/>
        <v>Interazionale</v>
      </c>
      <c r="BH470" s="3" t="str" cm="1">
        <f t="array" ref="BH470">IF(AE470=1, _xlfn.TEXTJOIN(" &amp; ", TRUE, _xlfn._xlws.FILTER($AG$2:$BC$2, AG470:BC470=1)), "")</f>
        <v>Richiesta di attenzione</v>
      </c>
    </row>
    <row r="471" spans="1:60" x14ac:dyDescent="0.3">
      <c r="A471" t="s">
        <v>3027</v>
      </c>
      <c r="B471" t="s">
        <v>3040</v>
      </c>
      <c r="C471" t="s">
        <v>3029</v>
      </c>
      <c r="D471">
        <v>2024</v>
      </c>
      <c r="E471" s="52" t="s">
        <v>3041</v>
      </c>
      <c r="F471">
        <v>659470</v>
      </c>
      <c r="G471">
        <v>668680</v>
      </c>
      <c r="H471" t="s">
        <v>3042</v>
      </c>
      <c r="I471" t="s">
        <v>3027</v>
      </c>
      <c r="J471" s="51">
        <v>3.5000000000000003E-2</v>
      </c>
      <c r="K471" t="s">
        <v>160</v>
      </c>
      <c r="L471" t="s">
        <v>3032</v>
      </c>
      <c r="M471" t="s">
        <v>3033</v>
      </c>
      <c r="N471" t="s">
        <v>317</v>
      </c>
      <c r="O471" t="s">
        <v>144</v>
      </c>
      <c r="P471" t="s">
        <v>165</v>
      </c>
      <c r="Q471" t="s">
        <v>146</v>
      </c>
      <c r="R471" t="s">
        <v>167</v>
      </c>
      <c r="S471" t="s">
        <v>168</v>
      </c>
      <c r="T471" t="s">
        <v>373</v>
      </c>
      <c r="U471" t="s">
        <v>151</v>
      </c>
      <c r="V471">
        <v>3</v>
      </c>
      <c r="W471" t="s">
        <v>170</v>
      </c>
      <c r="X471" t="s">
        <v>3043</v>
      </c>
      <c r="Y471" t="s">
        <v>153</v>
      </c>
      <c r="Z471" s="53" t="s">
        <v>3044</v>
      </c>
      <c r="AA471">
        <v>1</v>
      </c>
      <c r="AB471"/>
      <c r="AC471">
        <v>1</v>
      </c>
      <c r="AD471"/>
      <c r="AE471"/>
      <c r="AF471"/>
      <c r="BG471" t="str">
        <f t="shared" si="8"/>
        <v/>
      </c>
      <c r="BH471" s="3" t="str" cm="1">
        <f t="array" ref="BH471">IF(AE471=1, _xlfn.TEXTJOIN(" &amp; ", TRUE, _xlfn._xlws.FILTER($AG$2:$BC$2, AG471:BC471=1)), "")</f>
        <v/>
      </c>
    </row>
    <row r="472" spans="1:60" x14ac:dyDescent="0.3">
      <c r="A472" t="s">
        <v>3027</v>
      </c>
      <c r="B472" t="s">
        <v>3045</v>
      </c>
      <c r="C472" t="s">
        <v>3029</v>
      </c>
      <c r="D472">
        <v>2024</v>
      </c>
      <c r="E472" s="52" t="s">
        <v>3046</v>
      </c>
      <c r="F472">
        <v>865410</v>
      </c>
      <c r="G472">
        <v>870240</v>
      </c>
      <c r="H472" t="s">
        <v>3042</v>
      </c>
      <c r="I472" t="s">
        <v>3027</v>
      </c>
      <c r="J472" s="51">
        <v>3.5000000000000003E-2</v>
      </c>
      <c r="K472" t="s">
        <v>160</v>
      </c>
      <c r="L472" t="s">
        <v>3032</v>
      </c>
      <c r="M472" t="s">
        <v>3033</v>
      </c>
      <c r="N472" t="s">
        <v>317</v>
      </c>
      <c r="O472" t="s">
        <v>144</v>
      </c>
      <c r="P472" t="s">
        <v>165</v>
      </c>
      <c r="Q472" t="s">
        <v>146</v>
      </c>
      <c r="R472" t="s">
        <v>167</v>
      </c>
      <c r="S472" t="s">
        <v>168</v>
      </c>
      <c r="T472" t="s">
        <v>373</v>
      </c>
      <c r="U472" t="s">
        <v>151</v>
      </c>
      <c r="V472">
        <v>3</v>
      </c>
      <c r="W472" t="s">
        <v>170</v>
      </c>
      <c r="X472" t="s">
        <v>3047</v>
      </c>
      <c r="Y472" t="s">
        <v>153</v>
      </c>
      <c r="Z472" s="53" t="s">
        <v>3048</v>
      </c>
      <c r="AA472">
        <v>1</v>
      </c>
      <c r="AB472"/>
      <c r="AC472">
        <v>1</v>
      </c>
      <c r="AD472"/>
      <c r="AE472"/>
      <c r="AF472"/>
      <c r="BG472" t="str">
        <f t="shared" si="8"/>
        <v/>
      </c>
      <c r="BH472" s="3" t="str" cm="1">
        <f t="array" ref="BH472">IF(AE472=1, _xlfn.TEXTJOIN(" &amp; ", TRUE, _xlfn._xlws.FILTER($AG$2:$BC$2, AG472:BC472=1)), "")</f>
        <v/>
      </c>
    </row>
    <row r="473" spans="1:60" x14ac:dyDescent="0.3">
      <c r="A473" t="s">
        <v>3027</v>
      </c>
      <c r="B473" t="s">
        <v>3049</v>
      </c>
      <c r="C473" t="s">
        <v>3029</v>
      </c>
      <c r="D473">
        <v>2024</v>
      </c>
      <c r="E473" s="52" t="s">
        <v>3050</v>
      </c>
      <c r="F473">
        <v>1371870</v>
      </c>
      <c r="G473">
        <v>1378720</v>
      </c>
      <c r="H473" t="s">
        <v>3051</v>
      </c>
      <c r="I473" t="s">
        <v>3027</v>
      </c>
      <c r="J473" s="51">
        <v>3.5000000000000003E-2</v>
      </c>
      <c r="K473" t="s">
        <v>160</v>
      </c>
      <c r="L473" t="s">
        <v>3032</v>
      </c>
      <c r="M473" t="s">
        <v>3033</v>
      </c>
      <c r="N473" t="s">
        <v>143</v>
      </c>
      <c r="O473" t="s">
        <v>144</v>
      </c>
      <c r="P473" t="s">
        <v>165</v>
      </c>
      <c r="Q473" t="s">
        <v>146</v>
      </c>
      <c r="R473" t="s">
        <v>167</v>
      </c>
      <c r="S473" t="s">
        <v>168</v>
      </c>
      <c r="T473" t="s">
        <v>373</v>
      </c>
      <c r="U473" t="s">
        <v>151</v>
      </c>
      <c r="V473">
        <v>3</v>
      </c>
      <c r="W473" t="s">
        <v>170</v>
      </c>
      <c r="X473" t="s">
        <v>3052</v>
      </c>
      <c r="Y473" t="s">
        <v>153</v>
      </c>
      <c r="Z473" s="53" t="s">
        <v>3053</v>
      </c>
      <c r="AA473">
        <v>1</v>
      </c>
      <c r="AB473">
        <v>1</v>
      </c>
      <c r="AC473"/>
      <c r="AD473"/>
      <c r="AE473"/>
      <c r="AF473"/>
      <c r="BG473" t="str">
        <f t="shared" si="8"/>
        <v/>
      </c>
      <c r="BH473" s="3" t="str" cm="1">
        <f t="array" ref="BH473">IF(AE473=1, _xlfn.TEXTJOIN(" &amp; ", TRUE, _xlfn._xlws.FILTER($AG$2:$BC$2, AG473:BC473=1)), "")</f>
        <v/>
      </c>
    </row>
    <row r="474" spans="1:60" x14ac:dyDescent="0.3">
      <c r="A474" t="s">
        <v>671</v>
      </c>
      <c r="B474" t="s">
        <v>3054</v>
      </c>
      <c r="C474" t="s">
        <v>672</v>
      </c>
      <c r="D474">
        <v>2021</v>
      </c>
      <c r="E474" s="52" t="s">
        <v>3055</v>
      </c>
      <c r="F474">
        <v>139939</v>
      </c>
      <c r="G474">
        <v>141359</v>
      </c>
      <c r="H474" t="s">
        <v>673</v>
      </c>
      <c r="I474" t="s">
        <v>671</v>
      </c>
      <c r="J474" s="51">
        <v>2.3518518518518518E-2</v>
      </c>
      <c r="K474" t="s">
        <v>140</v>
      </c>
      <c r="L474" t="s">
        <v>674</v>
      </c>
      <c r="M474" t="s">
        <v>675</v>
      </c>
      <c r="N474" t="s">
        <v>381</v>
      </c>
      <c r="O474" t="s">
        <v>144</v>
      </c>
      <c r="P474" t="s">
        <v>676</v>
      </c>
      <c r="Q474" t="s">
        <v>677</v>
      </c>
      <c r="R474" t="s">
        <v>147</v>
      </c>
      <c r="S474" t="s">
        <v>148</v>
      </c>
      <c r="T474" t="s">
        <v>169</v>
      </c>
      <c r="U474" t="s">
        <v>171</v>
      </c>
      <c r="V474">
        <v>2</v>
      </c>
      <c r="W474" t="s">
        <v>269</v>
      </c>
      <c r="X474" t="s">
        <v>3056</v>
      </c>
      <c r="Y474" t="s">
        <v>153</v>
      </c>
      <c r="Z474" s="53" t="s">
        <v>3057</v>
      </c>
      <c r="AA474">
        <v>1</v>
      </c>
      <c r="AB474">
        <v>1</v>
      </c>
      <c r="AC474"/>
      <c r="AD474"/>
      <c r="AE474"/>
      <c r="AF474"/>
      <c r="BG474" t="str">
        <f t="shared" si="8"/>
        <v/>
      </c>
      <c r="BH474" s="3" t="str" cm="1">
        <f t="array" ref="BH474">IF(AE474=1, _xlfn.TEXTJOIN(" &amp; ", TRUE, _xlfn._xlws.FILTER($AG$2:$BC$2, AG474:BC474=1)), "")</f>
        <v/>
      </c>
    </row>
    <row r="475" spans="1:60" x14ac:dyDescent="0.3">
      <c r="A475" t="s">
        <v>671</v>
      </c>
      <c r="B475" t="s">
        <v>3058</v>
      </c>
      <c r="C475" t="s">
        <v>672</v>
      </c>
      <c r="D475">
        <v>2021</v>
      </c>
      <c r="E475" s="52" t="s">
        <v>3059</v>
      </c>
      <c r="F475">
        <v>163590</v>
      </c>
      <c r="G475">
        <v>166239</v>
      </c>
      <c r="H475" t="s">
        <v>673</v>
      </c>
      <c r="I475" t="s">
        <v>671</v>
      </c>
      <c r="J475" s="51">
        <v>2.3518518518518518E-2</v>
      </c>
      <c r="K475" t="s">
        <v>140</v>
      </c>
      <c r="L475" t="s">
        <v>674</v>
      </c>
      <c r="M475" t="s">
        <v>675</v>
      </c>
      <c r="N475" t="s">
        <v>381</v>
      </c>
      <c r="O475" t="s">
        <v>144</v>
      </c>
      <c r="P475" t="s">
        <v>676</v>
      </c>
      <c r="Q475" t="s">
        <v>677</v>
      </c>
      <c r="R475" t="s">
        <v>147</v>
      </c>
      <c r="S475" t="s">
        <v>148</v>
      </c>
      <c r="T475" t="s">
        <v>169</v>
      </c>
      <c r="U475" t="s">
        <v>171</v>
      </c>
      <c r="V475">
        <v>2</v>
      </c>
      <c r="W475" t="s">
        <v>269</v>
      </c>
      <c r="X475" t="s">
        <v>3060</v>
      </c>
      <c r="Y475" t="s">
        <v>153</v>
      </c>
      <c r="Z475" s="53" t="s">
        <v>3061</v>
      </c>
      <c r="AA475">
        <v>1</v>
      </c>
      <c r="AB475"/>
      <c r="AC475">
        <v>1</v>
      </c>
      <c r="AD475"/>
      <c r="AE475"/>
      <c r="AF475"/>
      <c r="BG475" t="str">
        <f t="shared" si="8"/>
        <v/>
      </c>
      <c r="BH475" s="3" t="str" cm="1">
        <f t="array" ref="BH475">IF(AE475=1, _xlfn.TEXTJOIN(" &amp; ", TRUE, _xlfn._xlws.FILTER($AG$2:$BC$2, AG475:BC475=1)), "")</f>
        <v/>
      </c>
    </row>
    <row r="476" spans="1:60" x14ac:dyDescent="0.3">
      <c r="A476" t="s">
        <v>671</v>
      </c>
      <c r="B476" t="s">
        <v>3062</v>
      </c>
      <c r="C476" t="s">
        <v>672</v>
      </c>
      <c r="D476">
        <v>2021</v>
      </c>
      <c r="E476" s="52" t="s">
        <v>3063</v>
      </c>
      <c r="F476">
        <v>739999</v>
      </c>
      <c r="G476">
        <v>742245</v>
      </c>
      <c r="H476" t="s">
        <v>673</v>
      </c>
      <c r="I476" t="s">
        <v>671</v>
      </c>
      <c r="J476" s="51">
        <v>2.3518518518518518E-2</v>
      </c>
      <c r="K476" t="s">
        <v>140</v>
      </c>
      <c r="L476" t="s">
        <v>674</v>
      </c>
      <c r="M476" t="s">
        <v>675</v>
      </c>
      <c r="N476" t="s">
        <v>381</v>
      </c>
      <c r="O476" t="s">
        <v>144</v>
      </c>
      <c r="P476" t="s">
        <v>676</v>
      </c>
      <c r="Q476" t="s">
        <v>677</v>
      </c>
      <c r="R476" t="s">
        <v>147</v>
      </c>
      <c r="S476" t="s">
        <v>148</v>
      </c>
      <c r="T476" t="s">
        <v>169</v>
      </c>
      <c r="U476" t="s">
        <v>171</v>
      </c>
      <c r="V476">
        <v>2</v>
      </c>
      <c r="W476" t="s">
        <v>269</v>
      </c>
      <c r="X476" t="s">
        <v>3064</v>
      </c>
      <c r="Y476" t="s">
        <v>153</v>
      </c>
      <c r="Z476" s="53" t="s">
        <v>3065</v>
      </c>
      <c r="AA476"/>
      <c r="AB476"/>
      <c r="AC476"/>
      <c r="AD476"/>
      <c r="AE476">
        <v>1</v>
      </c>
      <c r="AF476"/>
      <c r="AH476" s="8">
        <v>1</v>
      </c>
      <c r="BG476" t="str">
        <f t="shared" si="8"/>
        <v>Interazionale</v>
      </c>
      <c r="BH476" s="3" t="str" cm="1">
        <f t="array" ref="BH476">IF(AE476=1, _xlfn.TEXTJOIN(" &amp; ", TRUE, _xlfn._xlws.FILTER($AG$2:$BC$2, AG476:BC476=1)), "")</f>
        <v>Richiesta di accordo/conferma</v>
      </c>
    </row>
    <row r="477" spans="1:60" x14ac:dyDescent="0.3">
      <c r="A477" t="s">
        <v>671</v>
      </c>
      <c r="B477" t="s">
        <v>3066</v>
      </c>
      <c r="C477" t="s">
        <v>672</v>
      </c>
      <c r="D477">
        <v>2021</v>
      </c>
      <c r="E477" s="52" t="s">
        <v>3067</v>
      </c>
      <c r="F477">
        <v>820600</v>
      </c>
      <c r="G477">
        <v>823820</v>
      </c>
      <c r="H477" t="s">
        <v>673</v>
      </c>
      <c r="I477" t="s">
        <v>671</v>
      </c>
      <c r="J477" s="51">
        <v>2.3518518518518518E-2</v>
      </c>
      <c r="K477" t="s">
        <v>140</v>
      </c>
      <c r="L477" t="s">
        <v>674</v>
      </c>
      <c r="M477" t="s">
        <v>675</v>
      </c>
      <c r="N477" t="s">
        <v>381</v>
      </c>
      <c r="O477" t="s">
        <v>144</v>
      </c>
      <c r="P477" t="s">
        <v>676</v>
      </c>
      <c r="Q477" t="s">
        <v>677</v>
      </c>
      <c r="R477" t="s">
        <v>147</v>
      </c>
      <c r="S477" t="s">
        <v>148</v>
      </c>
      <c r="T477" t="s">
        <v>169</v>
      </c>
      <c r="U477" t="s">
        <v>171</v>
      </c>
      <c r="V477">
        <v>2</v>
      </c>
      <c r="W477" t="s">
        <v>269</v>
      </c>
      <c r="X477" t="s">
        <v>3068</v>
      </c>
      <c r="Y477" t="s">
        <v>153</v>
      </c>
      <c r="Z477" s="53" t="s">
        <v>3069</v>
      </c>
      <c r="AA477">
        <v>1</v>
      </c>
      <c r="AB477"/>
      <c r="AC477">
        <v>1</v>
      </c>
      <c r="AD477"/>
      <c r="AE477"/>
      <c r="AF477"/>
      <c r="BG477" t="str">
        <f t="shared" si="8"/>
        <v/>
      </c>
      <c r="BH477" s="3" t="str" cm="1">
        <f t="array" ref="BH477">IF(AE477=1, _xlfn.TEXTJOIN(" &amp; ", TRUE, _xlfn._xlws.FILTER($AG$2:$BC$2, AG477:BC477=1)), "")</f>
        <v/>
      </c>
    </row>
    <row r="478" spans="1:60" x14ac:dyDescent="0.3">
      <c r="A478" t="s">
        <v>671</v>
      </c>
      <c r="B478" t="s">
        <v>3070</v>
      </c>
      <c r="C478" t="s">
        <v>672</v>
      </c>
      <c r="D478">
        <v>2021</v>
      </c>
      <c r="E478" s="52" t="s">
        <v>3071</v>
      </c>
      <c r="F478">
        <v>1424270</v>
      </c>
      <c r="G478">
        <v>1426742</v>
      </c>
      <c r="H478" t="s">
        <v>673</v>
      </c>
      <c r="I478" t="s">
        <v>671</v>
      </c>
      <c r="J478" s="51">
        <v>2.3518518518518518E-2</v>
      </c>
      <c r="K478" t="s">
        <v>140</v>
      </c>
      <c r="L478" t="s">
        <v>674</v>
      </c>
      <c r="M478" t="s">
        <v>675</v>
      </c>
      <c r="N478" t="s">
        <v>381</v>
      </c>
      <c r="O478" t="s">
        <v>144</v>
      </c>
      <c r="P478" t="s">
        <v>676</v>
      </c>
      <c r="Q478" t="s">
        <v>677</v>
      </c>
      <c r="R478" t="s">
        <v>147</v>
      </c>
      <c r="S478" t="s">
        <v>148</v>
      </c>
      <c r="T478" t="s">
        <v>169</v>
      </c>
      <c r="U478" t="s">
        <v>171</v>
      </c>
      <c r="V478">
        <v>2</v>
      </c>
      <c r="W478" t="s">
        <v>269</v>
      </c>
      <c r="X478" t="s">
        <v>3072</v>
      </c>
      <c r="Y478" t="s">
        <v>153</v>
      </c>
      <c r="Z478" s="53" t="s">
        <v>3073</v>
      </c>
      <c r="AA478"/>
      <c r="AB478"/>
      <c r="AC478"/>
      <c r="AD478"/>
      <c r="AE478">
        <v>1</v>
      </c>
      <c r="AF478"/>
      <c r="AM478" s="7">
        <v>1</v>
      </c>
      <c r="BG478" t="str">
        <f t="shared" si="8"/>
        <v>Interazionale</v>
      </c>
      <c r="BH478" s="3" t="str" cm="1">
        <f t="array" ref="BH478">IF(AE478=1, _xlfn.TEXTJOIN(" &amp; ", TRUE, _xlfn._xlws.FILTER($AG$2:$BC$2, AG478:BC478=1)), "")</f>
        <v>Marcatura della conoscenza condivisa</v>
      </c>
    </row>
    <row r="479" spans="1:60" x14ac:dyDescent="0.3">
      <c r="A479" t="s">
        <v>671</v>
      </c>
      <c r="B479" t="s">
        <v>3074</v>
      </c>
      <c r="C479" t="s">
        <v>672</v>
      </c>
      <c r="D479">
        <v>2021</v>
      </c>
      <c r="E479" s="52" t="s">
        <v>3075</v>
      </c>
      <c r="F479">
        <v>1993401</v>
      </c>
      <c r="G479">
        <v>1996587</v>
      </c>
      <c r="H479" t="s">
        <v>673</v>
      </c>
      <c r="I479" t="s">
        <v>671</v>
      </c>
      <c r="J479" s="51">
        <v>2.3518518518518518E-2</v>
      </c>
      <c r="K479" t="s">
        <v>140</v>
      </c>
      <c r="L479" t="s">
        <v>674</v>
      </c>
      <c r="M479" t="s">
        <v>675</v>
      </c>
      <c r="N479" t="s">
        <v>381</v>
      </c>
      <c r="O479" t="s">
        <v>144</v>
      </c>
      <c r="P479" t="s">
        <v>676</v>
      </c>
      <c r="Q479" t="s">
        <v>677</v>
      </c>
      <c r="R479" t="s">
        <v>147</v>
      </c>
      <c r="S479" t="s">
        <v>148</v>
      </c>
      <c r="T479" t="s">
        <v>169</v>
      </c>
      <c r="U479" t="s">
        <v>171</v>
      </c>
      <c r="V479">
        <v>2</v>
      </c>
      <c r="W479" t="s">
        <v>269</v>
      </c>
      <c r="X479" t="s">
        <v>3076</v>
      </c>
      <c r="Y479" t="s">
        <v>153</v>
      </c>
      <c r="Z479" s="53" t="s">
        <v>3077</v>
      </c>
      <c r="AA479"/>
      <c r="AB479"/>
      <c r="AC479"/>
      <c r="AD479"/>
      <c r="AE479">
        <v>1</v>
      </c>
      <c r="AF479"/>
      <c r="AM479" s="7">
        <v>1</v>
      </c>
      <c r="BG479" t="str">
        <f t="shared" si="8"/>
        <v>Interazionale</v>
      </c>
      <c r="BH479" s="3" t="str" cm="1">
        <f t="array" ref="BH479">IF(AE479=1, _xlfn.TEXTJOIN(" &amp; ", TRUE, _xlfn._xlws.FILTER($AG$2:$BC$2, AG479:BC479=1)), "")</f>
        <v>Marcatura della conoscenza condivisa</v>
      </c>
    </row>
    <row r="480" spans="1:60" x14ac:dyDescent="0.3">
      <c r="A480" t="s">
        <v>3078</v>
      </c>
      <c r="B480" t="s">
        <v>3079</v>
      </c>
      <c r="C480" t="s">
        <v>3080</v>
      </c>
      <c r="D480">
        <v>2020</v>
      </c>
      <c r="E480" s="52" t="s">
        <v>3081</v>
      </c>
      <c r="F480">
        <v>516962</v>
      </c>
      <c r="G480">
        <v>518857</v>
      </c>
      <c r="H480" t="s">
        <v>3082</v>
      </c>
      <c r="I480" t="s">
        <v>3078</v>
      </c>
      <c r="J480" s="51">
        <v>2.5937499999999999E-2</v>
      </c>
      <c r="K480" t="s">
        <v>140</v>
      </c>
      <c r="L480" t="s">
        <v>3083</v>
      </c>
      <c r="M480" t="s">
        <v>3084</v>
      </c>
      <c r="N480" t="s">
        <v>336</v>
      </c>
      <c r="O480" t="s">
        <v>144</v>
      </c>
      <c r="P480" t="s">
        <v>801</v>
      </c>
      <c r="Q480" t="s">
        <v>228</v>
      </c>
      <c r="R480" t="s">
        <v>147</v>
      </c>
      <c r="S480" t="s">
        <v>148</v>
      </c>
      <c r="T480" t="s">
        <v>643</v>
      </c>
      <c r="U480" t="s">
        <v>229</v>
      </c>
      <c r="V480">
        <v>2</v>
      </c>
      <c r="W480" t="s">
        <v>269</v>
      </c>
      <c r="X480" t="s">
        <v>3085</v>
      </c>
      <c r="Y480" t="s">
        <v>153</v>
      </c>
      <c r="Z480" s="53" t="s">
        <v>3086</v>
      </c>
      <c r="AA480"/>
      <c r="AB480"/>
      <c r="AC480"/>
      <c r="AD480"/>
      <c r="AE480">
        <v>1</v>
      </c>
      <c r="AF480"/>
      <c r="BG480" t="str">
        <f t="shared" si="8"/>
        <v/>
      </c>
      <c r="BH480" s="3" t="e" cm="1" vm="1">
        <f t="array" ref="BH480">IF(AE480=1, _xlfn.TEXTJOIN(" &amp; ", TRUE, _xlfn._xlws.FILTER($AG$2:$BC$2, AG480:BC480=1)), "")</f>
        <v>#VALUE!</v>
      </c>
    </row>
    <row r="481" spans="1:60" x14ac:dyDescent="0.3">
      <c r="A481" t="s">
        <v>3078</v>
      </c>
      <c r="B481" t="s">
        <v>3087</v>
      </c>
      <c r="C481" t="s">
        <v>3080</v>
      </c>
      <c r="D481">
        <v>2020</v>
      </c>
      <c r="E481" s="52" t="s">
        <v>3088</v>
      </c>
      <c r="F481">
        <v>1292437</v>
      </c>
      <c r="G481">
        <v>1296400</v>
      </c>
      <c r="H481" t="s">
        <v>640</v>
      </c>
      <c r="I481" t="s">
        <v>3078</v>
      </c>
      <c r="J481" s="51">
        <v>2.5937499999999999E-2</v>
      </c>
      <c r="K481" t="s">
        <v>140</v>
      </c>
      <c r="L481" t="s">
        <v>3083</v>
      </c>
      <c r="M481" t="s">
        <v>3084</v>
      </c>
      <c r="N481" t="s">
        <v>143</v>
      </c>
      <c r="O481" t="s">
        <v>144</v>
      </c>
      <c r="P481" t="s">
        <v>801</v>
      </c>
      <c r="Q481" t="s">
        <v>228</v>
      </c>
      <c r="R481" t="s">
        <v>147</v>
      </c>
      <c r="S481" t="s">
        <v>148</v>
      </c>
      <c r="T481" t="s">
        <v>643</v>
      </c>
      <c r="U481" t="s">
        <v>183</v>
      </c>
      <c r="V481">
        <v>2</v>
      </c>
      <c r="W481" t="s">
        <v>269</v>
      </c>
      <c r="X481" t="s">
        <v>3089</v>
      </c>
      <c r="Y481" t="s">
        <v>153</v>
      </c>
      <c r="Z481" s="53" t="s">
        <v>3090</v>
      </c>
      <c r="AA481"/>
      <c r="AB481"/>
      <c r="AC481"/>
      <c r="AD481"/>
      <c r="AE481">
        <v>1</v>
      </c>
      <c r="AF481"/>
      <c r="AM481" s="7">
        <v>1</v>
      </c>
      <c r="BG481" t="str">
        <f t="shared" si="8"/>
        <v>Interazionale</v>
      </c>
      <c r="BH481" s="3" t="str" cm="1">
        <f t="array" ref="BH481">IF(AE481=1, _xlfn.TEXTJOIN(" &amp; ", TRUE, _xlfn._xlws.FILTER($AG$2:$BC$2, AG481:BC481=1)), "")</f>
        <v>Marcatura della conoscenza condivisa</v>
      </c>
    </row>
    <row r="482" spans="1:60" x14ac:dyDescent="0.3">
      <c r="A482" t="s">
        <v>3078</v>
      </c>
      <c r="B482" t="s">
        <v>3091</v>
      </c>
      <c r="C482" t="s">
        <v>3080</v>
      </c>
      <c r="D482">
        <v>2020</v>
      </c>
      <c r="E482" s="52" t="s">
        <v>3092</v>
      </c>
      <c r="F482">
        <v>1965205</v>
      </c>
      <c r="G482">
        <v>1966615</v>
      </c>
      <c r="H482" t="s">
        <v>3082</v>
      </c>
      <c r="I482" t="s">
        <v>3078</v>
      </c>
      <c r="J482" s="51">
        <v>2.5937499999999999E-2</v>
      </c>
      <c r="K482" t="s">
        <v>140</v>
      </c>
      <c r="L482" t="s">
        <v>3083</v>
      </c>
      <c r="M482" t="s">
        <v>3084</v>
      </c>
      <c r="N482" t="s">
        <v>336</v>
      </c>
      <c r="O482" t="s">
        <v>144</v>
      </c>
      <c r="P482" t="s">
        <v>801</v>
      </c>
      <c r="Q482" t="s">
        <v>228</v>
      </c>
      <c r="R482" t="s">
        <v>147</v>
      </c>
      <c r="S482" t="s">
        <v>148</v>
      </c>
      <c r="T482" t="s">
        <v>643</v>
      </c>
      <c r="U482" t="s">
        <v>229</v>
      </c>
      <c r="V482">
        <v>2</v>
      </c>
      <c r="W482" t="s">
        <v>269</v>
      </c>
      <c r="X482" t="s">
        <v>3093</v>
      </c>
      <c r="Y482" t="s">
        <v>153</v>
      </c>
      <c r="Z482" s="53" t="s">
        <v>3094</v>
      </c>
      <c r="AA482">
        <v>1</v>
      </c>
      <c r="AB482"/>
      <c r="AC482">
        <v>1</v>
      </c>
      <c r="AD482"/>
      <c r="AE482"/>
      <c r="AF482"/>
      <c r="BG482" t="str">
        <f t="shared" si="8"/>
        <v/>
      </c>
      <c r="BH482" s="3" t="str" cm="1">
        <f t="array" ref="BH482">IF(AE482=1, _xlfn.TEXTJOIN(" &amp; ", TRUE, _xlfn._xlws.FILTER($AG$2:$BC$2, AG482:BC482=1)), "")</f>
        <v/>
      </c>
    </row>
    <row r="483" spans="1:60" x14ac:dyDescent="0.3">
      <c r="A483" t="s">
        <v>678</v>
      </c>
      <c r="B483" t="s">
        <v>3095</v>
      </c>
      <c r="C483" t="s">
        <v>680</v>
      </c>
      <c r="D483" t="s">
        <v>204</v>
      </c>
      <c r="E483" s="52" t="s">
        <v>3096</v>
      </c>
      <c r="F483">
        <v>211105</v>
      </c>
      <c r="G483">
        <v>212235</v>
      </c>
      <c r="H483" t="s">
        <v>3097</v>
      </c>
      <c r="I483" t="s">
        <v>678</v>
      </c>
      <c r="J483" s="51">
        <v>6.6944444444444445E-2</v>
      </c>
      <c r="K483" t="s">
        <v>160</v>
      </c>
      <c r="L483" t="s">
        <v>683</v>
      </c>
      <c r="M483" t="s">
        <v>684</v>
      </c>
      <c r="N483" t="s">
        <v>336</v>
      </c>
      <c r="O483" t="s">
        <v>164</v>
      </c>
      <c r="P483" t="s">
        <v>165</v>
      </c>
      <c r="Q483" t="s">
        <v>228</v>
      </c>
      <c r="R483" t="s">
        <v>147</v>
      </c>
      <c r="S483" t="s">
        <v>168</v>
      </c>
      <c r="T483" t="s">
        <v>149</v>
      </c>
      <c r="U483" t="s">
        <v>349</v>
      </c>
      <c r="V483">
        <v>2</v>
      </c>
      <c r="W483" t="s">
        <v>365</v>
      </c>
      <c r="X483" t="s">
        <v>3098</v>
      </c>
      <c r="Y483" t="s">
        <v>153</v>
      </c>
      <c r="Z483" s="53" t="s">
        <v>3099</v>
      </c>
      <c r="AA483">
        <v>1</v>
      </c>
      <c r="AB483">
        <v>1</v>
      </c>
      <c r="AC483"/>
      <c r="AD483"/>
      <c r="AE483"/>
      <c r="AF483"/>
      <c r="BG483" t="str">
        <f t="shared" si="8"/>
        <v/>
      </c>
      <c r="BH483" s="3" t="str" cm="1">
        <f t="array" ref="BH483">IF(AE483=1, _xlfn.TEXTJOIN(" &amp; ", TRUE, _xlfn._xlws.FILTER($AG$2:$BC$2, AG483:BC483=1)), "")</f>
        <v/>
      </c>
    </row>
    <row r="484" spans="1:60" x14ac:dyDescent="0.3">
      <c r="A484" t="s">
        <v>678</v>
      </c>
      <c r="B484" t="s">
        <v>3100</v>
      </c>
      <c r="C484" t="s">
        <v>680</v>
      </c>
      <c r="D484" t="s">
        <v>204</v>
      </c>
      <c r="E484" s="52" t="s">
        <v>3101</v>
      </c>
      <c r="F484">
        <v>3390365</v>
      </c>
      <c r="G484">
        <v>3394979</v>
      </c>
      <c r="H484" t="s">
        <v>682</v>
      </c>
      <c r="I484" t="s">
        <v>678</v>
      </c>
      <c r="J484" s="51">
        <v>6.6944444444444445E-2</v>
      </c>
      <c r="K484" t="s">
        <v>160</v>
      </c>
      <c r="L484" t="s">
        <v>683</v>
      </c>
      <c r="M484" t="s">
        <v>684</v>
      </c>
      <c r="N484" t="s">
        <v>163</v>
      </c>
      <c r="O484" t="s">
        <v>164</v>
      </c>
      <c r="P484" t="s">
        <v>165</v>
      </c>
      <c r="Q484" t="s">
        <v>228</v>
      </c>
      <c r="R484" t="s">
        <v>147</v>
      </c>
      <c r="S484" t="s">
        <v>168</v>
      </c>
      <c r="T484" t="s">
        <v>169</v>
      </c>
      <c r="U484" t="s">
        <v>349</v>
      </c>
      <c r="V484">
        <v>2</v>
      </c>
      <c r="W484" t="s">
        <v>365</v>
      </c>
      <c r="X484" t="s">
        <v>3102</v>
      </c>
      <c r="Y484" t="s">
        <v>153</v>
      </c>
      <c r="Z484" s="53" t="s">
        <v>3103</v>
      </c>
      <c r="AA484">
        <v>1</v>
      </c>
      <c r="AB484">
        <v>1</v>
      </c>
      <c r="AC484"/>
      <c r="AD484"/>
      <c r="AE484"/>
      <c r="AF484"/>
      <c r="BG484" t="str">
        <f t="shared" si="8"/>
        <v/>
      </c>
      <c r="BH484" s="3" t="str" cm="1">
        <f t="array" ref="BH484">IF(AE484=1, _xlfn.TEXTJOIN(" &amp; ", TRUE, _xlfn._xlws.FILTER($AG$2:$BC$2, AG484:BC484=1)), "")</f>
        <v/>
      </c>
    </row>
    <row r="485" spans="1:60" x14ac:dyDescent="0.3">
      <c r="A485" t="s">
        <v>678</v>
      </c>
      <c r="B485" t="s">
        <v>679</v>
      </c>
      <c r="C485" t="s">
        <v>680</v>
      </c>
      <c r="D485" t="s">
        <v>204</v>
      </c>
      <c r="E485" s="52" t="s">
        <v>681</v>
      </c>
      <c r="F485">
        <v>4083577</v>
      </c>
      <c r="G485">
        <v>4084801</v>
      </c>
      <c r="H485" t="s">
        <v>682</v>
      </c>
      <c r="I485" t="s">
        <v>678</v>
      </c>
      <c r="J485" s="51">
        <v>6.6944444444444445E-2</v>
      </c>
      <c r="K485" t="s">
        <v>160</v>
      </c>
      <c r="L485" t="s">
        <v>683</v>
      </c>
      <c r="M485" t="s">
        <v>684</v>
      </c>
      <c r="N485" t="s">
        <v>163</v>
      </c>
      <c r="O485" t="s">
        <v>164</v>
      </c>
      <c r="P485" t="s">
        <v>165</v>
      </c>
      <c r="Q485" t="s">
        <v>228</v>
      </c>
      <c r="R485" t="s">
        <v>147</v>
      </c>
      <c r="S485" t="s">
        <v>168</v>
      </c>
      <c r="T485" t="s">
        <v>169</v>
      </c>
      <c r="U485" t="s">
        <v>349</v>
      </c>
      <c r="V485">
        <v>2</v>
      </c>
      <c r="W485" t="s">
        <v>365</v>
      </c>
      <c r="X485" t="s">
        <v>685</v>
      </c>
      <c r="Y485" t="s">
        <v>153</v>
      </c>
      <c r="Z485" s="53" t="s">
        <v>686</v>
      </c>
      <c r="AA485">
        <v>1</v>
      </c>
      <c r="AB485"/>
      <c r="AC485">
        <v>1</v>
      </c>
      <c r="AD485"/>
      <c r="AE485"/>
      <c r="AF485"/>
      <c r="BG485" t="str">
        <f t="shared" si="8"/>
        <v/>
      </c>
      <c r="BH485" s="3" t="str" cm="1">
        <f t="array" ref="BH485">IF(AE485=1, _xlfn.TEXTJOIN(" &amp; ", TRUE, _xlfn._xlws.FILTER($AG$2:$BC$2, AG485:BC485=1)), "")</f>
        <v/>
      </c>
    </row>
    <row r="486" spans="1:60" x14ac:dyDescent="0.3">
      <c r="A486" t="s">
        <v>678</v>
      </c>
      <c r="B486" t="s">
        <v>687</v>
      </c>
      <c r="C486" t="s">
        <v>680</v>
      </c>
      <c r="D486" t="s">
        <v>204</v>
      </c>
      <c r="E486" s="52" t="s">
        <v>688</v>
      </c>
      <c r="F486">
        <v>4508680</v>
      </c>
      <c r="G486">
        <v>4517073</v>
      </c>
      <c r="H486" t="s">
        <v>682</v>
      </c>
      <c r="I486" t="s">
        <v>678</v>
      </c>
      <c r="J486" s="51">
        <v>6.6944444444444445E-2</v>
      </c>
      <c r="K486" t="s">
        <v>160</v>
      </c>
      <c r="L486" t="s">
        <v>683</v>
      </c>
      <c r="M486" t="s">
        <v>684</v>
      </c>
      <c r="N486" t="s">
        <v>163</v>
      </c>
      <c r="O486" t="s">
        <v>164</v>
      </c>
      <c r="P486" t="s">
        <v>165</v>
      </c>
      <c r="Q486" t="s">
        <v>228</v>
      </c>
      <c r="R486" t="s">
        <v>147</v>
      </c>
      <c r="S486" t="s">
        <v>168</v>
      </c>
      <c r="T486" t="s">
        <v>169</v>
      </c>
      <c r="U486" t="s">
        <v>349</v>
      </c>
      <c r="V486">
        <v>2</v>
      </c>
      <c r="W486" t="s">
        <v>365</v>
      </c>
      <c r="X486" t="s">
        <v>689</v>
      </c>
      <c r="Y486" t="s">
        <v>153</v>
      </c>
      <c r="Z486" s="53" t="s">
        <v>690</v>
      </c>
      <c r="AA486">
        <v>1</v>
      </c>
      <c r="AB486"/>
      <c r="AC486">
        <v>1</v>
      </c>
      <c r="AD486"/>
      <c r="AE486"/>
      <c r="AF486"/>
      <c r="BG486" t="str">
        <f t="shared" si="8"/>
        <v/>
      </c>
      <c r="BH486" s="3" t="str" cm="1">
        <f t="array" ref="BH486">IF(AE486=1, _xlfn.TEXTJOIN(" &amp; ", TRUE, _xlfn._xlws.FILTER($AG$2:$BC$2, AG486:BC486=1)), "")</f>
        <v/>
      </c>
    </row>
    <row r="487" spans="1:60" x14ac:dyDescent="0.3">
      <c r="A487" t="s">
        <v>678</v>
      </c>
      <c r="B487" t="s">
        <v>3104</v>
      </c>
      <c r="C487" t="s">
        <v>680</v>
      </c>
      <c r="D487" t="s">
        <v>204</v>
      </c>
      <c r="E487" s="52" t="s">
        <v>3105</v>
      </c>
      <c r="F487">
        <v>5600912</v>
      </c>
      <c r="G487">
        <v>5604370</v>
      </c>
      <c r="H487" t="s">
        <v>682</v>
      </c>
      <c r="I487" t="s">
        <v>678</v>
      </c>
      <c r="J487" s="51">
        <v>6.6944444444444445E-2</v>
      </c>
      <c r="K487" t="s">
        <v>160</v>
      </c>
      <c r="L487" t="s">
        <v>683</v>
      </c>
      <c r="M487" t="s">
        <v>684</v>
      </c>
      <c r="N487" t="s">
        <v>163</v>
      </c>
      <c r="O487" t="s">
        <v>164</v>
      </c>
      <c r="P487" t="s">
        <v>165</v>
      </c>
      <c r="Q487" t="s">
        <v>228</v>
      </c>
      <c r="R487" t="s">
        <v>147</v>
      </c>
      <c r="S487" t="s">
        <v>168</v>
      </c>
      <c r="T487" t="s">
        <v>169</v>
      </c>
      <c r="U487" t="s">
        <v>349</v>
      </c>
      <c r="V487">
        <v>2</v>
      </c>
      <c r="W487" t="s">
        <v>365</v>
      </c>
      <c r="X487" t="s">
        <v>3106</v>
      </c>
      <c r="Y487" t="s">
        <v>153</v>
      </c>
      <c r="Z487" s="53" t="s">
        <v>3107</v>
      </c>
      <c r="AA487"/>
      <c r="AB487"/>
      <c r="AC487"/>
      <c r="AD487"/>
      <c r="AE487">
        <v>1</v>
      </c>
      <c r="AF487"/>
      <c r="AH487" s="8">
        <v>1</v>
      </c>
      <c r="BG487" t="str">
        <f t="shared" si="8"/>
        <v>Interazionale</v>
      </c>
      <c r="BH487" s="3" t="str" cm="1">
        <f t="array" ref="BH487">IF(AE487=1, _xlfn.TEXTJOIN(" &amp; ", TRUE, _xlfn._xlws.FILTER($AG$2:$BC$2, AG487:BC487=1)), "")</f>
        <v>Richiesta di accordo/conferma</v>
      </c>
    </row>
    <row r="488" spans="1:60" x14ac:dyDescent="0.3">
      <c r="A488" t="s">
        <v>691</v>
      </c>
      <c r="B488" t="s">
        <v>3108</v>
      </c>
      <c r="C488" t="s">
        <v>693</v>
      </c>
      <c r="D488">
        <v>2022</v>
      </c>
      <c r="E488" s="52" t="s">
        <v>3109</v>
      </c>
      <c r="F488">
        <v>278382</v>
      </c>
      <c r="G488">
        <v>284020</v>
      </c>
      <c r="H488" t="s">
        <v>704</v>
      </c>
      <c r="I488" t="s">
        <v>691</v>
      </c>
      <c r="J488" s="51">
        <v>6.1747685185185183E-2</v>
      </c>
      <c r="K488" t="s">
        <v>140</v>
      </c>
      <c r="L488" t="s">
        <v>696</v>
      </c>
      <c r="M488" t="s">
        <v>697</v>
      </c>
      <c r="N488" t="s">
        <v>143</v>
      </c>
      <c r="O488" t="s">
        <v>144</v>
      </c>
      <c r="P488" t="s">
        <v>698</v>
      </c>
      <c r="Q488" t="s">
        <v>146</v>
      </c>
      <c r="R488" t="s">
        <v>147</v>
      </c>
      <c r="S488" t="s">
        <v>148</v>
      </c>
      <c r="T488" t="s">
        <v>189</v>
      </c>
      <c r="U488" t="s">
        <v>151</v>
      </c>
      <c r="V488">
        <v>4</v>
      </c>
      <c r="W488" t="s">
        <v>269</v>
      </c>
      <c r="X488" t="s">
        <v>3110</v>
      </c>
      <c r="Y488" t="s">
        <v>153</v>
      </c>
      <c r="Z488" s="53" t="s">
        <v>3111</v>
      </c>
      <c r="AA488">
        <v>1</v>
      </c>
      <c r="AB488"/>
      <c r="AC488">
        <v>1</v>
      </c>
      <c r="AD488"/>
      <c r="AE488"/>
      <c r="AF488"/>
      <c r="BG488" t="str">
        <f t="shared" si="8"/>
        <v/>
      </c>
      <c r="BH488" s="3" t="str" cm="1">
        <f t="array" ref="BH488">IF(AE488=1, _xlfn.TEXTJOIN(" &amp; ", TRUE, _xlfn._xlws.FILTER($AG$2:$BC$2, AG488:BC488=1)), "")</f>
        <v/>
      </c>
    </row>
    <row r="489" spans="1:60" x14ac:dyDescent="0.3">
      <c r="A489" t="s">
        <v>691</v>
      </c>
      <c r="B489" t="s">
        <v>3112</v>
      </c>
      <c r="C489" t="s">
        <v>693</v>
      </c>
      <c r="D489">
        <v>2022</v>
      </c>
      <c r="E489" s="52" t="s">
        <v>3113</v>
      </c>
      <c r="F489">
        <v>432496</v>
      </c>
      <c r="G489">
        <v>434193</v>
      </c>
      <c r="H489" t="s">
        <v>695</v>
      </c>
      <c r="I489" t="s">
        <v>691</v>
      </c>
      <c r="J489" s="51">
        <v>6.1747685185185183E-2</v>
      </c>
      <c r="K489" t="s">
        <v>140</v>
      </c>
      <c r="L489" t="s">
        <v>696</v>
      </c>
      <c r="M489" t="s">
        <v>697</v>
      </c>
      <c r="N489" t="s">
        <v>324</v>
      </c>
      <c r="O489" t="s">
        <v>164</v>
      </c>
      <c r="P489" t="s">
        <v>698</v>
      </c>
      <c r="Q489" t="s">
        <v>699</v>
      </c>
      <c r="R489" t="s">
        <v>147</v>
      </c>
      <c r="S489" t="s">
        <v>148</v>
      </c>
      <c r="T489" t="s">
        <v>288</v>
      </c>
      <c r="U489" t="s">
        <v>171</v>
      </c>
      <c r="V489">
        <v>4</v>
      </c>
      <c r="W489" t="s">
        <v>269</v>
      </c>
      <c r="X489" t="s">
        <v>3114</v>
      </c>
      <c r="Y489" t="s">
        <v>153</v>
      </c>
      <c r="Z489" s="53" t="s">
        <v>3115</v>
      </c>
      <c r="AA489">
        <v>1</v>
      </c>
      <c r="AB489"/>
      <c r="AC489"/>
      <c r="AD489">
        <v>1</v>
      </c>
      <c r="AE489"/>
      <c r="AF489"/>
      <c r="BG489" t="str">
        <f t="shared" si="8"/>
        <v/>
      </c>
      <c r="BH489" s="3" t="str" cm="1">
        <f t="array" ref="BH489">IF(AE489=1, _xlfn.TEXTJOIN(" &amp; ", TRUE, _xlfn._xlws.FILTER($AG$2:$BC$2, AG489:BC489=1)), "")</f>
        <v/>
      </c>
    </row>
    <row r="490" spans="1:60" x14ac:dyDescent="0.3">
      <c r="A490" t="s">
        <v>691</v>
      </c>
      <c r="B490" t="s">
        <v>3116</v>
      </c>
      <c r="C490" t="s">
        <v>693</v>
      </c>
      <c r="D490">
        <v>2022</v>
      </c>
      <c r="E490" s="52" t="s">
        <v>3117</v>
      </c>
      <c r="F490">
        <v>511645</v>
      </c>
      <c r="G490">
        <v>513605</v>
      </c>
      <c r="H490" t="s">
        <v>695</v>
      </c>
      <c r="I490" t="s">
        <v>691</v>
      </c>
      <c r="J490" s="51">
        <v>6.1747685185185183E-2</v>
      </c>
      <c r="K490" t="s">
        <v>140</v>
      </c>
      <c r="L490" t="s">
        <v>696</v>
      </c>
      <c r="M490" t="s">
        <v>697</v>
      </c>
      <c r="N490" t="s">
        <v>324</v>
      </c>
      <c r="O490" t="s">
        <v>164</v>
      </c>
      <c r="P490" t="s">
        <v>698</v>
      </c>
      <c r="Q490" t="s">
        <v>699</v>
      </c>
      <c r="R490" t="s">
        <v>147</v>
      </c>
      <c r="S490" t="s">
        <v>148</v>
      </c>
      <c r="T490" t="s">
        <v>288</v>
      </c>
      <c r="U490" t="s">
        <v>171</v>
      </c>
      <c r="V490">
        <v>4</v>
      </c>
      <c r="W490" t="s">
        <v>269</v>
      </c>
      <c r="X490" t="s">
        <v>3118</v>
      </c>
      <c r="Y490" t="s">
        <v>153</v>
      </c>
      <c r="Z490" s="53" t="s">
        <v>3119</v>
      </c>
      <c r="AA490">
        <v>1</v>
      </c>
      <c r="AB490"/>
      <c r="AC490">
        <v>1</v>
      </c>
      <c r="AD490"/>
      <c r="AE490"/>
      <c r="AF490"/>
      <c r="BG490" t="str">
        <f t="shared" si="8"/>
        <v/>
      </c>
      <c r="BH490" s="3" t="str" cm="1">
        <f t="array" ref="BH490">IF(AE490=1, _xlfn.TEXTJOIN(" &amp; ", TRUE, _xlfn._xlws.FILTER($AG$2:$BC$2, AG490:BC490=1)), "")</f>
        <v/>
      </c>
    </row>
    <row r="491" spans="1:60" x14ac:dyDescent="0.3">
      <c r="A491" t="s">
        <v>691</v>
      </c>
      <c r="B491" t="s">
        <v>3120</v>
      </c>
      <c r="C491" t="s">
        <v>693</v>
      </c>
      <c r="D491">
        <v>2022</v>
      </c>
      <c r="E491" s="52" t="s">
        <v>3121</v>
      </c>
      <c r="F491">
        <v>773831</v>
      </c>
      <c r="G491">
        <v>777018</v>
      </c>
      <c r="H491" t="s">
        <v>704</v>
      </c>
      <c r="I491" t="s">
        <v>691</v>
      </c>
      <c r="J491" s="51">
        <v>6.1747685185185183E-2</v>
      </c>
      <c r="K491" t="s">
        <v>140</v>
      </c>
      <c r="L491" t="s">
        <v>696</v>
      </c>
      <c r="M491" t="s">
        <v>697</v>
      </c>
      <c r="N491" t="s">
        <v>143</v>
      </c>
      <c r="O491" t="s">
        <v>144</v>
      </c>
      <c r="P491" t="s">
        <v>698</v>
      </c>
      <c r="Q491" t="s">
        <v>146</v>
      </c>
      <c r="R491" t="s">
        <v>147</v>
      </c>
      <c r="S491" t="s">
        <v>148</v>
      </c>
      <c r="T491" t="s">
        <v>189</v>
      </c>
      <c r="U491" t="s">
        <v>151</v>
      </c>
      <c r="V491">
        <v>4</v>
      </c>
      <c r="W491" t="s">
        <v>269</v>
      </c>
      <c r="X491" t="s">
        <v>3122</v>
      </c>
      <c r="Y491" t="s">
        <v>153</v>
      </c>
      <c r="Z491" s="53" t="s">
        <v>3123</v>
      </c>
      <c r="AA491">
        <v>1</v>
      </c>
      <c r="AB491">
        <v>1</v>
      </c>
      <c r="AC491"/>
      <c r="AD491"/>
      <c r="AE491"/>
      <c r="AF491"/>
      <c r="BG491" t="str">
        <f t="shared" si="8"/>
        <v/>
      </c>
      <c r="BH491" s="3" t="str" cm="1">
        <f t="array" ref="BH491">IF(AE491=1, _xlfn.TEXTJOIN(" &amp; ", TRUE, _xlfn._xlws.FILTER($AG$2:$BC$2, AG491:BC491=1)), "")</f>
        <v/>
      </c>
    </row>
    <row r="492" spans="1:60" x14ac:dyDescent="0.3">
      <c r="A492" t="s">
        <v>691</v>
      </c>
      <c r="B492" t="s">
        <v>692</v>
      </c>
      <c r="C492" t="s">
        <v>693</v>
      </c>
      <c r="D492">
        <v>2022</v>
      </c>
      <c r="E492" s="52" t="s">
        <v>694</v>
      </c>
      <c r="F492">
        <v>1265795</v>
      </c>
      <c r="G492">
        <v>1266156</v>
      </c>
      <c r="H492" t="s">
        <v>695</v>
      </c>
      <c r="I492" t="s">
        <v>691</v>
      </c>
      <c r="J492" s="51">
        <v>6.1747685185185183E-2</v>
      </c>
      <c r="K492" t="s">
        <v>140</v>
      </c>
      <c r="L492" t="s">
        <v>696</v>
      </c>
      <c r="M492" t="s">
        <v>697</v>
      </c>
      <c r="N492" t="s">
        <v>324</v>
      </c>
      <c r="O492" t="s">
        <v>164</v>
      </c>
      <c r="P492" t="s">
        <v>698</v>
      </c>
      <c r="Q492" t="s">
        <v>699</v>
      </c>
      <c r="R492" t="s">
        <v>147</v>
      </c>
      <c r="S492" t="s">
        <v>148</v>
      </c>
      <c r="T492" t="s">
        <v>288</v>
      </c>
      <c r="U492" t="s">
        <v>171</v>
      </c>
      <c r="V492">
        <v>4</v>
      </c>
      <c r="W492" t="s">
        <v>269</v>
      </c>
      <c r="X492" t="s">
        <v>700</v>
      </c>
      <c r="Y492" t="s">
        <v>153</v>
      </c>
      <c r="Z492" s="53" t="s">
        <v>701</v>
      </c>
      <c r="AA492"/>
      <c r="AB492"/>
      <c r="AC492"/>
      <c r="AD492"/>
      <c r="AE492">
        <v>1</v>
      </c>
      <c r="AF492"/>
      <c r="AV492" s="9">
        <v>1</v>
      </c>
      <c r="BG492" t="str">
        <f t="shared" si="8"/>
        <v>Metatestuale</v>
      </c>
      <c r="BH492" s="3" t="str" cm="1">
        <f t="array" ref="BH492">IF(AE492=1, _xlfn.TEXTJOIN(" &amp; ", TRUE, _xlfn._xlws.FILTER($AG$2:$BC$2, AG492:BC492=1)), "")</f>
        <v>Filler, riempimento dei tempi di formulazione</v>
      </c>
    </row>
    <row r="493" spans="1:60" x14ac:dyDescent="0.3">
      <c r="A493" t="s">
        <v>691</v>
      </c>
      <c r="B493" t="s">
        <v>3124</v>
      </c>
      <c r="C493" t="s">
        <v>693</v>
      </c>
      <c r="D493">
        <v>2022</v>
      </c>
      <c r="E493" s="52" t="s">
        <v>3125</v>
      </c>
      <c r="F493">
        <v>2044936</v>
      </c>
      <c r="G493">
        <v>2047015</v>
      </c>
      <c r="H493" t="s">
        <v>3126</v>
      </c>
      <c r="I493" t="s">
        <v>691</v>
      </c>
      <c r="J493" s="51">
        <v>6.1747685185185183E-2</v>
      </c>
      <c r="K493" t="s">
        <v>140</v>
      </c>
      <c r="L493" t="s">
        <v>696</v>
      </c>
      <c r="M493" t="s">
        <v>697</v>
      </c>
      <c r="N493" t="s">
        <v>143</v>
      </c>
      <c r="O493" t="s">
        <v>144</v>
      </c>
      <c r="P493" t="s">
        <v>698</v>
      </c>
      <c r="Q493" t="s">
        <v>146</v>
      </c>
      <c r="R493" t="s">
        <v>147</v>
      </c>
      <c r="S493" t="s">
        <v>148</v>
      </c>
      <c r="T493" t="s">
        <v>189</v>
      </c>
      <c r="U493" t="s">
        <v>151</v>
      </c>
      <c r="V493">
        <v>4</v>
      </c>
      <c r="W493" t="s">
        <v>269</v>
      </c>
      <c r="X493" t="s">
        <v>3127</v>
      </c>
      <c r="Y493" t="s">
        <v>153</v>
      </c>
      <c r="Z493" s="53" t="s">
        <v>3128</v>
      </c>
      <c r="AA493">
        <v>1</v>
      </c>
      <c r="AB493"/>
      <c r="AC493">
        <v>1</v>
      </c>
      <c r="AD493"/>
      <c r="AE493"/>
      <c r="AF493"/>
      <c r="BG493" t="str">
        <f t="shared" si="8"/>
        <v/>
      </c>
      <c r="BH493" s="3" t="str" cm="1">
        <f t="array" ref="BH493">IF(AE493=1, _xlfn.TEXTJOIN(" &amp; ", TRUE, _xlfn._xlws.FILTER($AG$2:$BC$2, AG493:BC493=1)), "")</f>
        <v/>
      </c>
    </row>
    <row r="494" spans="1:60" x14ac:dyDescent="0.3">
      <c r="A494" t="s">
        <v>691</v>
      </c>
      <c r="B494" t="s">
        <v>3129</v>
      </c>
      <c r="C494" t="s">
        <v>693</v>
      </c>
      <c r="D494">
        <v>2022</v>
      </c>
      <c r="E494" s="52" t="s">
        <v>3130</v>
      </c>
      <c r="F494">
        <v>2745541</v>
      </c>
      <c r="G494">
        <v>2746718</v>
      </c>
      <c r="H494" t="s">
        <v>3126</v>
      </c>
      <c r="I494" t="s">
        <v>691</v>
      </c>
      <c r="J494" s="51">
        <v>6.1747685185185183E-2</v>
      </c>
      <c r="K494" t="s">
        <v>140</v>
      </c>
      <c r="L494" t="s">
        <v>696</v>
      </c>
      <c r="M494" t="s">
        <v>697</v>
      </c>
      <c r="N494" t="s">
        <v>143</v>
      </c>
      <c r="O494" t="s">
        <v>144</v>
      </c>
      <c r="P494" t="s">
        <v>698</v>
      </c>
      <c r="Q494" t="s">
        <v>146</v>
      </c>
      <c r="R494" t="s">
        <v>147</v>
      </c>
      <c r="S494" t="s">
        <v>148</v>
      </c>
      <c r="T494" t="s">
        <v>189</v>
      </c>
      <c r="U494" t="s">
        <v>151</v>
      </c>
      <c r="V494">
        <v>4</v>
      </c>
      <c r="W494" t="s">
        <v>269</v>
      </c>
      <c r="X494" t="s">
        <v>3131</v>
      </c>
      <c r="Y494" t="s">
        <v>153</v>
      </c>
      <c r="Z494" s="53" t="s">
        <v>3132</v>
      </c>
      <c r="AA494">
        <v>1</v>
      </c>
      <c r="AB494"/>
      <c r="AC494">
        <v>1</v>
      </c>
      <c r="AD494"/>
      <c r="AE494"/>
      <c r="AF494"/>
      <c r="BG494" t="str">
        <f t="shared" si="8"/>
        <v/>
      </c>
      <c r="BH494" s="3" t="str" cm="1">
        <f t="array" ref="BH494">IF(AE494=1, _xlfn.TEXTJOIN(" &amp; ", TRUE, _xlfn._xlws.FILTER($AG$2:$BC$2, AG494:BC494=1)), "")</f>
        <v/>
      </c>
    </row>
    <row r="495" spans="1:60" x14ac:dyDescent="0.3">
      <c r="A495" t="s">
        <v>691</v>
      </c>
      <c r="B495" t="s">
        <v>3133</v>
      </c>
      <c r="C495" t="s">
        <v>693</v>
      </c>
      <c r="D495">
        <v>2022</v>
      </c>
      <c r="E495" s="52" t="s">
        <v>3134</v>
      </c>
      <c r="F495">
        <v>3695932</v>
      </c>
      <c r="G495">
        <v>3696480</v>
      </c>
      <c r="H495" t="s">
        <v>695</v>
      </c>
      <c r="I495" t="s">
        <v>691</v>
      </c>
      <c r="J495" s="51">
        <v>6.1747685185185183E-2</v>
      </c>
      <c r="K495" t="s">
        <v>140</v>
      </c>
      <c r="L495" t="s">
        <v>696</v>
      </c>
      <c r="M495" t="s">
        <v>697</v>
      </c>
      <c r="N495" t="s">
        <v>324</v>
      </c>
      <c r="O495" t="s">
        <v>164</v>
      </c>
      <c r="P495" t="s">
        <v>698</v>
      </c>
      <c r="Q495" t="s">
        <v>699</v>
      </c>
      <c r="R495" t="s">
        <v>147</v>
      </c>
      <c r="S495" t="s">
        <v>148</v>
      </c>
      <c r="T495" t="s">
        <v>288</v>
      </c>
      <c r="U495" t="s">
        <v>171</v>
      </c>
      <c r="V495">
        <v>4</v>
      </c>
      <c r="W495" t="s">
        <v>269</v>
      </c>
      <c r="X495" t="s">
        <v>3135</v>
      </c>
      <c r="Y495" t="s">
        <v>153</v>
      </c>
      <c r="Z495" s="53" t="s">
        <v>3136</v>
      </c>
      <c r="AA495">
        <v>1</v>
      </c>
      <c r="AB495"/>
      <c r="AC495"/>
      <c r="AD495">
        <v>1</v>
      </c>
      <c r="AE495"/>
      <c r="AF495"/>
      <c r="BG495" t="str">
        <f t="shared" si="8"/>
        <v/>
      </c>
      <c r="BH495" s="3" t="str" cm="1">
        <f t="array" ref="BH495">IF(AE495=1, _xlfn.TEXTJOIN(" &amp; ", TRUE, _xlfn._xlws.FILTER($AG$2:$BC$2, AG495:BC495=1)), "")</f>
        <v/>
      </c>
    </row>
    <row r="496" spans="1:60" x14ac:dyDescent="0.3">
      <c r="A496" t="s">
        <v>691</v>
      </c>
      <c r="B496" t="s">
        <v>3137</v>
      </c>
      <c r="C496" t="s">
        <v>693</v>
      </c>
      <c r="D496">
        <v>2022</v>
      </c>
      <c r="E496" s="52" t="s">
        <v>3138</v>
      </c>
      <c r="F496">
        <v>4036228</v>
      </c>
      <c r="G496">
        <v>4041278</v>
      </c>
      <c r="H496" t="s">
        <v>704</v>
      </c>
      <c r="I496" t="s">
        <v>691</v>
      </c>
      <c r="J496" s="51">
        <v>6.1747685185185183E-2</v>
      </c>
      <c r="K496" t="s">
        <v>140</v>
      </c>
      <c r="L496" t="s">
        <v>696</v>
      </c>
      <c r="M496" t="s">
        <v>697</v>
      </c>
      <c r="N496" t="s">
        <v>143</v>
      </c>
      <c r="O496" t="s">
        <v>144</v>
      </c>
      <c r="P496" t="s">
        <v>698</v>
      </c>
      <c r="Q496" t="s">
        <v>146</v>
      </c>
      <c r="R496" t="s">
        <v>147</v>
      </c>
      <c r="S496" t="s">
        <v>148</v>
      </c>
      <c r="T496" t="s">
        <v>189</v>
      </c>
      <c r="U496" t="s">
        <v>151</v>
      </c>
      <c r="V496">
        <v>4</v>
      </c>
      <c r="W496" t="s">
        <v>269</v>
      </c>
      <c r="X496" t="s">
        <v>3139</v>
      </c>
      <c r="Y496" t="s">
        <v>153</v>
      </c>
      <c r="Z496" s="53" t="s">
        <v>3140</v>
      </c>
      <c r="AA496">
        <v>1</v>
      </c>
      <c r="AB496">
        <v>1</v>
      </c>
      <c r="AC496"/>
      <c r="AD496"/>
      <c r="AE496"/>
      <c r="AF496"/>
      <c r="BG496" t="str">
        <f t="shared" si="8"/>
        <v/>
      </c>
      <c r="BH496" s="3" t="str" cm="1">
        <f t="array" ref="BH496">IF(AE496=1, _xlfn.TEXTJOIN(" &amp; ", TRUE, _xlfn._xlws.FILTER($AG$2:$BC$2, AG496:BC496=1)), "")</f>
        <v/>
      </c>
    </row>
    <row r="497" spans="1:60" x14ac:dyDescent="0.3">
      <c r="A497" t="s">
        <v>691</v>
      </c>
      <c r="B497" t="s">
        <v>702</v>
      </c>
      <c r="C497" t="s">
        <v>693</v>
      </c>
      <c r="D497">
        <v>2022</v>
      </c>
      <c r="E497" s="52" t="s">
        <v>703</v>
      </c>
      <c r="F497">
        <v>4093366</v>
      </c>
      <c r="G497">
        <v>4096396</v>
      </c>
      <c r="H497" t="s">
        <v>704</v>
      </c>
      <c r="I497" t="s">
        <v>691</v>
      </c>
      <c r="J497" s="51">
        <v>6.1747685185185183E-2</v>
      </c>
      <c r="K497" t="s">
        <v>140</v>
      </c>
      <c r="L497" t="s">
        <v>696</v>
      </c>
      <c r="M497" t="s">
        <v>697</v>
      </c>
      <c r="N497" t="s">
        <v>143</v>
      </c>
      <c r="O497" t="s">
        <v>144</v>
      </c>
      <c r="P497" t="s">
        <v>698</v>
      </c>
      <c r="Q497" t="s">
        <v>146</v>
      </c>
      <c r="R497" t="s">
        <v>147</v>
      </c>
      <c r="S497" t="s">
        <v>148</v>
      </c>
      <c r="T497" t="s">
        <v>189</v>
      </c>
      <c r="U497" t="s">
        <v>151</v>
      </c>
      <c r="V497">
        <v>4</v>
      </c>
      <c r="W497" t="s">
        <v>269</v>
      </c>
      <c r="X497" t="s">
        <v>705</v>
      </c>
      <c r="Y497" t="s">
        <v>153</v>
      </c>
      <c r="Z497" s="53" t="s">
        <v>706</v>
      </c>
      <c r="AA497">
        <v>1</v>
      </c>
      <c r="AB497"/>
      <c r="AC497">
        <v>1</v>
      </c>
      <c r="AD497"/>
      <c r="AE497"/>
      <c r="AF497"/>
      <c r="BG497" t="str">
        <f t="shared" si="8"/>
        <v/>
      </c>
      <c r="BH497" s="3" t="str" cm="1">
        <f t="array" ref="BH497">IF(AE497=1, _xlfn.TEXTJOIN(" &amp; ", TRUE, _xlfn._xlws.FILTER($AG$2:$BC$2, AG497:BC497=1)), "")</f>
        <v/>
      </c>
    </row>
    <row r="498" spans="1:60" x14ac:dyDescent="0.3">
      <c r="A498" t="s">
        <v>691</v>
      </c>
      <c r="B498" t="s">
        <v>3141</v>
      </c>
      <c r="C498" t="s">
        <v>693</v>
      </c>
      <c r="D498">
        <v>2022</v>
      </c>
      <c r="E498" s="52" t="s">
        <v>3142</v>
      </c>
      <c r="F498">
        <v>4479057</v>
      </c>
      <c r="G498">
        <v>4479998</v>
      </c>
      <c r="H498" t="s">
        <v>704</v>
      </c>
      <c r="I498" t="s">
        <v>691</v>
      </c>
      <c r="J498" s="51">
        <v>6.1747685185185183E-2</v>
      </c>
      <c r="K498" t="s">
        <v>140</v>
      </c>
      <c r="L498" t="s">
        <v>696</v>
      </c>
      <c r="M498" t="s">
        <v>697</v>
      </c>
      <c r="N498" t="s">
        <v>143</v>
      </c>
      <c r="O498" t="s">
        <v>144</v>
      </c>
      <c r="P498" t="s">
        <v>698</v>
      </c>
      <c r="Q498" t="s">
        <v>146</v>
      </c>
      <c r="R498" t="s">
        <v>147</v>
      </c>
      <c r="S498" t="s">
        <v>148</v>
      </c>
      <c r="T498" t="s">
        <v>189</v>
      </c>
      <c r="U498" t="s">
        <v>151</v>
      </c>
      <c r="V498">
        <v>4</v>
      </c>
      <c r="W498" t="s">
        <v>269</v>
      </c>
      <c r="X498" t="s">
        <v>3143</v>
      </c>
      <c r="Y498" t="s">
        <v>153</v>
      </c>
      <c r="Z498" s="53" t="s">
        <v>3144</v>
      </c>
      <c r="AA498">
        <v>1</v>
      </c>
      <c r="AB498"/>
      <c r="AC498">
        <v>1</v>
      </c>
      <c r="AD498"/>
      <c r="AE498"/>
      <c r="AF498"/>
      <c r="BG498" t="str">
        <f t="shared" si="8"/>
        <v/>
      </c>
      <c r="BH498" s="3" t="str" cm="1">
        <f t="array" ref="BH498">IF(AE498=1, _xlfn.TEXTJOIN(" &amp; ", TRUE, _xlfn._xlws.FILTER($AG$2:$BC$2, AG498:BC498=1)), "")</f>
        <v/>
      </c>
    </row>
    <row r="499" spans="1:60" x14ac:dyDescent="0.3">
      <c r="A499" t="s">
        <v>691</v>
      </c>
      <c r="B499" t="s">
        <v>3145</v>
      </c>
      <c r="C499" t="s">
        <v>693</v>
      </c>
      <c r="D499">
        <v>2022</v>
      </c>
      <c r="E499" s="52" t="s">
        <v>3146</v>
      </c>
      <c r="F499">
        <v>4752827</v>
      </c>
      <c r="G499">
        <v>4754046</v>
      </c>
      <c r="H499" t="s">
        <v>695</v>
      </c>
      <c r="I499" t="s">
        <v>691</v>
      </c>
      <c r="J499" s="51">
        <v>6.1747685185185183E-2</v>
      </c>
      <c r="K499" t="s">
        <v>140</v>
      </c>
      <c r="L499" t="s">
        <v>696</v>
      </c>
      <c r="M499" t="s">
        <v>697</v>
      </c>
      <c r="N499" t="s">
        <v>324</v>
      </c>
      <c r="O499" t="s">
        <v>164</v>
      </c>
      <c r="P499" t="s">
        <v>698</v>
      </c>
      <c r="Q499" t="s">
        <v>699</v>
      </c>
      <c r="R499" t="s">
        <v>147</v>
      </c>
      <c r="S499" t="s">
        <v>148</v>
      </c>
      <c r="T499" t="s">
        <v>288</v>
      </c>
      <c r="U499" t="s">
        <v>171</v>
      </c>
      <c r="V499">
        <v>4</v>
      </c>
      <c r="W499" t="s">
        <v>269</v>
      </c>
      <c r="X499" t="s">
        <v>3147</v>
      </c>
      <c r="Y499" t="s">
        <v>153</v>
      </c>
      <c r="Z499" s="53" t="s">
        <v>3148</v>
      </c>
      <c r="AA499">
        <v>1</v>
      </c>
      <c r="AB499"/>
      <c r="AC499"/>
      <c r="AD499">
        <v>1</v>
      </c>
      <c r="AE499"/>
      <c r="AF499"/>
      <c r="BG499" t="str">
        <f t="shared" si="8"/>
        <v/>
      </c>
      <c r="BH499" s="3" t="str" cm="1">
        <f t="array" ref="BH499">IF(AE499=1, _xlfn.TEXTJOIN(" &amp; ", TRUE, _xlfn._xlws.FILTER($AG$2:$BC$2, AG499:BC499=1)), "")</f>
        <v/>
      </c>
    </row>
    <row r="500" spans="1:60" x14ac:dyDescent="0.3">
      <c r="A500" t="s">
        <v>691</v>
      </c>
      <c r="B500" t="s">
        <v>3149</v>
      </c>
      <c r="C500" t="s">
        <v>693</v>
      </c>
      <c r="D500">
        <v>2022</v>
      </c>
      <c r="E500" s="52" t="s">
        <v>3146</v>
      </c>
      <c r="F500">
        <v>4752827</v>
      </c>
      <c r="G500">
        <v>4754046</v>
      </c>
      <c r="H500" t="s">
        <v>695</v>
      </c>
      <c r="I500" t="s">
        <v>691</v>
      </c>
      <c r="J500" s="51">
        <v>6.1747685185185183E-2</v>
      </c>
      <c r="K500" t="s">
        <v>140</v>
      </c>
      <c r="L500" t="s">
        <v>696</v>
      </c>
      <c r="M500" t="s">
        <v>697</v>
      </c>
      <c r="N500" t="s">
        <v>324</v>
      </c>
      <c r="O500" t="s">
        <v>164</v>
      </c>
      <c r="P500" t="s">
        <v>698</v>
      </c>
      <c r="Q500" t="s">
        <v>699</v>
      </c>
      <c r="R500" t="s">
        <v>147</v>
      </c>
      <c r="S500" t="s">
        <v>148</v>
      </c>
      <c r="T500" t="s">
        <v>288</v>
      </c>
      <c r="U500" t="s">
        <v>171</v>
      </c>
      <c r="V500">
        <v>4</v>
      </c>
      <c r="W500" t="s">
        <v>269</v>
      </c>
      <c r="X500" t="s">
        <v>3150</v>
      </c>
      <c r="Y500" t="s">
        <v>153</v>
      </c>
      <c r="Z500" s="53" t="s">
        <v>3151</v>
      </c>
      <c r="AA500">
        <v>1</v>
      </c>
      <c r="AB500"/>
      <c r="AC500"/>
      <c r="AD500">
        <v>1</v>
      </c>
      <c r="AE500"/>
      <c r="AF500"/>
      <c r="BG500" t="str">
        <f t="shared" si="8"/>
        <v/>
      </c>
      <c r="BH500" s="3" t="str" cm="1">
        <f t="array" ref="BH500">IF(AE500=1, _xlfn.TEXTJOIN(" &amp; ", TRUE, _xlfn._xlws.FILTER($AG$2:$BC$2, AG500:BC500=1)), "")</f>
        <v/>
      </c>
    </row>
    <row r="501" spans="1:60" x14ac:dyDescent="0.3">
      <c r="A501" t="s">
        <v>707</v>
      </c>
      <c r="B501" t="s">
        <v>708</v>
      </c>
      <c r="C501" t="s">
        <v>709</v>
      </c>
      <c r="D501">
        <v>2024</v>
      </c>
      <c r="E501" s="52" t="s">
        <v>710</v>
      </c>
      <c r="F501">
        <v>2267825</v>
      </c>
      <c r="G501">
        <v>2271530</v>
      </c>
      <c r="H501" t="s">
        <v>711</v>
      </c>
      <c r="I501" t="s">
        <v>707</v>
      </c>
      <c r="J501" s="51">
        <v>3.574074074074074E-2</v>
      </c>
      <c r="K501" t="s">
        <v>140</v>
      </c>
      <c r="L501" t="s">
        <v>712</v>
      </c>
      <c r="M501" t="s">
        <v>713</v>
      </c>
      <c r="N501" t="s">
        <v>143</v>
      </c>
      <c r="O501" t="s">
        <v>144</v>
      </c>
      <c r="P501" t="s">
        <v>119</v>
      </c>
      <c r="Q501" t="s">
        <v>146</v>
      </c>
      <c r="R501" t="s">
        <v>147</v>
      </c>
      <c r="S501" t="s">
        <v>148</v>
      </c>
      <c r="T501" t="s">
        <v>714</v>
      </c>
      <c r="U501" t="s">
        <v>151</v>
      </c>
      <c r="V501">
        <v>3</v>
      </c>
      <c r="W501" t="s">
        <v>269</v>
      </c>
      <c r="X501" t="s">
        <v>715</v>
      </c>
      <c r="Y501" t="s">
        <v>153</v>
      </c>
      <c r="Z501" s="53" t="s">
        <v>716</v>
      </c>
      <c r="AA501">
        <v>1</v>
      </c>
      <c r="AB501"/>
      <c r="AC501">
        <v>1</v>
      </c>
      <c r="AD501"/>
      <c r="AE501"/>
      <c r="AF501"/>
      <c r="BG501" t="str">
        <f t="shared" si="8"/>
        <v/>
      </c>
      <c r="BH501" s="3" t="str" cm="1">
        <f t="array" ref="BH501">IF(AE501=1, _xlfn.TEXTJOIN(" &amp; ", TRUE, _xlfn._xlws.FILTER($AG$2:$BC$2, AG501:BC501=1)), "")</f>
        <v/>
      </c>
    </row>
    <row r="502" spans="1:60" x14ac:dyDescent="0.3">
      <c r="A502" t="s">
        <v>707</v>
      </c>
      <c r="B502" t="s">
        <v>3152</v>
      </c>
      <c r="C502" t="s">
        <v>709</v>
      </c>
      <c r="D502">
        <v>2024</v>
      </c>
      <c r="E502" s="52" t="s">
        <v>3153</v>
      </c>
      <c r="F502">
        <v>2368971</v>
      </c>
      <c r="G502">
        <v>2371801</v>
      </c>
      <c r="H502" t="s">
        <v>3154</v>
      </c>
      <c r="I502" t="s">
        <v>707</v>
      </c>
      <c r="J502" s="51">
        <v>3.574074074074074E-2</v>
      </c>
      <c r="K502" t="s">
        <v>140</v>
      </c>
      <c r="L502" t="s">
        <v>712</v>
      </c>
      <c r="M502" t="s">
        <v>713</v>
      </c>
      <c r="N502" t="s">
        <v>415</v>
      </c>
      <c r="O502" t="s">
        <v>164</v>
      </c>
      <c r="P502" t="s">
        <v>119</v>
      </c>
      <c r="Q502" t="s">
        <v>179</v>
      </c>
      <c r="R502" t="s">
        <v>147</v>
      </c>
      <c r="S502" t="s">
        <v>148</v>
      </c>
      <c r="T502" t="s">
        <v>373</v>
      </c>
      <c r="U502" t="s">
        <v>198</v>
      </c>
      <c r="V502">
        <v>3</v>
      </c>
      <c r="W502" t="s">
        <v>269</v>
      </c>
      <c r="X502" t="s">
        <v>3155</v>
      </c>
      <c r="Y502" t="s">
        <v>153</v>
      </c>
      <c r="Z502" s="53" t="s">
        <v>3156</v>
      </c>
      <c r="AA502">
        <v>1</v>
      </c>
      <c r="AB502"/>
      <c r="AC502">
        <v>1</v>
      </c>
      <c r="AD502"/>
      <c r="AE502"/>
      <c r="AF502"/>
      <c r="BG502" t="str">
        <f t="shared" si="8"/>
        <v/>
      </c>
      <c r="BH502" s="3" t="str" cm="1">
        <f t="array" ref="BH502">IF(AE502=1, _xlfn.TEXTJOIN(" &amp; ", TRUE, _xlfn._xlws.FILTER($AG$2:$BC$2, AG502:BC502=1)), "")</f>
        <v/>
      </c>
    </row>
    <row r="503" spans="1:60" x14ac:dyDescent="0.3">
      <c r="A503" t="s">
        <v>717</v>
      </c>
      <c r="B503" t="s">
        <v>3157</v>
      </c>
      <c r="C503" t="s">
        <v>718</v>
      </c>
      <c r="D503">
        <v>2020</v>
      </c>
      <c r="E503" s="52" t="s">
        <v>3158</v>
      </c>
      <c r="F503">
        <v>321716</v>
      </c>
      <c r="G503">
        <v>323679</v>
      </c>
      <c r="H503" t="s">
        <v>3159</v>
      </c>
      <c r="I503" t="s">
        <v>717</v>
      </c>
      <c r="J503" s="51">
        <v>3.1122685185185184E-2</v>
      </c>
      <c r="K503" t="s">
        <v>140</v>
      </c>
      <c r="L503" t="s">
        <v>720</v>
      </c>
      <c r="M503" t="s">
        <v>721</v>
      </c>
      <c r="N503" t="s">
        <v>336</v>
      </c>
      <c r="O503" t="s">
        <v>164</v>
      </c>
      <c r="P503" t="s">
        <v>287</v>
      </c>
      <c r="Q503" t="s">
        <v>146</v>
      </c>
      <c r="R503" t="s">
        <v>147</v>
      </c>
      <c r="S503" t="s">
        <v>148</v>
      </c>
      <c r="T503" t="s">
        <v>288</v>
      </c>
      <c r="U503" t="s">
        <v>151</v>
      </c>
      <c r="V503">
        <v>2</v>
      </c>
      <c r="W503" t="s">
        <v>269</v>
      </c>
      <c r="X503" t="s">
        <v>3160</v>
      </c>
      <c r="Y503" t="s">
        <v>153</v>
      </c>
      <c r="Z503" s="53" t="s">
        <v>3161</v>
      </c>
      <c r="AA503">
        <v>1</v>
      </c>
      <c r="AB503"/>
      <c r="AC503">
        <v>1</v>
      </c>
      <c r="AD503"/>
      <c r="AE503"/>
      <c r="AF503"/>
      <c r="BG503" t="str">
        <f t="shared" si="8"/>
        <v/>
      </c>
      <c r="BH503" s="3" t="str" cm="1">
        <f t="array" ref="BH503">IF(AE503=1, _xlfn.TEXTJOIN(" &amp; ", TRUE, _xlfn._xlws.FILTER($AG$2:$BC$2, AG503:BC503=1)), "")</f>
        <v/>
      </c>
    </row>
    <row r="504" spans="1:60" x14ac:dyDescent="0.3">
      <c r="A504" t="s">
        <v>717</v>
      </c>
      <c r="B504" t="s">
        <v>3162</v>
      </c>
      <c r="C504" t="s">
        <v>718</v>
      </c>
      <c r="D504">
        <v>2020</v>
      </c>
      <c r="E504" s="52" t="s">
        <v>3163</v>
      </c>
      <c r="F504">
        <v>946645</v>
      </c>
      <c r="G504">
        <v>947182</v>
      </c>
      <c r="H504" t="s">
        <v>3159</v>
      </c>
      <c r="I504" t="s">
        <v>717</v>
      </c>
      <c r="J504" s="51">
        <v>3.1122685185185184E-2</v>
      </c>
      <c r="K504" t="s">
        <v>140</v>
      </c>
      <c r="L504" t="s">
        <v>720</v>
      </c>
      <c r="M504" t="s">
        <v>721</v>
      </c>
      <c r="N504" t="s">
        <v>336</v>
      </c>
      <c r="O504" t="s">
        <v>164</v>
      </c>
      <c r="P504" t="s">
        <v>287</v>
      </c>
      <c r="Q504" t="s">
        <v>146</v>
      </c>
      <c r="R504" t="s">
        <v>147</v>
      </c>
      <c r="S504" t="s">
        <v>148</v>
      </c>
      <c r="T504" t="s">
        <v>288</v>
      </c>
      <c r="U504" t="s">
        <v>151</v>
      </c>
      <c r="V504">
        <v>2</v>
      </c>
      <c r="W504" t="s">
        <v>269</v>
      </c>
      <c r="X504" t="s">
        <v>3164</v>
      </c>
      <c r="Y504" t="s">
        <v>153</v>
      </c>
      <c r="Z504" s="53" t="s">
        <v>3165</v>
      </c>
      <c r="AA504"/>
      <c r="AB504"/>
      <c r="AC504"/>
      <c r="AD504"/>
      <c r="AE504">
        <v>1</v>
      </c>
      <c r="AF504"/>
      <c r="AM504" s="7">
        <v>1</v>
      </c>
      <c r="BG504" t="str">
        <f t="shared" si="8"/>
        <v>Interazionale</v>
      </c>
      <c r="BH504" s="3" t="str" cm="1">
        <f t="array" ref="BH504">IF(AE504=1, _xlfn.TEXTJOIN(" &amp; ", TRUE, _xlfn._xlws.FILTER($AG$2:$BC$2, AG504:BC504=1)), "")</f>
        <v>Marcatura della conoscenza condivisa</v>
      </c>
    </row>
    <row r="505" spans="1:60" x14ac:dyDescent="0.3">
      <c r="A505" t="s">
        <v>717</v>
      </c>
      <c r="B505" t="s">
        <v>3166</v>
      </c>
      <c r="C505" t="s">
        <v>718</v>
      </c>
      <c r="D505">
        <v>2020</v>
      </c>
      <c r="E505" s="52" t="s">
        <v>3167</v>
      </c>
      <c r="F505">
        <v>1567819</v>
      </c>
      <c r="G505">
        <v>1568556</v>
      </c>
      <c r="H505" t="s">
        <v>3159</v>
      </c>
      <c r="I505" t="s">
        <v>717</v>
      </c>
      <c r="J505" s="51">
        <v>3.1122685185185184E-2</v>
      </c>
      <c r="K505" t="s">
        <v>140</v>
      </c>
      <c r="L505" t="s">
        <v>720</v>
      </c>
      <c r="M505" t="s">
        <v>721</v>
      </c>
      <c r="N505" t="s">
        <v>336</v>
      </c>
      <c r="O505" t="s">
        <v>164</v>
      </c>
      <c r="P505" t="s">
        <v>287</v>
      </c>
      <c r="Q505" t="s">
        <v>146</v>
      </c>
      <c r="R505" t="s">
        <v>147</v>
      </c>
      <c r="S505" t="s">
        <v>148</v>
      </c>
      <c r="T505" t="s">
        <v>288</v>
      </c>
      <c r="U505" t="s">
        <v>151</v>
      </c>
      <c r="V505">
        <v>2</v>
      </c>
      <c r="W505" t="s">
        <v>269</v>
      </c>
      <c r="X505" t="s">
        <v>3168</v>
      </c>
      <c r="Y505" t="s">
        <v>153</v>
      </c>
      <c r="Z505" s="53" t="s">
        <v>3169</v>
      </c>
      <c r="AA505">
        <v>1</v>
      </c>
      <c r="AB505"/>
      <c r="AC505">
        <v>1</v>
      </c>
      <c r="AD505"/>
      <c r="AE505"/>
      <c r="AF505"/>
      <c r="BG505" t="str">
        <f t="shared" si="8"/>
        <v/>
      </c>
      <c r="BH505" s="3" t="str" cm="1">
        <f t="array" ref="BH505">IF(AE505=1, _xlfn.TEXTJOIN(" &amp; ", TRUE, _xlfn._xlws.FILTER($AG$2:$BC$2, AG505:BC505=1)), "")</f>
        <v/>
      </c>
    </row>
    <row r="506" spans="1:60" x14ac:dyDescent="0.3">
      <c r="A506" t="s">
        <v>717</v>
      </c>
      <c r="B506" t="s">
        <v>3170</v>
      </c>
      <c r="C506" t="s">
        <v>718</v>
      </c>
      <c r="D506">
        <v>2020</v>
      </c>
      <c r="E506" s="52" t="s">
        <v>3171</v>
      </c>
      <c r="F506">
        <v>2063436</v>
      </c>
      <c r="G506">
        <v>2066266</v>
      </c>
      <c r="H506" t="s">
        <v>3159</v>
      </c>
      <c r="I506" t="s">
        <v>717</v>
      </c>
      <c r="J506" s="51">
        <v>3.1122685185185184E-2</v>
      </c>
      <c r="K506" t="s">
        <v>140</v>
      </c>
      <c r="L506" t="s">
        <v>720</v>
      </c>
      <c r="M506" t="s">
        <v>721</v>
      </c>
      <c r="N506" t="s">
        <v>336</v>
      </c>
      <c r="O506" t="s">
        <v>164</v>
      </c>
      <c r="P506" t="s">
        <v>287</v>
      </c>
      <c r="Q506" t="s">
        <v>146</v>
      </c>
      <c r="R506" t="s">
        <v>147</v>
      </c>
      <c r="S506" t="s">
        <v>148</v>
      </c>
      <c r="T506" t="s">
        <v>288</v>
      </c>
      <c r="U506" t="s">
        <v>151</v>
      </c>
      <c r="V506">
        <v>2</v>
      </c>
      <c r="W506" t="s">
        <v>269</v>
      </c>
      <c r="X506" t="s">
        <v>3172</v>
      </c>
      <c r="Y506" t="s">
        <v>153</v>
      </c>
      <c r="Z506" s="53" t="s">
        <v>3173</v>
      </c>
      <c r="AA506"/>
      <c r="AB506"/>
      <c r="AC506"/>
      <c r="AD506"/>
      <c r="AE506">
        <v>1</v>
      </c>
      <c r="AF506"/>
      <c r="AM506" s="7">
        <v>1</v>
      </c>
      <c r="BG506" t="str">
        <f t="shared" si="8"/>
        <v>Interazionale</v>
      </c>
      <c r="BH506" s="3" t="str" cm="1">
        <f t="array" ref="BH506">IF(AE506=1, _xlfn.TEXTJOIN(" &amp; ", TRUE, _xlfn._xlws.FILTER($AG$2:$BC$2, AG506:BC506=1)), "")</f>
        <v>Marcatura della conoscenza condivisa</v>
      </c>
    </row>
    <row r="507" spans="1:60" x14ac:dyDescent="0.3">
      <c r="A507" t="s">
        <v>717</v>
      </c>
      <c r="B507" t="s">
        <v>3174</v>
      </c>
      <c r="C507" t="s">
        <v>718</v>
      </c>
      <c r="D507">
        <v>2020</v>
      </c>
      <c r="E507" s="52" t="s">
        <v>3175</v>
      </c>
      <c r="F507">
        <v>2208354</v>
      </c>
      <c r="G507">
        <v>2209694</v>
      </c>
      <c r="H507" t="s">
        <v>719</v>
      </c>
      <c r="I507" t="s">
        <v>717</v>
      </c>
      <c r="J507" s="51">
        <v>3.1122685185185184E-2</v>
      </c>
      <c r="K507" t="s">
        <v>140</v>
      </c>
      <c r="L507" t="s">
        <v>720</v>
      </c>
      <c r="M507" t="s">
        <v>721</v>
      </c>
      <c r="N507" t="s">
        <v>143</v>
      </c>
      <c r="O507" t="s">
        <v>144</v>
      </c>
      <c r="P507" t="s">
        <v>287</v>
      </c>
      <c r="Q507" t="s">
        <v>467</v>
      </c>
      <c r="R507" t="s">
        <v>147</v>
      </c>
      <c r="S507" t="s">
        <v>148</v>
      </c>
      <c r="T507" t="s">
        <v>288</v>
      </c>
      <c r="U507" t="s">
        <v>171</v>
      </c>
      <c r="V507">
        <v>2</v>
      </c>
      <c r="W507" t="s">
        <v>269</v>
      </c>
      <c r="X507" t="s">
        <v>3176</v>
      </c>
      <c r="Y507" t="s">
        <v>153</v>
      </c>
      <c r="Z507" s="53" t="s">
        <v>3177</v>
      </c>
      <c r="AA507">
        <v>1</v>
      </c>
      <c r="AB507"/>
      <c r="AC507">
        <v>1</v>
      </c>
      <c r="AD507"/>
      <c r="AE507"/>
      <c r="AF507"/>
      <c r="BG507" t="str">
        <f t="shared" si="8"/>
        <v/>
      </c>
      <c r="BH507" s="3" t="str" cm="1">
        <f t="array" ref="BH507">IF(AE507=1, _xlfn.TEXTJOIN(" &amp; ", TRUE, _xlfn._xlws.FILTER($AG$2:$BC$2, AG507:BC507=1)), "")</f>
        <v/>
      </c>
    </row>
    <row r="508" spans="1:60" x14ac:dyDescent="0.3">
      <c r="A508" t="s">
        <v>722</v>
      </c>
      <c r="B508" t="s">
        <v>3178</v>
      </c>
      <c r="C508" t="s">
        <v>723</v>
      </c>
      <c r="D508">
        <v>2022</v>
      </c>
      <c r="E508" s="52" t="s">
        <v>3179</v>
      </c>
      <c r="F508">
        <v>76170</v>
      </c>
      <c r="G508">
        <v>79186</v>
      </c>
      <c r="H508" t="s">
        <v>724</v>
      </c>
      <c r="I508" t="s">
        <v>722</v>
      </c>
      <c r="J508" s="51">
        <v>3.0532407407407407E-2</v>
      </c>
      <c r="K508" t="s">
        <v>140</v>
      </c>
      <c r="L508" t="s">
        <v>725</v>
      </c>
      <c r="M508" t="s">
        <v>726</v>
      </c>
      <c r="N508" t="s">
        <v>381</v>
      </c>
      <c r="O508" t="s">
        <v>144</v>
      </c>
      <c r="P508" t="s">
        <v>633</v>
      </c>
      <c r="Q508" t="s">
        <v>228</v>
      </c>
      <c r="R508" t="s">
        <v>147</v>
      </c>
      <c r="S508" t="s">
        <v>148</v>
      </c>
      <c r="T508" t="s">
        <v>268</v>
      </c>
      <c r="U508" t="s">
        <v>229</v>
      </c>
      <c r="V508">
        <v>3</v>
      </c>
      <c r="W508" t="s">
        <v>269</v>
      </c>
      <c r="X508" t="s">
        <v>3180</v>
      </c>
      <c r="Y508" t="s">
        <v>153</v>
      </c>
      <c r="Z508" s="53" t="s">
        <v>3181</v>
      </c>
      <c r="AA508">
        <v>1</v>
      </c>
      <c r="AB508"/>
      <c r="AC508">
        <v>1</v>
      </c>
      <c r="AD508"/>
      <c r="AE508"/>
      <c r="AF508"/>
      <c r="BG508" t="str">
        <f t="shared" si="8"/>
        <v/>
      </c>
      <c r="BH508" s="3" t="str" cm="1">
        <f t="array" ref="BH508">IF(AE508=1, _xlfn.TEXTJOIN(" &amp; ", TRUE, _xlfn._xlws.FILTER($AG$2:$BC$2, AG508:BC508=1)), "")</f>
        <v/>
      </c>
    </row>
    <row r="509" spans="1:60" x14ac:dyDescent="0.3">
      <c r="A509" t="s">
        <v>722</v>
      </c>
      <c r="B509" t="s">
        <v>3182</v>
      </c>
      <c r="C509" t="s">
        <v>723</v>
      </c>
      <c r="D509">
        <v>2022</v>
      </c>
      <c r="E509" s="52" t="s">
        <v>3183</v>
      </c>
      <c r="F509">
        <v>482644</v>
      </c>
      <c r="G509">
        <v>483127</v>
      </c>
      <c r="H509" t="s">
        <v>724</v>
      </c>
      <c r="I509" t="s">
        <v>722</v>
      </c>
      <c r="J509" s="51">
        <v>3.0532407407407407E-2</v>
      </c>
      <c r="K509" t="s">
        <v>140</v>
      </c>
      <c r="L509" t="s">
        <v>725</v>
      </c>
      <c r="M509" t="s">
        <v>726</v>
      </c>
      <c r="N509" t="s">
        <v>381</v>
      </c>
      <c r="O509" t="s">
        <v>144</v>
      </c>
      <c r="P509" t="s">
        <v>633</v>
      </c>
      <c r="Q509" t="s">
        <v>228</v>
      </c>
      <c r="R509" t="s">
        <v>147</v>
      </c>
      <c r="S509" t="s">
        <v>148</v>
      </c>
      <c r="T509" t="s">
        <v>268</v>
      </c>
      <c r="U509" t="s">
        <v>229</v>
      </c>
      <c r="V509">
        <v>3</v>
      </c>
      <c r="W509" t="s">
        <v>269</v>
      </c>
      <c r="X509" t="s">
        <v>3184</v>
      </c>
      <c r="Y509" t="s">
        <v>153</v>
      </c>
      <c r="Z509" s="53" t="s">
        <v>3185</v>
      </c>
      <c r="AA509">
        <v>1</v>
      </c>
      <c r="AB509"/>
      <c r="AC509"/>
      <c r="AD509">
        <v>1</v>
      </c>
      <c r="AE509"/>
      <c r="AF509"/>
      <c r="BG509" t="str">
        <f t="shared" si="8"/>
        <v/>
      </c>
      <c r="BH509" s="3" t="str" cm="1">
        <f t="array" ref="BH509">IF(AE509=1, _xlfn.TEXTJOIN(" &amp; ", TRUE, _xlfn._xlws.FILTER($AG$2:$BC$2, AG509:BC509=1)), "")</f>
        <v/>
      </c>
    </row>
    <row r="510" spans="1:60" x14ac:dyDescent="0.3">
      <c r="A510" t="s">
        <v>722</v>
      </c>
      <c r="B510" t="s">
        <v>3186</v>
      </c>
      <c r="C510" t="s">
        <v>723</v>
      </c>
      <c r="D510">
        <v>2022</v>
      </c>
      <c r="E510" s="52" t="s">
        <v>3187</v>
      </c>
      <c r="F510">
        <v>848847</v>
      </c>
      <c r="G510">
        <v>852774</v>
      </c>
      <c r="H510" t="s">
        <v>724</v>
      </c>
      <c r="I510" t="s">
        <v>722</v>
      </c>
      <c r="J510" s="51">
        <v>3.0532407407407407E-2</v>
      </c>
      <c r="K510" t="s">
        <v>140</v>
      </c>
      <c r="L510" t="s">
        <v>725</v>
      </c>
      <c r="M510" t="s">
        <v>726</v>
      </c>
      <c r="N510" t="s">
        <v>381</v>
      </c>
      <c r="O510" t="s">
        <v>144</v>
      </c>
      <c r="P510" t="s">
        <v>633</v>
      </c>
      <c r="Q510" t="s">
        <v>228</v>
      </c>
      <c r="R510" t="s">
        <v>147</v>
      </c>
      <c r="S510" t="s">
        <v>148</v>
      </c>
      <c r="T510" t="s">
        <v>268</v>
      </c>
      <c r="U510" t="s">
        <v>229</v>
      </c>
      <c r="V510">
        <v>3</v>
      </c>
      <c r="W510" t="s">
        <v>269</v>
      </c>
      <c r="X510" t="s">
        <v>3188</v>
      </c>
      <c r="Y510" t="s">
        <v>153</v>
      </c>
      <c r="Z510" s="53" t="s">
        <v>3189</v>
      </c>
      <c r="AA510"/>
      <c r="AB510"/>
      <c r="AC510"/>
      <c r="AD510"/>
      <c r="AE510">
        <v>1</v>
      </c>
      <c r="AF510"/>
      <c r="AP510" s="9">
        <v>1</v>
      </c>
      <c r="BG510" t="str">
        <f t="shared" si="8"/>
        <v>Metatestuale</v>
      </c>
      <c r="BH510" s="3" t="str" cm="1">
        <f t="array" ref="BH510">IF(AE510=1, _xlfn.TEXTJOIN(" &amp; ", TRUE, _xlfn._xlws.FILTER($AG$2:$BC$2, AG510:BC510=1)), "")</f>
        <v>Gestione del topic: introduzione o ripresa di topic</v>
      </c>
    </row>
    <row r="511" spans="1:60" x14ac:dyDescent="0.3">
      <c r="A511" t="s">
        <v>722</v>
      </c>
      <c r="B511" t="s">
        <v>3190</v>
      </c>
      <c r="C511" t="s">
        <v>723</v>
      </c>
      <c r="D511">
        <v>2022</v>
      </c>
      <c r="E511" s="52" t="s">
        <v>3191</v>
      </c>
      <c r="F511">
        <v>1681860</v>
      </c>
      <c r="G511">
        <v>1684804</v>
      </c>
      <c r="H511" t="s">
        <v>272</v>
      </c>
      <c r="I511" t="s">
        <v>722</v>
      </c>
      <c r="J511" s="51">
        <v>3.0532407407407407E-2</v>
      </c>
      <c r="K511" t="s">
        <v>140</v>
      </c>
      <c r="L511" t="s">
        <v>725</v>
      </c>
      <c r="M511" t="s">
        <v>726</v>
      </c>
      <c r="N511" t="s">
        <v>143</v>
      </c>
      <c r="O511" t="s">
        <v>164</v>
      </c>
      <c r="P511" t="s">
        <v>633</v>
      </c>
      <c r="Q511" t="s">
        <v>146</v>
      </c>
      <c r="R511" t="s">
        <v>147</v>
      </c>
      <c r="S511" t="s">
        <v>148</v>
      </c>
      <c r="T511" t="s">
        <v>268</v>
      </c>
      <c r="U511" t="s">
        <v>151</v>
      </c>
      <c r="V511">
        <v>3</v>
      </c>
      <c r="W511" t="s">
        <v>269</v>
      </c>
      <c r="X511" t="s">
        <v>3192</v>
      </c>
      <c r="Y511" t="s">
        <v>153</v>
      </c>
      <c r="Z511" s="53" t="s">
        <v>3193</v>
      </c>
      <c r="AA511">
        <v>1</v>
      </c>
      <c r="AB511"/>
      <c r="AC511">
        <v>1</v>
      </c>
      <c r="AD511"/>
      <c r="AE511"/>
      <c r="AF511"/>
      <c r="BG511" t="str">
        <f t="shared" si="8"/>
        <v/>
      </c>
      <c r="BH511" s="3" t="str" cm="1">
        <f t="array" ref="BH511">IF(AE511=1, _xlfn.TEXTJOIN(" &amp; ", TRUE, _xlfn._xlws.FILTER($AG$2:$BC$2, AG511:BC511=1)), "")</f>
        <v/>
      </c>
    </row>
    <row r="512" spans="1:60" x14ac:dyDescent="0.3">
      <c r="A512" t="s">
        <v>722</v>
      </c>
      <c r="B512" t="s">
        <v>3194</v>
      </c>
      <c r="C512" t="s">
        <v>723</v>
      </c>
      <c r="D512">
        <v>2022</v>
      </c>
      <c r="E512" s="52" t="s">
        <v>3195</v>
      </c>
      <c r="F512">
        <v>2216257</v>
      </c>
      <c r="G512">
        <v>2217896</v>
      </c>
      <c r="H512" t="s">
        <v>724</v>
      </c>
      <c r="I512" t="s">
        <v>722</v>
      </c>
      <c r="J512" s="51">
        <v>3.0532407407407407E-2</v>
      </c>
      <c r="K512" t="s">
        <v>140</v>
      </c>
      <c r="L512" t="s">
        <v>725</v>
      </c>
      <c r="M512" t="s">
        <v>726</v>
      </c>
      <c r="N512" t="s">
        <v>381</v>
      </c>
      <c r="O512" t="s">
        <v>144</v>
      </c>
      <c r="P512" t="s">
        <v>633</v>
      </c>
      <c r="Q512" t="s">
        <v>228</v>
      </c>
      <c r="R512" t="s">
        <v>147</v>
      </c>
      <c r="S512" t="s">
        <v>148</v>
      </c>
      <c r="T512" t="s">
        <v>268</v>
      </c>
      <c r="U512" t="s">
        <v>229</v>
      </c>
      <c r="V512">
        <v>3</v>
      </c>
      <c r="W512" t="s">
        <v>269</v>
      </c>
      <c r="X512" t="s">
        <v>3196</v>
      </c>
      <c r="Y512" t="s">
        <v>153</v>
      </c>
      <c r="Z512" s="53" t="s">
        <v>3197</v>
      </c>
      <c r="AA512"/>
      <c r="AB512"/>
      <c r="AC512"/>
      <c r="AD512"/>
      <c r="AE512">
        <v>1</v>
      </c>
      <c r="AF512"/>
      <c r="AV512" s="9">
        <v>1</v>
      </c>
      <c r="BG512" t="str">
        <f t="shared" si="8"/>
        <v>Metatestuale</v>
      </c>
      <c r="BH512" s="3" t="str" cm="1">
        <f t="array" ref="BH512">IF(AE512=1, _xlfn.TEXTJOIN(" &amp; ", TRUE, _xlfn._xlws.FILTER($AG$2:$BC$2, AG512:BC512=1)), "")</f>
        <v>Filler, riempimento dei tempi di formulazione</v>
      </c>
    </row>
    <row r="513" spans="1:60" x14ac:dyDescent="0.3">
      <c r="A513" t="s">
        <v>3198</v>
      </c>
      <c r="B513" t="s">
        <v>3199</v>
      </c>
      <c r="C513" t="s">
        <v>3200</v>
      </c>
      <c r="D513">
        <v>2022</v>
      </c>
      <c r="E513" s="52" t="s">
        <v>3201</v>
      </c>
      <c r="F513">
        <v>1832760</v>
      </c>
      <c r="G513">
        <v>1837360</v>
      </c>
      <c r="H513" t="s">
        <v>3202</v>
      </c>
      <c r="I513" t="s">
        <v>3198</v>
      </c>
      <c r="J513" s="51">
        <v>3.6793981481481483E-2</v>
      </c>
      <c r="K513" t="s">
        <v>160</v>
      </c>
      <c r="L513" t="s">
        <v>3203</v>
      </c>
      <c r="M513" t="s">
        <v>3204</v>
      </c>
      <c r="N513" t="s">
        <v>143</v>
      </c>
      <c r="O513" t="s">
        <v>144</v>
      </c>
      <c r="P513" t="s">
        <v>165</v>
      </c>
      <c r="Q513" t="s">
        <v>146</v>
      </c>
      <c r="R513" t="s">
        <v>167</v>
      </c>
      <c r="S513" t="s">
        <v>168</v>
      </c>
      <c r="T513" t="s">
        <v>169</v>
      </c>
      <c r="U513" t="s">
        <v>229</v>
      </c>
      <c r="V513">
        <v>2</v>
      </c>
      <c r="W513" t="s">
        <v>170</v>
      </c>
      <c r="X513" t="s">
        <v>3205</v>
      </c>
      <c r="Y513" t="s">
        <v>153</v>
      </c>
      <c r="Z513" s="53" t="s">
        <v>3206</v>
      </c>
      <c r="AA513">
        <v>1</v>
      </c>
      <c r="AB513">
        <v>1</v>
      </c>
      <c r="AC513"/>
      <c r="AD513"/>
      <c r="AE513"/>
      <c r="AF513"/>
      <c r="BG513" t="str">
        <f t="shared" si="8"/>
        <v/>
      </c>
      <c r="BH513" s="3" t="str" cm="1">
        <f t="array" ref="BH513">IF(AE513=1, _xlfn.TEXTJOIN(" &amp; ", TRUE, _xlfn._xlws.FILTER($AG$2:$BC$2, AG513:BC513=1)), "")</f>
        <v/>
      </c>
    </row>
    <row r="514" spans="1:60" x14ac:dyDescent="0.3">
      <c r="A514" t="s">
        <v>3198</v>
      </c>
      <c r="B514" t="s">
        <v>3207</v>
      </c>
      <c r="C514" t="s">
        <v>3200</v>
      </c>
      <c r="D514">
        <v>2022</v>
      </c>
      <c r="E514" s="52" t="s">
        <v>3208</v>
      </c>
      <c r="F514">
        <v>2571940</v>
      </c>
      <c r="G514">
        <v>2573990</v>
      </c>
      <c r="H514" t="s">
        <v>3209</v>
      </c>
      <c r="I514" t="s">
        <v>3198</v>
      </c>
      <c r="J514" s="51">
        <v>3.6793981481481483E-2</v>
      </c>
      <c r="K514" t="s">
        <v>160</v>
      </c>
      <c r="L514" t="s">
        <v>3203</v>
      </c>
      <c r="M514" t="s">
        <v>3204</v>
      </c>
      <c r="N514" t="s">
        <v>163</v>
      </c>
      <c r="O514" t="s">
        <v>144</v>
      </c>
      <c r="P514" t="s">
        <v>165</v>
      </c>
      <c r="Q514" t="s">
        <v>228</v>
      </c>
      <c r="R514" t="s">
        <v>167</v>
      </c>
      <c r="S514" t="s">
        <v>168</v>
      </c>
      <c r="T514" t="s">
        <v>169</v>
      </c>
      <c r="U514" t="s">
        <v>229</v>
      </c>
      <c r="V514">
        <v>2</v>
      </c>
      <c r="W514" t="s">
        <v>170</v>
      </c>
      <c r="X514" t="s">
        <v>3210</v>
      </c>
      <c r="Y514" t="s">
        <v>153</v>
      </c>
      <c r="Z514" s="53" t="s">
        <v>3211</v>
      </c>
      <c r="AA514"/>
      <c r="AB514"/>
      <c r="AC514"/>
      <c r="AD514"/>
      <c r="AE514">
        <v>1</v>
      </c>
      <c r="AF514">
        <v>1</v>
      </c>
      <c r="AP514" s="9">
        <v>1</v>
      </c>
      <c r="BG514" t="str">
        <f t="shared" si="8"/>
        <v>Metatestuale</v>
      </c>
      <c r="BH514" s="3" t="str" cm="1">
        <f t="array" ref="BH514">IF(AE514=1, _xlfn.TEXTJOIN(" &amp; ", TRUE, _xlfn._xlws.FILTER($AG$2:$BC$2, AG514:BC514=1)), "")</f>
        <v>Gestione del topic: introduzione o ripresa di topic</v>
      </c>
    </row>
    <row r="515" spans="1:60" x14ac:dyDescent="0.3">
      <c r="A515" t="s">
        <v>3212</v>
      </c>
      <c r="B515" t="s">
        <v>3213</v>
      </c>
      <c r="C515" t="s">
        <v>3214</v>
      </c>
      <c r="D515" t="s">
        <v>204</v>
      </c>
      <c r="E515" s="52" t="s">
        <v>3215</v>
      </c>
      <c r="F515">
        <v>901365</v>
      </c>
      <c r="G515">
        <v>908208</v>
      </c>
      <c r="H515" t="s">
        <v>1412</v>
      </c>
      <c r="I515" t="s">
        <v>3212</v>
      </c>
      <c r="J515" s="51">
        <v>4.3124999999999997E-2</v>
      </c>
      <c r="K515" t="s">
        <v>160</v>
      </c>
      <c r="L515" t="s">
        <v>3216</v>
      </c>
      <c r="M515" t="s">
        <v>3217</v>
      </c>
      <c r="N515" t="s">
        <v>286</v>
      </c>
      <c r="O515" t="s">
        <v>164</v>
      </c>
      <c r="P515" t="s">
        <v>145</v>
      </c>
      <c r="Q515" t="s">
        <v>228</v>
      </c>
      <c r="R515" t="s">
        <v>147</v>
      </c>
      <c r="S515" t="s">
        <v>168</v>
      </c>
      <c r="T515" t="s">
        <v>149</v>
      </c>
      <c r="U515" t="s">
        <v>349</v>
      </c>
      <c r="V515">
        <v>1</v>
      </c>
      <c r="W515" t="s">
        <v>365</v>
      </c>
      <c r="X515" t="s">
        <v>3218</v>
      </c>
      <c r="Y515" t="s">
        <v>153</v>
      </c>
      <c r="Z515" s="53" t="s">
        <v>3219</v>
      </c>
      <c r="AA515">
        <v>1</v>
      </c>
      <c r="AB515">
        <v>1</v>
      </c>
      <c r="AC515"/>
      <c r="AD515"/>
      <c r="AE515"/>
      <c r="AF515"/>
      <c r="BG515" t="str">
        <f t="shared" si="8"/>
        <v/>
      </c>
      <c r="BH515" s="3" t="str" cm="1">
        <f t="array" ref="BH515">IF(AE515=1, _xlfn.TEXTJOIN(" &amp; ", TRUE, _xlfn._xlws.FILTER($AG$2:$BC$2, AG515:BC515=1)), "")</f>
        <v/>
      </c>
    </row>
    <row r="516" spans="1:60" x14ac:dyDescent="0.3">
      <c r="A516" t="s">
        <v>727</v>
      </c>
      <c r="B516" t="s">
        <v>3220</v>
      </c>
      <c r="C516" t="s">
        <v>728</v>
      </c>
      <c r="D516">
        <v>2020</v>
      </c>
      <c r="E516" s="52" t="s">
        <v>3221</v>
      </c>
      <c r="F516">
        <v>156942</v>
      </c>
      <c r="G516">
        <v>159500</v>
      </c>
      <c r="H516" t="s">
        <v>428</v>
      </c>
      <c r="I516" t="s">
        <v>727</v>
      </c>
      <c r="J516" s="51">
        <v>1.9560185185185184E-2</v>
      </c>
      <c r="K516" t="s">
        <v>140</v>
      </c>
      <c r="L516" t="s">
        <v>729</v>
      </c>
      <c r="M516" t="s">
        <v>730</v>
      </c>
      <c r="N516" t="s">
        <v>143</v>
      </c>
      <c r="O516" t="s">
        <v>144</v>
      </c>
      <c r="P516" t="s">
        <v>165</v>
      </c>
      <c r="Q516" t="s">
        <v>146</v>
      </c>
      <c r="R516" t="s">
        <v>147</v>
      </c>
      <c r="S516" t="s">
        <v>148</v>
      </c>
      <c r="T516" t="s">
        <v>373</v>
      </c>
      <c r="U516" t="s">
        <v>151</v>
      </c>
      <c r="V516">
        <v>4</v>
      </c>
      <c r="W516" t="s">
        <v>269</v>
      </c>
      <c r="X516" t="s">
        <v>3222</v>
      </c>
      <c r="Y516" t="s">
        <v>153</v>
      </c>
      <c r="Z516" s="53" t="s">
        <v>3223</v>
      </c>
      <c r="AA516"/>
      <c r="AB516"/>
      <c r="AC516"/>
      <c r="AD516"/>
      <c r="AE516">
        <v>1</v>
      </c>
      <c r="AF516">
        <v>1</v>
      </c>
      <c r="AT516" s="9">
        <v>1</v>
      </c>
      <c r="BG516" t="str">
        <f t="shared" ref="BG516:BG579" si="9">IF(AE516=1,_xlfn.TEXTJOIN(" &amp; ", TRUE,
    IF(COUNTIF(AG516:AO516,1)&gt;0,"Interazionale",""),
    IF(COUNTIF(AP516:AW516,1)&gt;0,"Metatestuale",""),
    IF(COUNTIF(AX516:BC516,1)&gt;0,"Cognitiva","")
),"")</f>
        <v>Metatestuale</v>
      </c>
      <c r="BH516" s="3" t="str" cm="1">
        <f t="array" ref="BH516">IF(AE516=1, _xlfn.TEXTJOIN(" &amp; ", TRUE, _xlfn._xlws.FILTER($AG$2:$BC$2, AG516:BC516=1)), "")</f>
        <v>Marcatura di citazione/discorso riportato</v>
      </c>
    </row>
    <row r="517" spans="1:60" x14ac:dyDescent="0.3">
      <c r="A517" t="s">
        <v>727</v>
      </c>
      <c r="B517" t="s">
        <v>3224</v>
      </c>
      <c r="C517" t="s">
        <v>728</v>
      </c>
      <c r="D517">
        <v>2020</v>
      </c>
      <c r="E517" s="52" t="s">
        <v>3225</v>
      </c>
      <c r="F517">
        <v>403516</v>
      </c>
      <c r="G517">
        <v>407641</v>
      </c>
      <c r="H517" t="s">
        <v>428</v>
      </c>
      <c r="I517" t="s">
        <v>727</v>
      </c>
      <c r="J517" s="51">
        <v>1.9560185185185184E-2</v>
      </c>
      <c r="K517" t="s">
        <v>140</v>
      </c>
      <c r="L517" t="s">
        <v>729</v>
      </c>
      <c r="M517" t="s">
        <v>730</v>
      </c>
      <c r="N517" t="s">
        <v>143</v>
      </c>
      <c r="O517" t="s">
        <v>144</v>
      </c>
      <c r="P517" t="s">
        <v>165</v>
      </c>
      <c r="Q517" t="s">
        <v>146</v>
      </c>
      <c r="R517" t="s">
        <v>147</v>
      </c>
      <c r="S517" t="s">
        <v>148</v>
      </c>
      <c r="T517" t="s">
        <v>373</v>
      </c>
      <c r="U517" t="s">
        <v>151</v>
      </c>
      <c r="V517">
        <v>4</v>
      </c>
      <c r="W517" t="s">
        <v>269</v>
      </c>
      <c r="X517" t="s">
        <v>3226</v>
      </c>
      <c r="Y517" t="s">
        <v>153</v>
      </c>
      <c r="Z517" s="53" t="s">
        <v>3227</v>
      </c>
      <c r="AA517"/>
      <c r="AB517"/>
      <c r="AC517"/>
      <c r="AD517"/>
      <c r="AE517">
        <v>1</v>
      </c>
      <c r="AF517"/>
      <c r="AM517" s="7">
        <v>1</v>
      </c>
      <c r="AU517" s="21">
        <v>1</v>
      </c>
      <c r="BD517" s="3">
        <v>1</v>
      </c>
      <c r="BG517" t="str">
        <f t="shared" si="9"/>
        <v>Interazionale &amp; Metatestuale</v>
      </c>
      <c r="BH517" s="3" t="str" cm="1">
        <f t="array" ref="BH517">IF(AE517=1, _xlfn.TEXTJOIN(" &amp; ", TRUE, _xlfn._xlws.FILTER($AG$2:$BC$2, AG517:BC517=1)), "")</f>
        <v>Marcatura della conoscenza condivisa &amp; Esemplificazione</v>
      </c>
    </row>
    <row r="518" spans="1:60" x14ac:dyDescent="0.3">
      <c r="A518" t="s">
        <v>731</v>
      </c>
      <c r="B518" t="s">
        <v>3228</v>
      </c>
      <c r="C518" t="s">
        <v>732</v>
      </c>
      <c r="D518">
        <v>2020</v>
      </c>
      <c r="E518" s="52" t="s">
        <v>3229</v>
      </c>
      <c r="F518">
        <v>2250</v>
      </c>
      <c r="G518">
        <v>3290</v>
      </c>
      <c r="H518" t="s">
        <v>2374</v>
      </c>
      <c r="I518" t="s">
        <v>731</v>
      </c>
      <c r="J518" s="51">
        <v>3.740740740740741E-2</v>
      </c>
      <c r="K518" t="s">
        <v>140</v>
      </c>
      <c r="L518" t="s">
        <v>733</v>
      </c>
      <c r="M518" t="s">
        <v>734</v>
      </c>
      <c r="N518" t="s">
        <v>143</v>
      </c>
      <c r="O518" t="s">
        <v>144</v>
      </c>
      <c r="P518" t="s">
        <v>676</v>
      </c>
      <c r="Q518" t="s">
        <v>146</v>
      </c>
      <c r="R518" t="s">
        <v>147</v>
      </c>
      <c r="S518" t="s">
        <v>148</v>
      </c>
      <c r="T518" t="s">
        <v>169</v>
      </c>
      <c r="U518" t="s">
        <v>151</v>
      </c>
      <c r="V518">
        <v>2</v>
      </c>
      <c r="W518" t="s">
        <v>269</v>
      </c>
      <c r="X518" t="s">
        <v>3230</v>
      </c>
      <c r="Y518" t="s">
        <v>153</v>
      </c>
      <c r="Z518" s="53" t="s">
        <v>3231</v>
      </c>
      <c r="AA518">
        <v>1</v>
      </c>
      <c r="AB518"/>
      <c r="AC518">
        <v>1</v>
      </c>
      <c r="AD518"/>
      <c r="AE518"/>
      <c r="AF518"/>
      <c r="BG518" t="str">
        <f t="shared" si="9"/>
        <v/>
      </c>
      <c r="BH518" s="3" t="str" cm="1">
        <f t="array" ref="BH518">IF(AE518=1, _xlfn.TEXTJOIN(" &amp; ", TRUE, _xlfn._xlws.FILTER($AG$2:$BC$2, AG518:BC518=1)), "")</f>
        <v/>
      </c>
    </row>
    <row r="519" spans="1:60" x14ac:dyDescent="0.3">
      <c r="A519" t="s">
        <v>3232</v>
      </c>
      <c r="B519" t="s">
        <v>3233</v>
      </c>
      <c r="C519" t="s">
        <v>3234</v>
      </c>
      <c r="D519">
        <v>2020</v>
      </c>
      <c r="E519" s="52" t="s">
        <v>3235</v>
      </c>
      <c r="F519">
        <v>1990335</v>
      </c>
      <c r="G519">
        <v>1992750</v>
      </c>
      <c r="H519" t="s">
        <v>3236</v>
      </c>
      <c r="I519" t="s">
        <v>3232</v>
      </c>
      <c r="J519" s="51">
        <v>2.5162037037037038E-2</v>
      </c>
      <c r="K519" t="s">
        <v>140</v>
      </c>
      <c r="L519" t="s">
        <v>3237</v>
      </c>
      <c r="M519" t="s">
        <v>3238</v>
      </c>
      <c r="N519" t="s">
        <v>415</v>
      </c>
      <c r="O519" t="s">
        <v>144</v>
      </c>
      <c r="P519" t="s">
        <v>1054</v>
      </c>
      <c r="Q519" t="s">
        <v>467</v>
      </c>
      <c r="R519" t="s">
        <v>147</v>
      </c>
      <c r="S519" t="s">
        <v>148</v>
      </c>
      <c r="T519" t="s">
        <v>658</v>
      </c>
      <c r="U519" t="s">
        <v>198</v>
      </c>
      <c r="V519">
        <v>4</v>
      </c>
      <c r="W519" t="s">
        <v>269</v>
      </c>
      <c r="X519" t="s">
        <v>3239</v>
      </c>
      <c r="Y519" t="s">
        <v>153</v>
      </c>
      <c r="Z519" s="53" t="s">
        <v>3240</v>
      </c>
      <c r="AA519">
        <v>1</v>
      </c>
      <c r="AB519"/>
      <c r="AC519">
        <v>1</v>
      </c>
      <c r="AD519"/>
      <c r="AE519"/>
      <c r="AF519"/>
      <c r="BG519" t="str">
        <f t="shared" si="9"/>
        <v/>
      </c>
      <c r="BH519" s="3" t="str" cm="1">
        <f t="array" ref="BH519">IF(AE519=1, _xlfn.TEXTJOIN(" &amp; ", TRUE, _xlfn._xlws.FILTER($AG$2:$BC$2, AG519:BC519=1)), "")</f>
        <v/>
      </c>
    </row>
    <row r="520" spans="1:60" x14ac:dyDescent="0.3">
      <c r="A520" t="s">
        <v>735</v>
      </c>
      <c r="B520" t="s">
        <v>3241</v>
      </c>
      <c r="C520" t="s">
        <v>736</v>
      </c>
      <c r="D520">
        <v>2020</v>
      </c>
      <c r="E520" s="52" t="s">
        <v>3242</v>
      </c>
      <c r="F520">
        <v>62140</v>
      </c>
      <c r="G520">
        <v>64710</v>
      </c>
      <c r="H520" t="s">
        <v>486</v>
      </c>
      <c r="I520" t="s">
        <v>735</v>
      </c>
      <c r="J520" s="51">
        <v>2.675925925925926E-2</v>
      </c>
      <c r="K520" t="s">
        <v>140</v>
      </c>
      <c r="L520" t="s">
        <v>738</v>
      </c>
      <c r="M520" t="s">
        <v>739</v>
      </c>
      <c r="N520" t="s">
        <v>143</v>
      </c>
      <c r="O520" t="s">
        <v>144</v>
      </c>
      <c r="P520" t="s">
        <v>489</v>
      </c>
      <c r="Q520" t="s">
        <v>146</v>
      </c>
      <c r="R520" t="s">
        <v>147</v>
      </c>
      <c r="S520" t="s">
        <v>148</v>
      </c>
      <c r="T520" t="s">
        <v>169</v>
      </c>
      <c r="U520" t="s">
        <v>151</v>
      </c>
      <c r="V520">
        <v>4</v>
      </c>
      <c r="W520" t="s">
        <v>269</v>
      </c>
      <c r="X520" t="s">
        <v>3243</v>
      </c>
      <c r="Y520" t="s">
        <v>153</v>
      </c>
      <c r="Z520" s="53" t="s">
        <v>3244</v>
      </c>
      <c r="AA520">
        <v>1</v>
      </c>
      <c r="AB520">
        <v>1</v>
      </c>
      <c r="AC520"/>
      <c r="AD520"/>
      <c r="AE520"/>
      <c r="AF520"/>
      <c r="BG520" t="str">
        <f t="shared" si="9"/>
        <v/>
      </c>
      <c r="BH520" s="3" t="str" cm="1">
        <f t="array" ref="BH520">IF(AE520=1, _xlfn.TEXTJOIN(" &amp; ", TRUE, _xlfn._xlws.FILTER($AG$2:$BC$2, AG520:BC520=1)), "")</f>
        <v/>
      </c>
    </row>
    <row r="521" spans="1:60" x14ac:dyDescent="0.3">
      <c r="A521" t="s">
        <v>735</v>
      </c>
      <c r="B521" t="s">
        <v>3245</v>
      </c>
      <c r="C521" t="s">
        <v>736</v>
      </c>
      <c r="D521">
        <v>2020</v>
      </c>
      <c r="E521" s="52" t="s">
        <v>3246</v>
      </c>
      <c r="F521">
        <v>209653</v>
      </c>
      <c r="G521">
        <v>210793</v>
      </c>
      <c r="H521" t="s">
        <v>737</v>
      </c>
      <c r="I521" t="s">
        <v>735</v>
      </c>
      <c r="J521" s="51">
        <v>2.675925925925926E-2</v>
      </c>
      <c r="K521" t="s">
        <v>140</v>
      </c>
      <c r="L521" t="s">
        <v>738</v>
      </c>
      <c r="M521" t="s">
        <v>739</v>
      </c>
      <c r="N521" t="s">
        <v>143</v>
      </c>
      <c r="O521" t="s">
        <v>144</v>
      </c>
      <c r="P521" t="s">
        <v>489</v>
      </c>
      <c r="Q521" t="s">
        <v>146</v>
      </c>
      <c r="R521" t="s">
        <v>147</v>
      </c>
      <c r="S521" t="s">
        <v>148</v>
      </c>
      <c r="T521" t="s">
        <v>169</v>
      </c>
      <c r="U521" t="s">
        <v>151</v>
      </c>
      <c r="V521">
        <v>4</v>
      </c>
      <c r="W521" t="s">
        <v>269</v>
      </c>
      <c r="X521" t="s">
        <v>3247</v>
      </c>
      <c r="Y521" t="s">
        <v>153</v>
      </c>
      <c r="Z521" s="53" t="s">
        <v>3248</v>
      </c>
      <c r="AA521">
        <v>1</v>
      </c>
      <c r="AB521"/>
      <c r="AC521"/>
      <c r="AD521">
        <v>1</v>
      </c>
      <c r="AE521"/>
      <c r="AF521"/>
      <c r="BG521" t="str">
        <f t="shared" si="9"/>
        <v/>
      </c>
      <c r="BH521" s="3" t="str" cm="1">
        <f t="array" ref="BH521">IF(AE521=1, _xlfn.TEXTJOIN(" &amp; ", TRUE, _xlfn._xlws.FILTER($AG$2:$BC$2, AG521:BC521=1)), "")</f>
        <v/>
      </c>
    </row>
    <row r="522" spans="1:60" x14ac:dyDescent="0.3">
      <c r="A522" t="s">
        <v>735</v>
      </c>
      <c r="B522" t="s">
        <v>3249</v>
      </c>
      <c r="C522" t="s">
        <v>736</v>
      </c>
      <c r="D522">
        <v>2020</v>
      </c>
      <c r="E522" s="52" t="s">
        <v>3250</v>
      </c>
      <c r="F522">
        <v>540680</v>
      </c>
      <c r="G522">
        <v>541480</v>
      </c>
      <c r="H522" t="s">
        <v>3251</v>
      </c>
      <c r="I522" t="s">
        <v>735</v>
      </c>
      <c r="J522" s="51">
        <v>2.675925925925926E-2</v>
      </c>
      <c r="K522" t="s">
        <v>140</v>
      </c>
      <c r="L522" t="s">
        <v>738</v>
      </c>
      <c r="M522" t="s">
        <v>739</v>
      </c>
      <c r="N522" t="s">
        <v>336</v>
      </c>
      <c r="O522" t="s">
        <v>164</v>
      </c>
      <c r="P522" t="s">
        <v>489</v>
      </c>
      <c r="Q522" t="s">
        <v>699</v>
      </c>
      <c r="R522" t="s">
        <v>147</v>
      </c>
      <c r="S522" t="s">
        <v>148</v>
      </c>
      <c r="T522" t="s">
        <v>288</v>
      </c>
      <c r="U522" t="s">
        <v>229</v>
      </c>
      <c r="V522">
        <v>4</v>
      </c>
      <c r="W522" t="s">
        <v>269</v>
      </c>
      <c r="X522" t="s">
        <v>3252</v>
      </c>
      <c r="Y522" t="s">
        <v>153</v>
      </c>
      <c r="Z522" s="53" t="s">
        <v>3253</v>
      </c>
      <c r="AA522">
        <v>1</v>
      </c>
      <c r="AB522"/>
      <c r="AC522"/>
      <c r="AD522">
        <v>1</v>
      </c>
      <c r="AE522"/>
      <c r="AF522"/>
      <c r="BG522" t="str">
        <f t="shared" si="9"/>
        <v/>
      </c>
      <c r="BH522" s="3" t="str" cm="1">
        <f t="array" ref="BH522">IF(AE522=1, _xlfn.TEXTJOIN(" &amp; ", TRUE, _xlfn._xlws.FILTER($AG$2:$BC$2, AG522:BC522=1)), "")</f>
        <v/>
      </c>
    </row>
    <row r="523" spans="1:60" x14ac:dyDescent="0.3">
      <c r="A523" t="s">
        <v>735</v>
      </c>
      <c r="B523" t="s">
        <v>3254</v>
      </c>
      <c r="C523" t="s">
        <v>736</v>
      </c>
      <c r="D523">
        <v>2020</v>
      </c>
      <c r="E523" s="52" t="s">
        <v>3255</v>
      </c>
      <c r="F523">
        <v>1836838</v>
      </c>
      <c r="G523">
        <v>1838239</v>
      </c>
      <c r="H523" t="s">
        <v>3256</v>
      </c>
      <c r="I523" t="s">
        <v>735</v>
      </c>
      <c r="J523" s="51">
        <v>2.675925925925926E-2</v>
      </c>
      <c r="K523" t="s">
        <v>140</v>
      </c>
      <c r="L523" t="s">
        <v>738</v>
      </c>
      <c r="M523" t="s">
        <v>739</v>
      </c>
      <c r="N523" t="s">
        <v>143</v>
      </c>
      <c r="O523" t="s">
        <v>144</v>
      </c>
      <c r="P523" t="s">
        <v>489</v>
      </c>
      <c r="Q523" t="s">
        <v>699</v>
      </c>
      <c r="R523" t="s">
        <v>147</v>
      </c>
      <c r="S523" t="s">
        <v>148</v>
      </c>
      <c r="T523" t="s">
        <v>169</v>
      </c>
      <c r="U523" t="s">
        <v>229</v>
      </c>
      <c r="V523">
        <v>4</v>
      </c>
      <c r="W523" t="s">
        <v>269</v>
      </c>
      <c r="X523" t="s">
        <v>3257</v>
      </c>
      <c r="Y523" t="s">
        <v>153</v>
      </c>
      <c r="Z523" s="53" t="s">
        <v>3258</v>
      </c>
      <c r="AA523">
        <v>1</v>
      </c>
      <c r="AB523"/>
      <c r="AC523">
        <v>1</v>
      </c>
      <c r="AD523"/>
      <c r="AE523"/>
      <c r="AF523"/>
      <c r="BG523" t="str">
        <f t="shared" si="9"/>
        <v/>
      </c>
      <c r="BH523" s="3" t="str" cm="1">
        <f t="array" ref="BH523">IF(AE523=1, _xlfn.TEXTJOIN(" &amp; ", TRUE, _xlfn._xlws.FILTER($AG$2:$BC$2, AG523:BC523=1)), "")</f>
        <v/>
      </c>
    </row>
    <row r="524" spans="1:60" x14ac:dyDescent="0.3">
      <c r="A524" t="s">
        <v>735</v>
      </c>
      <c r="B524" t="s">
        <v>3259</v>
      </c>
      <c r="C524" t="s">
        <v>736</v>
      </c>
      <c r="D524">
        <v>2020</v>
      </c>
      <c r="E524" s="52" t="s">
        <v>3260</v>
      </c>
      <c r="F524">
        <v>1838852</v>
      </c>
      <c r="G524">
        <v>1841429</v>
      </c>
      <c r="H524" t="s">
        <v>486</v>
      </c>
      <c r="I524" t="s">
        <v>735</v>
      </c>
      <c r="J524" s="51">
        <v>2.675925925925926E-2</v>
      </c>
      <c r="K524" t="s">
        <v>140</v>
      </c>
      <c r="L524" t="s">
        <v>738</v>
      </c>
      <c r="M524" t="s">
        <v>739</v>
      </c>
      <c r="N524" t="s">
        <v>143</v>
      </c>
      <c r="O524" t="s">
        <v>144</v>
      </c>
      <c r="P524" t="s">
        <v>489</v>
      </c>
      <c r="Q524" t="s">
        <v>146</v>
      </c>
      <c r="R524" t="s">
        <v>147</v>
      </c>
      <c r="S524" t="s">
        <v>148</v>
      </c>
      <c r="T524" t="s">
        <v>169</v>
      </c>
      <c r="U524" t="s">
        <v>151</v>
      </c>
      <c r="V524">
        <v>4</v>
      </c>
      <c r="W524" t="s">
        <v>269</v>
      </c>
      <c r="X524" t="s">
        <v>3261</v>
      </c>
      <c r="Y524" t="s">
        <v>153</v>
      </c>
      <c r="Z524" s="53" t="s">
        <v>3262</v>
      </c>
      <c r="AA524">
        <v>1</v>
      </c>
      <c r="AB524"/>
      <c r="AC524">
        <v>1</v>
      </c>
      <c r="AD524"/>
      <c r="AE524"/>
      <c r="AF524"/>
      <c r="BG524" t="str">
        <f t="shared" si="9"/>
        <v/>
      </c>
      <c r="BH524" s="3" t="str" cm="1">
        <f t="array" ref="BH524">IF(AE524=1, _xlfn.TEXTJOIN(" &amp; ", TRUE, _xlfn._xlws.FILTER($AG$2:$BC$2, AG524:BC524=1)), "")</f>
        <v/>
      </c>
    </row>
    <row r="525" spans="1:60" x14ac:dyDescent="0.3">
      <c r="A525" t="s">
        <v>735</v>
      </c>
      <c r="B525" t="s">
        <v>3263</v>
      </c>
      <c r="C525" t="s">
        <v>736</v>
      </c>
      <c r="D525">
        <v>2020</v>
      </c>
      <c r="E525" s="52" t="s">
        <v>3264</v>
      </c>
      <c r="F525">
        <v>1872687</v>
      </c>
      <c r="G525">
        <v>1874216</v>
      </c>
      <c r="H525" t="s">
        <v>486</v>
      </c>
      <c r="I525" t="s">
        <v>735</v>
      </c>
      <c r="J525" s="51">
        <v>2.675925925925926E-2</v>
      </c>
      <c r="K525" t="s">
        <v>140</v>
      </c>
      <c r="L525" t="s">
        <v>738</v>
      </c>
      <c r="M525" t="s">
        <v>739</v>
      </c>
      <c r="N525" t="s">
        <v>143</v>
      </c>
      <c r="O525" t="s">
        <v>144</v>
      </c>
      <c r="P525" t="s">
        <v>489</v>
      </c>
      <c r="Q525" t="s">
        <v>146</v>
      </c>
      <c r="R525" t="s">
        <v>147</v>
      </c>
      <c r="S525" t="s">
        <v>148</v>
      </c>
      <c r="T525" t="s">
        <v>169</v>
      </c>
      <c r="U525" t="s">
        <v>151</v>
      </c>
      <c r="V525">
        <v>4</v>
      </c>
      <c r="W525" t="s">
        <v>269</v>
      </c>
      <c r="X525" t="s">
        <v>3265</v>
      </c>
      <c r="Y525" t="s">
        <v>153</v>
      </c>
      <c r="Z525" s="53" t="s">
        <v>3266</v>
      </c>
      <c r="AA525">
        <v>1</v>
      </c>
      <c r="AB525">
        <v>1</v>
      </c>
      <c r="AC525"/>
      <c r="AD525"/>
      <c r="AE525"/>
      <c r="AF525"/>
      <c r="BG525" t="str">
        <f t="shared" si="9"/>
        <v/>
      </c>
      <c r="BH525" s="3" t="str" cm="1">
        <f t="array" ref="BH525">IF(AE525=1, _xlfn.TEXTJOIN(" &amp; ", TRUE, _xlfn._xlws.FILTER($AG$2:$BC$2, AG525:BC525=1)), "")</f>
        <v/>
      </c>
    </row>
    <row r="526" spans="1:60" x14ac:dyDescent="0.3">
      <c r="A526" t="s">
        <v>735</v>
      </c>
      <c r="B526" t="s">
        <v>3267</v>
      </c>
      <c r="C526" t="s">
        <v>736</v>
      </c>
      <c r="D526">
        <v>2020</v>
      </c>
      <c r="E526" s="52" t="s">
        <v>3268</v>
      </c>
      <c r="F526">
        <v>1940241</v>
      </c>
      <c r="G526">
        <v>1942037</v>
      </c>
      <c r="H526" t="s">
        <v>486</v>
      </c>
      <c r="I526" t="s">
        <v>735</v>
      </c>
      <c r="J526" s="51">
        <v>2.675925925925926E-2</v>
      </c>
      <c r="K526" t="s">
        <v>140</v>
      </c>
      <c r="L526" t="s">
        <v>738</v>
      </c>
      <c r="M526" t="s">
        <v>739</v>
      </c>
      <c r="N526" t="s">
        <v>143</v>
      </c>
      <c r="O526" t="s">
        <v>144</v>
      </c>
      <c r="P526" t="s">
        <v>489</v>
      </c>
      <c r="Q526" t="s">
        <v>146</v>
      </c>
      <c r="R526" t="s">
        <v>147</v>
      </c>
      <c r="S526" t="s">
        <v>148</v>
      </c>
      <c r="T526" t="s">
        <v>169</v>
      </c>
      <c r="U526" t="s">
        <v>151</v>
      </c>
      <c r="V526">
        <v>4</v>
      </c>
      <c r="W526" t="s">
        <v>269</v>
      </c>
      <c r="X526" t="s">
        <v>3269</v>
      </c>
      <c r="Y526" t="s">
        <v>153</v>
      </c>
      <c r="Z526" s="53" t="s">
        <v>3270</v>
      </c>
      <c r="AA526">
        <v>1</v>
      </c>
      <c r="AB526"/>
      <c r="AC526"/>
      <c r="AD526">
        <v>1</v>
      </c>
      <c r="AE526"/>
      <c r="AF526"/>
      <c r="BG526" t="str">
        <f t="shared" si="9"/>
        <v/>
      </c>
      <c r="BH526" s="3" t="str" cm="1">
        <f t="array" ref="BH526">IF(AE526=1, _xlfn.TEXTJOIN(" &amp; ", TRUE, _xlfn._xlws.FILTER($AG$2:$BC$2, AG526:BC526=1)), "")</f>
        <v/>
      </c>
    </row>
    <row r="527" spans="1:60" x14ac:dyDescent="0.3">
      <c r="A527" t="s">
        <v>735</v>
      </c>
      <c r="B527" t="s">
        <v>3271</v>
      </c>
      <c r="C527" t="s">
        <v>736</v>
      </c>
      <c r="D527">
        <v>2020</v>
      </c>
      <c r="E527" s="52" t="s">
        <v>3272</v>
      </c>
      <c r="F527">
        <v>2008582</v>
      </c>
      <c r="G527">
        <v>2011206</v>
      </c>
      <c r="H527" t="s">
        <v>486</v>
      </c>
      <c r="I527" t="s">
        <v>735</v>
      </c>
      <c r="J527" s="51">
        <v>2.675925925925926E-2</v>
      </c>
      <c r="K527" t="s">
        <v>140</v>
      </c>
      <c r="L527" t="s">
        <v>738</v>
      </c>
      <c r="M527" t="s">
        <v>739</v>
      </c>
      <c r="N527" t="s">
        <v>143</v>
      </c>
      <c r="O527" t="s">
        <v>144</v>
      </c>
      <c r="P527" t="s">
        <v>489</v>
      </c>
      <c r="Q527" t="s">
        <v>146</v>
      </c>
      <c r="R527" t="s">
        <v>147</v>
      </c>
      <c r="S527" t="s">
        <v>148</v>
      </c>
      <c r="T527" t="s">
        <v>169</v>
      </c>
      <c r="U527" t="s">
        <v>151</v>
      </c>
      <c r="V527">
        <v>4</v>
      </c>
      <c r="W527" t="s">
        <v>269</v>
      </c>
      <c r="X527" t="s">
        <v>3273</v>
      </c>
      <c r="Y527" t="s">
        <v>153</v>
      </c>
      <c r="Z527" s="53" t="s">
        <v>3274</v>
      </c>
      <c r="AA527">
        <v>1</v>
      </c>
      <c r="AB527">
        <v>1</v>
      </c>
      <c r="AC527"/>
      <c r="AD527"/>
      <c r="AE527"/>
      <c r="AF527"/>
      <c r="BG527" t="str">
        <f t="shared" si="9"/>
        <v/>
      </c>
      <c r="BH527" s="3" t="str" cm="1">
        <f t="array" ref="BH527">IF(AE527=1, _xlfn.TEXTJOIN(" &amp; ", TRUE, _xlfn._xlws.FILTER($AG$2:$BC$2, AG527:BC527=1)), "")</f>
        <v/>
      </c>
    </row>
    <row r="528" spans="1:60" x14ac:dyDescent="0.3">
      <c r="A528" t="s">
        <v>735</v>
      </c>
      <c r="B528" t="s">
        <v>3275</v>
      </c>
      <c r="C528" t="s">
        <v>736</v>
      </c>
      <c r="D528">
        <v>2020</v>
      </c>
      <c r="E528" s="52" t="s">
        <v>3276</v>
      </c>
      <c r="F528">
        <v>2154541</v>
      </c>
      <c r="G528">
        <v>2157707</v>
      </c>
      <c r="H528" t="s">
        <v>486</v>
      </c>
      <c r="I528" t="s">
        <v>735</v>
      </c>
      <c r="J528" s="51">
        <v>2.675925925925926E-2</v>
      </c>
      <c r="K528" t="s">
        <v>140</v>
      </c>
      <c r="L528" t="s">
        <v>738</v>
      </c>
      <c r="M528" t="s">
        <v>739</v>
      </c>
      <c r="N528" t="s">
        <v>143</v>
      </c>
      <c r="O528" t="s">
        <v>144</v>
      </c>
      <c r="P528" t="s">
        <v>489</v>
      </c>
      <c r="Q528" t="s">
        <v>146</v>
      </c>
      <c r="R528" t="s">
        <v>147</v>
      </c>
      <c r="S528" t="s">
        <v>148</v>
      </c>
      <c r="T528" t="s">
        <v>169</v>
      </c>
      <c r="U528" t="s">
        <v>151</v>
      </c>
      <c r="V528">
        <v>4</v>
      </c>
      <c r="W528" t="s">
        <v>269</v>
      </c>
      <c r="X528" t="s">
        <v>3277</v>
      </c>
      <c r="Y528" t="s">
        <v>153</v>
      </c>
      <c r="Z528" s="53" t="s">
        <v>3278</v>
      </c>
      <c r="AA528">
        <v>1</v>
      </c>
      <c r="AB528"/>
      <c r="AC528">
        <v>1</v>
      </c>
      <c r="AD528"/>
      <c r="AE528"/>
      <c r="AF528"/>
      <c r="BG528" t="str">
        <f t="shared" si="9"/>
        <v/>
      </c>
      <c r="BH528" s="3" t="str" cm="1">
        <f t="array" ref="BH528">IF(AE528=1, _xlfn.TEXTJOIN(" &amp; ", TRUE, _xlfn._xlws.FILTER($AG$2:$BC$2, AG528:BC528=1)), "")</f>
        <v/>
      </c>
    </row>
    <row r="529" spans="1:60" x14ac:dyDescent="0.3">
      <c r="A529" t="s">
        <v>3279</v>
      </c>
      <c r="B529" t="s">
        <v>3280</v>
      </c>
      <c r="C529" t="s">
        <v>3281</v>
      </c>
      <c r="D529">
        <v>2023</v>
      </c>
      <c r="E529" s="52" t="s">
        <v>3282</v>
      </c>
      <c r="F529">
        <v>443726</v>
      </c>
      <c r="G529">
        <v>445887</v>
      </c>
      <c r="H529" t="s">
        <v>3283</v>
      </c>
      <c r="I529" t="s">
        <v>3279</v>
      </c>
      <c r="J529" s="51">
        <v>2.5868055555555554E-2</v>
      </c>
      <c r="K529" t="s">
        <v>160</v>
      </c>
      <c r="L529" t="s">
        <v>3284</v>
      </c>
      <c r="M529" t="s">
        <v>3285</v>
      </c>
      <c r="N529" t="s">
        <v>246</v>
      </c>
      <c r="O529" t="s">
        <v>144</v>
      </c>
      <c r="P529" t="s">
        <v>165</v>
      </c>
      <c r="Q529" t="s">
        <v>166</v>
      </c>
      <c r="R529" t="s">
        <v>167</v>
      </c>
      <c r="S529" t="s">
        <v>168</v>
      </c>
      <c r="T529" t="s">
        <v>169</v>
      </c>
      <c r="U529" t="s">
        <v>171</v>
      </c>
      <c r="V529">
        <v>2</v>
      </c>
      <c r="W529" t="s">
        <v>170</v>
      </c>
      <c r="X529" t="s">
        <v>3286</v>
      </c>
      <c r="Y529" t="s">
        <v>153</v>
      </c>
      <c r="Z529" s="53" t="s">
        <v>3287</v>
      </c>
      <c r="AA529"/>
      <c r="AB529"/>
      <c r="AC529"/>
      <c r="AD529"/>
      <c r="AE529">
        <v>1</v>
      </c>
      <c r="AF529"/>
      <c r="AM529" s="7">
        <v>1</v>
      </c>
      <c r="AW529" s="21">
        <v>1</v>
      </c>
      <c r="BG529" t="str">
        <f t="shared" si="9"/>
        <v>Interazionale &amp; Metatestuale</v>
      </c>
      <c r="BH529" s="3" t="str" cm="1">
        <f t="array" ref="BH529">IF(AE529=1, _xlfn.TEXTJOIN(" &amp; ", TRUE, _xlfn._xlws.FILTER($AG$2:$BC$2, AG529:BC529=1)), "")</f>
        <v>Marcatura della conoscenza condivisa &amp; General extenders e marche di generalizzazione</v>
      </c>
    </row>
    <row r="530" spans="1:60" x14ac:dyDescent="0.3">
      <c r="A530" t="s">
        <v>3279</v>
      </c>
      <c r="B530" t="s">
        <v>3288</v>
      </c>
      <c r="C530" t="s">
        <v>3281</v>
      </c>
      <c r="D530">
        <v>2023</v>
      </c>
      <c r="E530" s="52" t="s">
        <v>3289</v>
      </c>
      <c r="F530">
        <v>1149065</v>
      </c>
      <c r="G530">
        <v>1152580</v>
      </c>
      <c r="H530" t="s">
        <v>2198</v>
      </c>
      <c r="I530" t="s">
        <v>3279</v>
      </c>
      <c r="J530" s="51">
        <v>2.5868055555555554E-2</v>
      </c>
      <c r="K530" t="s">
        <v>160</v>
      </c>
      <c r="L530" t="s">
        <v>3284</v>
      </c>
      <c r="M530" t="s">
        <v>3285</v>
      </c>
      <c r="N530" t="s">
        <v>143</v>
      </c>
      <c r="O530" t="s">
        <v>144</v>
      </c>
      <c r="P530" t="s">
        <v>165</v>
      </c>
      <c r="Q530" t="s">
        <v>146</v>
      </c>
      <c r="R530" t="s">
        <v>167</v>
      </c>
      <c r="S530" t="s">
        <v>168</v>
      </c>
      <c r="T530" t="s">
        <v>169</v>
      </c>
      <c r="U530" t="s">
        <v>151</v>
      </c>
      <c r="V530">
        <v>2</v>
      </c>
      <c r="W530" t="s">
        <v>170</v>
      </c>
      <c r="X530" t="s">
        <v>3290</v>
      </c>
      <c r="Y530" t="s">
        <v>153</v>
      </c>
      <c r="Z530" s="53" t="s">
        <v>3291</v>
      </c>
      <c r="AA530">
        <v>1</v>
      </c>
      <c r="AB530">
        <v>1</v>
      </c>
      <c r="AC530"/>
      <c r="AD530"/>
      <c r="AE530"/>
      <c r="AF530"/>
      <c r="BG530" t="str">
        <f t="shared" si="9"/>
        <v/>
      </c>
      <c r="BH530" s="3" t="str" cm="1">
        <f t="array" ref="BH530">IF(AE530=1, _xlfn.TEXTJOIN(" &amp; ", TRUE, _xlfn._xlws.FILTER($AG$2:$BC$2, AG530:BC530=1)), "")</f>
        <v/>
      </c>
    </row>
    <row r="531" spans="1:60" x14ac:dyDescent="0.3">
      <c r="A531" t="s">
        <v>3279</v>
      </c>
      <c r="B531" t="s">
        <v>3292</v>
      </c>
      <c r="C531" t="s">
        <v>3281</v>
      </c>
      <c r="D531">
        <v>2023</v>
      </c>
      <c r="E531" s="52" t="s">
        <v>3293</v>
      </c>
      <c r="F531">
        <v>1565442</v>
      </c>
      <c r="G531">
        <v>1570833</v>
      </c>
      <c r="H531" t="s">
        <v>3283</v>
      </c>
      <c r="I531" t="s">
        <v>3279</v>
      </c>
      <c r="J531" s="51">
        <v>2.5868055555555554E-2</v>
      </c>
      <c r="K531" t="s">
        <v>160</v>
      </c>
      <c r="L531" t="s">
        <v>3284</v>
      </c>
      <c r="M531" t="s">
        <v>3285</v>
      </c>
      <c r="N531" t="s">
        <v>246</v>
      </c>
      <c r="O531" t="s">
        <v>144</v>
      </c>
      <c r="P531" t="s">
        <v>165</v>
      </c>
      <c r="Q531" t="s">
        <v>166</v>
      </c>
      <c r="R531" t="s">
        <v>167</v>
      </c>
      <c r="S531" t="s">
        <v>168</v>
      </c>
      <c r="T531" t="s">
        <v>169</v>
      </c>
      <c r="U531" t="s">
        <v>171</v>
      </c>
      <c r="V531">
        <v>2</v>
      </c>
      <c r="W531" t="s">
        <v>170</v>
      </c>
      <c r="X531" t="s">
        <v>3294</v>
      </c>
      <c r="Y531" t="s">
        <v>153</v>
      </c>
      <c r="Z531" s="53" t="s">
        <v>3295</v>
      </c>
      <c r="AA531"/>
      <c r="AB531"/>
      <c r="AC531"/>
      <c r="AD531"/>
      <c r="AE531">
        <v>1</v>
      </c>
      <c r="AF531"/>
      <c r="AH531" s="8">
        <v>1</v>
      </c>
      <c r="BG531" t="str">
        <f t="shared" si="9"/>
        <v>Interazionale</v>
      </c>
      <c r="BH531" s="3" t="str" cm="1">
        <f t="array" ref="BH531">IF(AE531=1, _xlfn.TEXTJOIN(" &amp; ", TRUE, _xlfn._xlws.FILTER($AG$2:$BC$2, AG531:BC531=1)), "")</f>
        <v>Richiesta di accordo/conferma</v>
      </c>
    </row>
    <row r="532" spans="1:60" x14ac:dyDescent="0.3">
      <c r="A532" t="s">
        <v>3279</v>
      </c>
      <c r="B532" t="s">
        <v>3296</v>
      </c>
      <c r="C532" t="s">
        <v>3281</v>
      </c>
      <c r="D532">
        <v>2023</v>
      </c>
      <c r="E532" s="52" t="s">
        <v>3297</v>
      </c>
      <c r="F532">
        <v>2086340</v>
      </c>
      <c r="G532">
        <v>2090329</v>
      </c>
      <c r="H532" t="s">
        <v>3283</v>
      </c>
      <c r="I532" t="s">
        <v>3279</v>
      </c>
      <c r="J532" s="51">
        <v>2.5868055555555554E-2</v>
      </c>
      <c r="K532" t="s">
        <v>160</v>
      </c>
      <c r="L532" t="s">
        <v>3284</v>
      </c>
      <c r="M532" t="s">
        <v>3285</v>
      </c>
      <c r="N532" t="s">
        <v>246</v>
      </c>
      <c r="O532" t="s">
        <v>144</v>
      </c>
      <c r="P532" t="s">
        <v>165</v>
      </c>
      <c r="Q532" t="s">
        <v>166</v>
      </c>
      <c r="R532" t="s">
        <v>167</v>
      </c>
      <c r="S532" t="s">
        <v>168</v>
      </c>
      <c r="T532" t="s">
        <v>169</v>
      </c>
      <c r="U532" t="s">
        <v>171</v>
      </c>
      <c r="V532">
        <v>2</v>
      </c>
      <c r="W532" t="s">
        <v>170</v>
      </c>
      <c r="X532" t="s">
        <v>3298</v>
      </c>
      <c r="Y532" t="s">
        <v>153</v>
      </c>
      <c r="Z532" s="53" t="s">
        <v>3299</v>
      </c>
      <c r="AA532">
        <v>1</v>
      </c>
      <c r="AB532"/>
      <c r="AC532">
        <v>1</v>
      </c>
      <c r="AD532"/>
      <c r="AE532"/>
      <c r="AF532"/>
      <c r="BG532" t="str">
        <f t="shared" si="9"/>
        <v/>
      </c>
      <c r="BH532" s="3" t="str" cm="1">
        <f t="array" ref="BH532">IF(AE532=1, _xlfn.TEXTJOIN(" &amp; ", TRUE, _xlfn._xlws.FILTER($AG$2:$BC$2, AG532:BC532=1)), "")</f>
        <v/>
      </c>
    </row>
    <row r="533" spans="1:60" x14ac:dyDescent="0.3">
      <c r="A533" t="s">
        <v>3300</v>
      </c>
      <c r="B533" t="s">
        <v>3301</v>
      </c>
      <c r="C533" t="s">
        <v>3302</v>
      </c>
      <c r="D533">
        <v>2022</v>
      </c>
      <c r="E533" s="52" t="s">
        <v>3303</v>
      </c>
      <c r="F533">
        <v>3041699</v>
      </c>
      <c r="G533">
        <v>3045666</v>
      </c>
      <c r="H533" t="s">
        <v>3304</v>
      </c>
      <c r="I533" t="s">
        <v>3300</v>
      </c>
      <c r="J533" s="51">
        <v>5.2824074074074072E-2</v>
      </c>
      <c r="K533" t="s">
        <v>160</v>
      </c>
      <c r="L533" t="s">
        <v>3305</v>
      </c>
      <c r="M533" t="s">
        <v>3306</v>
      </c>
      <c r="N533" t="s">
        <v>178</v>
      </c>
      <c r="O533" t="s">
        <v>144</v>
      </c>
      <c r="P533" t="s">
        <v>165</v>
      </c>
      <c r="Q533" t="s">
        <v>179</v>
      </c>
      <c r="R533" t="s">
        <v>167</v>
      </c>
      <c r="S533" t="s">
        <v>168</v>
      </c>
      <c r="T533" t="s">
        <v>169</v>
      </c>
      <c r="U533" t="s">
        <v>171</v>
      </c>
      <c r="V533">
        <v>2</v>
      </c>
      <c r="W533" t="s">
        <v>170</v>
      </c>
      <c r="X533" t="s">
        <v>3307</v>
      </c>
      <c r="Y533" t="s">
        <v>153</v>
      </c>
      <c r="Z533" s="53" t="s">
        <v>3308</v>
      </c>
      <c r="AA533">
        <v>1</v>
      </c>
      <c r="AB533"/>
      <c r="AC533">
        <v>1</v>
      </c>
      <c r="AD533"/>
      <c r="AE533"/>
      <c r="AF533"/>
      <c r="BG533" t="str">
        <f t="shared" si="9"/>
        <v/>
      </c>
      <c r="BH533" s="3" t="str" cm="1">
        <f t="array" ref="BH533">IF(AE533=1, _xlfn.TEXTJOIN(" &amp; ", TRUE, _xlfn._xlws.FILTER($AG$2:$BC$2, AG533:BC533=1)), "")</f>
        <v/>
      </c>
    </row>
    <row r="534" spans="1:60" x14ac:dyDescent="0.3">
      <c r="A534" t="s">
        <v>3300</v>
      </c>
      <c r="B534" t="s">
        <v>3309</v>
      </c>
      <c r="C534" t="s">
        <v>3302</v>
      </c>
      <c r="D534">
        <v>2022</v>
      </c>
      <c r="E534" s="52" t="s">
        <v>3310</v>
      </c>
      <c r="F534">
        <v>3563701</v>
      </c>
      <c r="G534">
        <v>3567754</v>
      </c>
      <c r="H534" t="s">
        <v>3304</v>
      </c>
      <c r="I534" t="s">
        <v>3300</v>
      </c>
      <c r="J534" s="51">
        <v>5.2824074074074072E-2</v>
      </c>
      <c r="K534" t="s">
        <v>160</v>
      </c>
      <c r="L534" t="s">
        <v>3305</v>
      </c>
      <c r="M534" t="s">
        <v>3306</v>
      </c>
      <c r="N534" t="s">
        <v>178</v>
      </c>
      <c r="O534" t="s">
        <v>144</v>
      </c>
      <c r="P534" t="s">
        <v>165</v>
      </c>
      <c r="Q534" t="s">
        <v>179</v>
      </c>
      <c r="R534" t="s">
        <v>167</v>
      </c>
      <c r="S534" t="s">
        <v>168</v>
      </c>
      <c r="T534" t="s">
        <v>169</v>
      </c>
      <c r="U534" t="s">
        <v>171</v>
      </c>
      <c r="V534">
        <v>2</v>
      </c>
      <c r="W534" t="s">
        <v>170</v>
      </c>
      <c r="X534" t="s">
        <v>3311</v>
      </c>
      <c r="Y534" t="s">
        <v>153</v>
      </c>
      <c r="Z534" s="53" t="s">
        <v>3312</v>
      </c>
      <c r="AA534"/>
      <c r="AB534"/>
      <c r="AC534"/>
      <c r="AD534"/>
      <c r="AE534">
        <v>1</v>
      </c>
      <c r="AF534"/>
      <c r="AH534" s="8">
        <v>1</v>
      </c>
      <c r="BG534" t="str">
        <f t="shared" si="9"/>
        <v>Interazionale</v>
      </c>
      <c r="BH534" s="3" t="str" cm="1">
        <f t="array" ref="BH534">IF(AE534=1, _xlfn.TEXTJOIN(" &amp; ", TRUE, _xlfn._xlws.FILTER($AG$2:$BC$2, AG534:BC534=1)), "")</f>
        <v>Richiesta di accordo/conferma</v>
      </c>
    </row>
    <row r="535" spans="1:60" x14ac:dyDescent="0.3">
      <c r="A535" t="s">
        <v>740</v>
      </c>
      <c r="B535" t="s">
        <v>3313</v>
      </c>
      <c r="C535" t="s">
        <v>742</v>
      </c>
      <c r="D535">
        <v>2020</v>
      </c>
      <c r="E535" s="52" t="s">
        <v>3314</v>
      </c>
      <c r="F535">
        <v>512485</v>
      </c>
      <c r="G535">
        <v>514505</v>
      </c>
      <c r="H535" t="s">
        <v>3315</v>
      </c>
      <c r="I535" t="s">
        <v>740</v>
      </c>
      <c r="J535" s="51">
        <v>2.2175925925925925E-2</v>
      </c>
      <c r="K535" t="s">
        <v>140</v>
      </c>
      <c r="L535" t="s">
        <v>745</v>
      </c>
      <c r="M535" t="s">
        <v>746</v>
      </c>
      <c r="N535" t="s">
        <v>143</v>
      </c>
      <c r="O535" t="s">
        <v>144</v>
      </c>
      <c r="P535" t="s">
        <v>747</v>
      </c>
      <c r="Q535" t="s">
        <v>1396</v>
      </c>
      <c r="R535" t="s">
        <v>147</v>
      </c>
      <c r="S535" t="s">
        <v>148</v>
      </c>
      <c r="T535" t="s">
        <v>658</v>
      </c>
      <c r="U535" t="s">
        <v>1396</v>
      </c>
      <c r="V535">
        <v>5</v>
      </c>
      <c r="W535" t="s">
        <v>269</v>
      </c>
      <c r="X535" t="s">
        <v>3316</v>
      </c>
      <c r="Y535" t="s">
        <v>153</v>
      </c>
      <c r="Z535" s="53" t="s">
        <v>3317</v>
      </c>
      <c r="AA535"/>
      <c r="AB535"/>
      <c r="AC535"/>
      <c r="AD535"/>
      <c r="AE535">
        <v>1</v>
      </c>
      <c r="AF535"/>
      <c r="AY535" s="10">
        <v>1</v>
      </c>
      <c r="BG535" t="str">
        <f t="shared" si="9"/>
        <v>Cognitiva</v>
      </c>
      <c r="BH535" s="3" t="str" cm="1">
        <f t="array" ref="BH535">IF(AE535=1, _xlfn.TEXTJOIN(" &amp; ", TRUE, _xlfn._xlws.FILTER($AG$2:$BC$2, AG535:BC535=1)), "")</f>
        <v>Modulazione del grado di confidenza del parlante</v>
      </c>
    </row>
    <row r="536" spans="1:60" x14ac:dyDescent="0.3">
      <c r="A536" t="s">
        <v>740</v>
      </c>
      <c r="B536" t="s">
        <v>3318</v>
      </c>
      <c r="C536" t="s">
        <v>742</v>
      </c>
      <c r="D536">
        <v>2020</v>
      </c>
      <c r="E536" s="52" t="s">
        <v>3319</v>
      </c>
      <c r="F536">
        <v>1101780</v>
      </c>
      <c r="G536">
        <v>1106780</v>
      </c>
      <c r="H536" t="s">
        <v>744</v>
      </c>
      <c r="I536" t="s">
        <v>740</v>
      </c>
      <c r="J536" s="51">
        <v>2.2175925925925925E-2</v>
      </c>
      <c r="K536" t="s">
        <v>140</v>
      </c>
      <c r="L536" t="s">
        <v>745</v>
      </c>
      <c r="M536" t="s">
        <v>746</v>
      </c>
      <c r="N536" t="s">
        <v>143</v>
      </c>
      <c r="O536" t="s">
        <v>144</v>
      </c>
      <c r="P536" t="s">
        <v>747</v>
      </c>
      <c r="Q536" t="s">
        <v>228</v>
      </c>
      <c r="R536" t="s">
        <v>147</v>
      </c>
      <c r="S536" t="s">
        <v>148</v>
      </c>
      <c r="T536" t="s">
        <v>658</v>
      </c>
      <c r="U536" t="s">
        <v>229</v>
      </c>
      <c r="V536">
        <v>5</v>
      </c>
      <c r="W536" t="s">
        <v>269</v>
      </c>
      <c r="X536" t="s">
        <v>3320</v>
      </c>
      <c r="Y536" t="s">
        <v>153</v>
      </c>
      <c r="Z536" s="53" t="s">
        <v>3321</v>
      </c>
      <c r="AA536"/>
      <c r="AB536"/>
      <c r="AC536"/>
      <c r="AD536"/>
      <c r="AE536">
        <v>1</v>
      </c>
      <c r="AF536"/>
      <c r="AH536" s="8">
        <v>1</v>
      </c>
      <c r="AM536" s="7">
        <v>1</v>
      </c>
      <c r="AP536" s="9">
        <v>1</v>
      </c>
      <c r="BD536" s="3">
        <v>1</v>
      </c>
      <c r="BG536" t="str">
        <f t="shared" si="9"/>
        <v>Interazionale &amp; Metatestuale</v>
      </c>
      <c r="BH536" s="3" t="str" cm="1">
        <f t="array" ref="BH536">IF(AE536=1, _xlfn.TEXTJOIN(" &amp; ", TRUE, _xlfn._xlws.FILTER($AG$2:$BC$2, AG536:BC536=1)), "")</f>
        <v>Richiesta di accordo/conferma &amp; Marcatura della conoscenza condivisa &amp; Gestione del topic: introduzione o ripresa di topic</v>
      </c>
    </row>
    <row r="537" spans="1:60" x14ac:dyDescent="0.3">
      <c r="A537" t="s">
        <v>740</v>
      </c>
      <c r="B537" t="s">
        <v>741</v>
      </c>
      <c r="C537" t="s">
        <v>742</v>
      </c>
      <c r="D537">
        <v>2020</v>
      </c>
      <c r="E537" s="52" t="s">
        <v>743</v>
      </c>
      <c r="F537">
        <v>1274900</v>
      </c>
      <c r="G537">
        <v>1289135</v>
      </c>
      <c r="H537" t="s">
        <v>744</v>
      </c>
      <c r="I537" t="s">
        <v>740</v>
      </c>
      <c r="J537" s="51">
        <v>2.2175925925925925E-2</v>
      </c>
      <c r="K537" t="s">
        <v>140</v>
      </c>
      <c r="L537" t="s">
        <v>745</v>
      </c>
      <c r="M537" t="s">
        <v>746</v>
      </c>
      <c r="N537" t="s">
        <v>143</v>
      </c>
      <c r="O537" t="s">
        <v>144</v>
      </c>
      <c r="P537" t="s">
        <v>747</v>
      </c>
      <c r="Q537" t="s">
        <v>228</v>
      </c>
      <c r="R537" t="s">
        <v>147</v>
      </c>
      <c r="S537" t="s">
        <v>148</v>
      </c>
      <c r="T537" t="s">
        <v>658</v>
      </c>
      <c r="U537" t="s">
        <v>229</v>
      </c>
      <c r="V537">
        <v>5</v>
      </c>
      <c r="W537" t="s">
        <v>269</v>
      </c>
      <c r="X537" t="s">
        <v>748</v>
      </c>
      <c r="Y537" t="s">
        <v>153</v>
      </c>
      <c r="Z537" s="53" t="s">
        <v>749</v>
      </c>
      <c r="AA537">
        <v>1</v>
      </c>
      <c r="AB537">
        <v>1</v>
      </c>
      <c r="AC537"/>
      <c r="AD537"/>
      <c r="AE537"/>
      <c r="AF537"/>
      <c r="BG537" t="str">
        <f t="shared" si="9"/>
        <v/>
      </c>
      <c r="BH537" s="3" t="str" cm="1">
        <f t="array" ref="BH537">IF(AE537=1, _xlfn.TEXTJOIN(" &amp; ", TRUE, _xlfn._xlws.FILTER($AG$2:$BC$2, AG537:BC537=1)), "")</f>
        <v/>
      </c>
    </row>
    <row r="538" spans="1:60" x14ac:dyDescent="0.3">
      <c r="A538" t="s">
        <v>740</v>
      </c>
      <c r="B538" t="s">
        <v>3322</v>
      </c>
      <c r="C538" t="s">
        <v>742</v>
      </c>
      <c r="D538">
        <v>2020</v>
      </c>
      <c r="E538" s="52" t="s">
        <v>3323</v>
      </c>
      <c r="F538">
        <v>1771720</v>
      </c>
      <c r="G538">
        <v>1781780</v>
      </c>
      <c r="H538" t="s">
        <v>3324</v>
      </c>
      <c r="I538" t="s">
        <v>740</v>
      </c>
      <c r="J538" s="51">
        <v>2.2175925925925925E-2</v>
      </c>
      <c r="K538" t="s">
        <v>140</v>
      </c>
      <c r="L538" t="s">
        <v>745</v>
      </c>
      <c r="M538" t="s">
        <v>746</v>
      </c>
      <c r="N538" t="s">
        <v>143</v>
      </c>
      <c r="O538" t="s">
        <v>164</v>
      </c>
      <c r="P538" t="s">
        <v>747</v>
      </c>
      <c r="Q538" t="s">
        <v>146</v>
      </c>
      <c r="R538" t="s">
        <v>147</v>
      </c>
      <c r="S538" t="s">
        <v>148</v>
      </c>
      <c r="T538" t="s">
        <v>603</v>
      </c>
      <c r="U538" t="s">
        <v>151</v>
      </c>
      <c r="V538">
        <v>5</v>
      </c>
      <c r="W538" t="s">
        <v>269</v>
      </c>
      <c r="X538" t="s">
        <v>3325</v>
      </c>
      <c r="Y538" t="s">
        <v>153</v>
      </c>
      <c r="Z538" s="53" t="s">
        <v>3326</v>
      </c>
      <c r="AA538">
        <v>1</v>
      </c>
      <c r="AB538">
        <v>1</v>
      </c>
      <c r="AC538"/>
      <c r="AD538"/>
      <c r="AE538"/>
      <c r="AF538"/>
      <c r="BG538" t="str">
        <f t="shared" si="9"/>
        <v/>
      </c>
      <c r="BH538" s="3" t="str" cm="1">
        <f t="array" ref="BH538">IF(AE538=1, _xlfn.TEXTJOIN(" &amp; ", TRUE, _xlfn._xlws.FILTER($AG$2:$BC$2, AG538:BC538=1)), "")</f>
        <v/>
      </c>
    </row>
    <row r="539" spans="1:60" x14ac:dyDescent="0.3">
      <c r="A539" t="s">
        <v>750</v>
      </c>
      <c r="B539" t="s">
        <v>3327</v>
      </c>
      <c r="C539" t="s">
        <v>751</v>
      </c>
      <c r="D539">
        <v>2020</v>
      </c>
      <c r="E539" s="52" t="s">
        <v>3328</v>
      </c>
      <c r="F539">
        <v>227260</v>
      </c>
      <c r="G539">
        <v>232612</v>
      </c>
      <c r="H539" t="s">
        <v>673</v>
      </c>
      <c r="I539" t="s">
        <v>750</v>
      </c>
      <c r="J539" s="51">
        <v>2.0844907407407406E-2</v>
      </c>
      <c r="K539" t="s">
        <v>140</v>
      </c>
      <c r="L539" t="s">
        <v>752</v>
      </c>
      <c r="M539" t="s">
        <v>753</v>
      </c>
      <c r="N539" t="s">
        <v>381</v>
      </c>
      <c r="O539" t="s">
        <v>144</v>
      </c>
      <c r="P539" t="s">
        <v>676</v>
      </c>
      <c r="Q539" t="s">
        <v>677</v>
      </c>
      <c r="R539" t="s">
        <v>147</v>
      </c>
      <c r="S539" t="s">
        <v>148</v>
      </c>
      <c r="T539" t="s">
        <v>169</v>
      </c>
      <c r="U539" t="s">
        <v>171</v>
      </c>
      <c r="V539">
        <v>2</v>
      </c>
      <c r="W539" t="s">
        <v>269</v>
      </c>
      <c r="X539" t="s">
        <v>3329</v>
      </c>
      <c r="Y539" t="s">
        <v>153</v>
      </c>
      <c r="Z539" s="53" t="s">
        <v>3330</v>
      </c>
      <c r="AA539"/>
      <c r="AB539"/>
      <c r="AC539"/>
      <c r="AD539"/>
      <c r="AE539">
        <v>1</v>
      </c>
      <c r="AF539"/>
      <c r="AM539" s="7">
        <v>1</v>
      </c>
      <c r="BG539" t="str">
        <f t="shared" si="9"/>
        <v>Interazionale</v>
      </c>
      <c r="BH539" s="3" t="str" cm="1">
        <f t="array" ref="BH539">IF(AE539=1, _xlfn.TEXTJOIN(" &amp; ", TRUE, _xlfn._xlws.FILTER($AG$2:$BC$2, AG539:BC539=1)), "")</f>
        <v>Marcatura della conoscenza condivisa</v>
      </c>
    </row>
    <row r="540" spans="1:60" x14ac:dyDescent="0.3">
      <c r="A540" t="s">
        <v>750</v>
      </c>
      <c r="B540" t="s">
        <v>3331</v>
      </c>
      <c r="C540" t="s">
        <v>751</v>
      </c>
      <c r="D540">
        <v>2020</v>
      </c>
      <c r="E540" s="52" t="s">
        <v>3332</v>
      </c>
      <c r="F540">
        <v>297130</v>
      </c>
      <c r="G540">
        <v>300920</v>
      </c>
      <c r="H540" t="s">
        <v>2374</v>
      </c>
      <c r="I540" t="s">
        <v>750</v>
      </c>
      <c r="J540" s="51">
        <v>2.0844907407407406E-2</v>
      </c>
      <c r="K540" t="s">
        <v>140</v>
      </c>
      <c r="L540" t="s">
        <v>752</v>
      </c>
      <c r="M540" t="s">
        <v>753</v>
      </c>
      <c r="N540" t="s">
        <v>143</v>
      </c>
      <c r="O540" t="s">
        <v>144</v>
      </c>
      <c r="P540" t="s">
        <v>676</v>
      </c>
      <c r="Q540" t="s">
        <v>146</v>
      </c>
      <c r="R540" t="s">
        <v>147</v>
      </c>
      <c r="S540" t="s">
        <v>148</v>
      </c>
      <c r="T540" t="s">
        <v>169</v>
      </c>
      <c r="U540" t="s">
        <v>151</v>
      </c>
      <c r="V540">
        <v>2</v>
      </c>
      <c r="W540" t="s">
        <v>269</v>
      </c>
      <c r="X540" t="s">
        <v>3333</v>
      </c>
      <c r="Y540" t="s">
        <v>153</v>
      </c>
      <c r="Z540" s="53" t="s">
        <v>3334</v>
      </c>
      <c r="AA540">
        <v>1</v>
      </c>
      <c r="AB540"/>
      <c r="AC540">
        <v>1</v>
      </c>
      <c r="AD540"/>
      <c r="AE540"/>
      <c r="AF540"/>
      <c r="BG540" t="str">
        <f t="shared" si="9"/>
        <v/>
      </c>
      <c r="BH540" s="3" t="str" cm="1">
        <f t="array" ref="BH540">IF(AE540=1, _xlfn.TEXTJOIN(" &amp; ", TRUE, _xlfn._xlws.FILTER($AG$2:$BC$2, AG540:BC540=1)), "")</f>
        <v/>
      </c>
    </row>
    <row r="541" spans="1:60" x14ac:dyDescent="0.3">
      <c r="A541" t="s">
        <v>750</v>
      </c>
      <c r="B541" t="s">
        <v>3335</v>
      </c>
      <c r="C541" t="s">
        <v>751</v>
      </c>
      <c r="D541">
        <v>2020</v>
      </c>
      <c r="E541" s="52" t="s">
        <v>3336</v>
      </c>
      <c r="F541">
        <v>343478</v>
      </c>
      <c r="G541">
        <v>345800</v>
      </c>
      <c r="H541" t="s">
        <v>673</v>
      </c>
      <c r="I541" t="s">
        <v>750</v>
      </c>
      <c r="J541" s="51">
        <v>2.0844907407407406E-2</v>
      </c>
      <c r="K541" t="s">
        <v>140</v>
      </c>
      <c r="L541" t="s">
        <v>752</v>
      </c>
      <c r="M541" t="s">
        <v>753</v>
      </c>
      <c r="N541" t="s">
        <v>381</v>
      </c>
      <c r="O541" t="s">
        <v>144</v>
      </c>
      <c r="P541" t="s">
        <v>676</v>
      </c>
      <c r="Q541" t="s">
        <v>677</v>
      </c>
      <c r="R541" t="s">
        <v>147</v>
      </c>
      <c r="S541" t="s">
        <v>148</v>
      </c>
      <c r="T541" t="s">
        <v>169</v>
      </c>
      <c r="U541" t="s">
        <v>171</v>
      </c>
      <c r="V541">
        <v>2</v>
      </c>
      <c r="W541" t="s">
        <v>269</v>
      </c>
      <c r="X541" t="s">
        <v>3337</v>
      </c>
      <c r="Y541" t="s">
        <v>153</v>
      </c>
      <c r="Z541" s="53" t="s">
        <v>3338</v>
      </c>
      <c r="AA541">
        <v>1</v>
      </c>
      <c r="AB541"/>
      <c r="AC541">
        <v>1</v>
      </c>
      <c r="AD541"/>
      <c r="AE541"/>
      <c r="AF541"/>
      <c r="BG541" t="str">
        <f t="shared" si="9"/>
        <v/>
      </c>
      <c r="BH541" s="3" t="str" cm="1">
        <f t="array" ref="BH541">IF(AE541=1, _xlfn.TEXTJOIN(" &amp; ", TRUE, _xlfn._xlws.FILTER($AG$2:$BC$2, AG541:BC541=1)), "")</f>
        <v/>
      </c>
    </row>
    <row r="542" spans="1:60" x14ac:dyDescent="0.3">
      <c r="A542" t="s">
        <v>750</v>
      </c>
      <c r="B542" t="s">
        <v>3339</v>
      </c>
      <c r="C542" t="s">
        <v>751</v>
      </c>
      <c r="D542">
        <v>2020</v>
      </c>
      <c r="E542" s="52" t="s">
        <v>3340</v>
      </c>
      <c r="F542">
        <v>345940</v>
      </c>
      <c r="G542">
        <v>348477</v>
      </c>
      <c r="H542" t="s">
        <v>673</v>
      </c>
      <c r="I542" t="s">
        <v>750</v>
      </c>
      <c r="J542" s="51">
        <v>2.0844907407407406E-2</v>
      </c>
      <c r="K542" t="s">
        <v>140</v>
      </c>
      <c r="L542" t="s">
        <v>752</v>
      </c>
      <c r="M542" t="s">
        <v>753</v>
      </c>
      <c r="N542" t="s">
        <v>381</v>
      </c>
      <c r="O542" t="s">
        <v>144</v>
      </c>
      <c r="P542" t="s">
        <v>676</v>
      </c>
      <c r="Q542" t="s">
        <v>677</v>
      </c>
      <c r="R542" t="s">
        <v>147</v>
      </c>
      <c r="S542" t="s">
        <v>148</v>
      </c>
      <c r="T542" t="s">
        <v>169</v>
      </c>
      <c r="U542" t="s">
        <v>171</v>
      </c>
      <c r="V542">
        <v>2</v>
      </c>
      <c r="W542" t="s">
        <v>269</v>
      </c>
      <c r="X542" t="s">
        <v>3341</v>
      </c>
      <c r="Y542" t="s">
        <v>153</v>
      </c>
      <c r="Z542" s="53" t="s">
        <v>3342</v>
      </c>
      <c r="AA542">
        <v>1</v>
      </c>
      <c r="AB542"/>
      <c r="AC542">
        <v>1</v>
      </c>
      <c r="AD542"/>
      <c r="AE542"/>
      <c r="AF542"/>
      <c r="BG542" t="str">
        <f t="shared" si="9"/>
        <v/>
      </c>
      <c r="BH542" s="3" t="str" cm="1">
        <f t="array" ref="BH542">IF(AE542=1, _xlfn.TEXTJOIN(" &amp; ", TRUE, _xlfn._xlws.FILTER($AG$2:$BC$2, AG542:BC542=1)), "")</f>
        <v/>
      </c>
    </row>
    <row r="543" spans="1:60" x14ac:dyDescent="0.3">
      <c r="A543" t="s">
        <v>750</v>
      </c>
      <c r="B543" t="s">
        <v>3343</v>
      </c>
      <c r="C543" t="s">
        <v>751</v>
      </c>
      <c r="D543">
        <v>2020</v>
      </c>
      <c r="E543" s="52" t="s">
        <v>3344</v>
      </c>
      <c r="F543">
        <v>1601852</v>
      </c>
      <c r="G543">
        <v>1606992</v>
      </c>
      <c r="H543" t="s">
        <v>2374</v>
      </c>
      <c r="I543" t="s">
        <v>750</v>
      </c>
      <c r="J543" s="51">
        <v>2.0844907407407406E-2</v>
      </c>
      <c r="K543" t="s">
        <v>140</v>
      </c>
      <c r="L543" t="s">
        <v>752</v>
      </c>
      <c r="M543" t="s">
        <v>753</v>
      </c>
      <c r="N543" t="s">
        <v>143</v>
      </c>
      <c r="O543" t="s">
        <v>144</v>
      </c>
      <c r="P543" t="s">
        <v>676</v>
      </c>
      <c r="Q543" t="s">
        <v>146</v>
      </c>
      <c r="R543" t="s">
        <v>147</v>
      </c>
      <c r="S543" t="s">
        <v>148</v>
      </c>
      <c r="T543" t="s">
        <v>169</v>
      </c>
      <c r="U543" t="s">
        <v>151</v>
      </c>
      <c r="V543">
        <v>2</v>
      </c>
      <c r="W543" t="s">
        <v>269</v>
      </c>
      <c r="X543" t="s">
        <v>3345</v>
      </c>
      <c r="Y543" t="s">
        <v>153</v>
      </c>
      <c r="Z543" s="53" t="s">
        <v>3346</v>
      </c>
      <c r="AA543"/>
      <c r="AB543"/>
      <c r="AC543"/>
      <c r="AD543"/>
      <c r="AE543">
        <v>1</v>
      </c>
      <c r="AF543"/>
      <c r="AV543" s="9">
        <v>1</v>
      </c>
      <c r="BG543" t="str">
        <f t="shared" si="9"/>
        <v>Metatestuale</v>
      </c>
      <c r="BH543" s="3" t="str" cm="1">
        <f t="array" ref="BH543">IF(AE543=1, _xlfn.TEXTJOIN(" &amp; ", TRUE, _xlfn._xlws.FILTER($AG$2:$BC$2, AG543:BC543=1)), "")</f>
        <v>Filler, riempimento dei tempi di formulazione</v>
      </c>
    </row>
    <row r="544" spans="1:60" x14ac:dyDescent="0.3">
      <c r="A544" t="s">
        <v>750</v>
      </c>
      <c r="B544" t="s">
        <v>3347</v>
      </c>
      <c r="C544" t="s">
        <v>751</v>
      </c>
      <c r="D544">
        <v>2020</v>
      </c>
      <c r="E544" s="52" t="s">
        <v>3348</v>
      </c>
      <c r="F544">
        <v>1641911</v>
      </c>
      <c r="G544">
        <v>1648310</v>
      </c>
      <c r="H544" t="s">
        <v>2374</v>
      </c>
      <c r="I544" t="s">
        <v>750</v>
      </c>
      <c r="J544" s="51">
        <v>2.0844907407407406E-2</v>
      </c>
      <c r="K544" t="s">
        <v>140</v>
      </c>
      <c r="L544" t="s">
        <v>752</v>
      </c>
      <c r="M544" t="s">
        <v>753</v>
      </c>
      <c r="N544" t="s">
        <v>143</v>
      </c>
      <c r="O544" t="s">
        <v>144</v>
      </c>
      <c r="P544" t="s">
        <v>676</v>
      </c>
      <c r="Q544" t="s">
        <v>146</v>
      </c>
      <c r="R544" t="s">
        <v>147</v>
      </c>
      <c r="S544" t="s">
        <v>148</v>
      </c>
      <c r="T544" t="s">
        <v>169</v>
      </c>
      <c r="U544" t="s">
        <v>151</v>
      </c>
      <c r="V544">
        <v>2</v>
      </c>
      <c r="W544" t="s">
        <v>269</v>
      </c>
      <c r="X544" t="s">
        <v>3349</v>
      </c>
      <c r="Y544" t="s">
        <v>153</v>
      </c>
      <c r="Z544" s="53" t="s">
        <v>3350</v>
      </c>
      <c r="AA544"/>
      <c r="AB544"/>
      <c r="AC544"/>
      <c r="AD544"/>
      <c r="AE544">
        <v>1</v>
      </c>
      <c r="AF544"/>
      <c r="AM544" s="7">
        <v>1</v>
      </c>
      <c r="BG544" t="str">
        <f t="shared" si="9"/>
        <v>Interazionale</v>
      </c>
      <c r="BH544" s="3" t="str" cm="1">
        <f t="array" ref="BH544">IF(AE544=1, _xlfn.TEXTJOIN(" &amp; ", TRUE, _xlfn._xlws.FILTER($AG$2:$BC$2, AG544:BC544=1)), "")</f>
        <v>Marcatura della conoscenza condivisa</v>
      </c>
    </row>
    <row r="545" spans="1:60" x14ac:dyDescent="0.3">
      <c r="A545" t="s">
        <v>754</v>
      </c>
      <c r="B545" t="s">
        <v>3351</v>
      </c>
      <c r="C545" t="s">
        <v>755</v>
      </c>
      <c r="D545">
        <v>2022</v>
      </c>
      <c r="E545" s="52" t="s">
        <v>3352</v>
      </c>
      <c r="F545">
        <v>453630</v>
      </c>
      <c r="G545">
        <v>455523</v>
      </c>
      <c r="H545" t="s">
        <v>272</v>
      </c>
      <c r="I545" t="s">
        <v>754</v>
      </c>
      <c r="J545" s="51">
        <v>2.1655092592592594E-2</v>
      </c>
      <c r="K545" t="s">
        <v>140</v>
      </c>
      <c r="L545" t="s">
        <v>757</v>
      </c>
      <c r="M545" t="s">
        <v>758</v>
      </c>
      <c r="N545" t="s">
        <v>143</v>
      </c>
      <c r="O545" t="s">
        <v>164</v>
      </c>
      <c r="P545" t="s">
        <v>165</v>
      </c>
      <c r="Q545" t="s">
        <v>146</v>
      </c>
      <c r="R545" t="s">
        <v>147</v>
      </c>
      <c r="S545" t="s">
        <v>148</v>
      </c>
      <c r="T545" t="s">
        <v>268</v>
      </c>
      <c r="U545" t="s">
        <v>151</v>
      </c>
      <c r="V545">
        <v>3</v>
      </c>
      <c r="W545" t="s">
        <v>269</v>
      </c>
      <c r="X545" t="s">
        <v>3353</v>
      </c>
      <c r="Y545" t="s">
        <v>153</v>
      </c>
      <c r="Z545" s="53" t="s">
        <v>3354</v>
      </c>
      <c r="AA545">
        <v>1</v>
      </c>
      <c r="AB545">
        <v>1</v>
      </c>
      <c r="AC545"/>
      <c r="AD545"/>
      <c r="AE545"/>
      <c r="AF545"/>
      <c r="BG545" t="str">
        <f t="shared" si="9"/>
        <v/>
      </c>
      <c r="BH545" s="3" t="str" cm="1">
        <f t="array" ref="BH545">IF(AE545=1, _xlfn.TEXTJOIN(" &amp; ", TRUE, _xlfn._xlws.FILTER($AG$2:$BC$2, AG545:BC545=1)), "")</f>
        <v/>
      </c>
    </row>
    <row r="546" spans="1:60" x14ac:dyDescent="0.3">
      <c r="A546" t="s">
        <v>754</v>
      </c>
      <c r="B546" t="s">
        <v>3355</v>
      </c>
      <c r="C546" t="s">
        <v>755</v>
      </c>
      <c r="D546">
        <v>2022</v>
      </c>
      <c r="E546" s="52" t="s">
        <v>3356</v>
      </c>
      <c r="F546">
        <v>1154840</v>
      </c>
      <c r="G546">
        <v>1156985</v>
      </c>
      <c r="H546" t="s">
        <v>756</v>
      </c>
      <c r="I546" t="s">
        <v>754</v>
      </c>
      <c r="J546" s="51">
        <v>2.1655092592592594E-2</v>
      </c>
      <c r="K546" t="s">
        <v>140</v>
      </c>
      <c r="L546" t="s">
        <v>757</v>
      </c>
      <c r="M546" t="s">
        <v>758</v>
      </c>
      <c r="N546" t="s">
        <v>336</v>
      </c>
      <c r="O546" t="s">
        <v>144</v>
      </c>
      <c r="P546" t="s">
        <v>165</v>
      </c>
      <c r="Q546" t="s">
        <v>228</v>
      </c>
      <c r="R546" t="s">
        <v>147</v>
      </c>
      <c r="S546" t="s">
        <v>148</v>
      </c>
      <c r="T546" t="s">
        <v>268</v>
      </c>
      <c r="U546" t="s">
        <v>229</v>
      </c>
      <c r="V546">
        <v>3</v>
      </c>
      <c r="W546" t="s">
        <v>269</v>
      </c>
      <c r="X546" t="s">
        <v>3357</v>
      </c>
      <c r="Y546" t="s">
        <v>153</v>
      </c>
      <c r="Z546" s="53" t="s">
        <v>3358</v>
      </c>
      <c r="AA546"/>
      <c r="AB546"/>
      <c r="AC546"/>
      <c r="AD546"/>
      <c r="AE546">
        <v>1</v>
      </c>
      <c r="AF546"/>
      <c r="AM546" s="7">
        <v>1</v>
      </c>
      <c r="BG546" t="str">
        <f t="shared" si="9"/>
        <v>Interazionale</v>
      </c>
      <c r="BH546" s="3" t="str" cm="1">
        <f t="array" ref="BH546">IF(AE546=1, _xlfn.TEXTJOIN(" &amp; ", TRUE, _xlfn._xlws.FILTER($AG$2:$BC$2, AG546:BC546=1)), "")</f>
        <v>Marcatura della conoscenza condivisa</v>
      </c>
    </row>
    <row r="547" spans="1:60" x14ac:dyDescent="0.3">
      <c r="A547" t="s">
        <v>754</v>
      </c>
      <c r="B547" t="s">
        <v>3359</v>
      </c>
      <c r="C547" t="s">
        <v>755</v>
      </c>
      <c r="D547">
        <v>2022</v>
      </c>
      <c r="E547" s="52" t="s">
        <v>3360</v>
      </c>
      <c r="F547">
        <v>1226308</v>
      </c>
      <c r="G547">
        <v>1228469</v>
      </c>
      <c r="H547" t="s">
        <v>756</v>
      </c>
      <c r="I547" t="s">
        <v>754</v>
      </c>
      <c r="J547" s="51">
        <v>2.1655092592592594E-2</v>
      </c>
      <c r="K547" t="s">
        <v>140</v>
      </c>
      <c r="L547" t="s">
        <v>757</v>
      </c>
      <c r="M547" t="s">
        <v>758</v>
      </c>
      <c r="N547" t="s">
        <v>336</v>
      </c>
      <c r="O547" t="s">
        <v>144</v>
      </c>
      <c r="P547" t="s">
        <v>165</v>
      </c>
      <c r="Q547" t="s">
        <v>228</v>
      </c>
      <c r="R547" t="s">
        <v>147</v>
      </c>
      <c r="S547" t="s">
        <v>148</v>
      </c>
      <c r="T547" t="s">
        <v>268</v>
      </c>
      <c r="U547" t="s">
        <v>229</v>
      </c>
      <c r="V547">
        <v>3</v>
      </c>
      <c r="W547" t="s">
        <v>269</v>
      </c>
      <c r="X547" t="s">
        <v>3361</v>
      </c>
      <c r="Y547" t="s">
        <v>153</v>
      </c>
      <c r="Z547" s="53" t="s">
        <v>3362</v>
      </c>
      <c r="AA547"/>
      <c r="AB547"/>
      <c r="AC547"/>
      <c r="AD547"/>
      <c r="AE547">
        <v>1</v>
      </c>
      <c r="AF547"/>
      <c r="AH547" s="8">
        <v>1</v>
      </c>
      <c r="BG547" t="str">
        <f t="shared" si="9"/>
        <v>Interazionale</v>
      </c>
      <c r="BH547" s="3" t="str" cm="1">
        <f t="array" ref="BH547">IF(AE547=1, _xlfn.TEXTJOIN(" &amp; ", TRUE, _xlfn._xlws.FILTER($AG$2:$BC$2, AG547:BC547=1)), "")</f>
        <v>Richiesta di accordo/conferma</v>
      </c>
    </row>
    <row r="548" spans="1:60" x14ac:dyDescent="0.3">
      <c r="A548" t="s">
        <v>754</v>
      </c>
      <c r="B548" t="s">
        <v>3363</v>
      </c>
      <c r="C548" t="s">
        <v>755</v>
      </c>
      <c r="D548">
        <v>2022</v>
      </c>
      <c r="E548" s="52" t="s">
        <v>3364</v>
      </c>
      <c r="F548">
        <v>1640580</v>
      </c>
      <c r="G548">
        <v>1641982</v>
      </c>
      <c r="H548" t="s">
        <v>756</v>
      </c>
      <c r="I548" t="s">
        <v>754</v>
      </c>
      <c r="J548" s="51">
        <v>2.1655092592592594E-2</v>
      </c>
      <c r="K548" t="s">
        <v>140</v>
      </c>
      <c r="L548" t="s">
        <v>757</v>
      </c>
      <c r="M548" t="s">
        <v>758</v>
      </c>
      <c r="N548" t="s">
        <v>336</v>
      </c>
      <c r="O548" t="s">
        <v>144</v>
      </c>
      <c r="P548" t="s">
        <v>165</v>
      </c>
      <c r="Q548" t="s">
        <v>228</v>
      </c>
      <c r="R548" t="s">
        <v>147</v>
      </c>
      <c r="S548" t="s">
        <v>148</v>
      </c>
      <c r="T548" t="s">
        <v>268</v>
      </c>
      <c r="U548" t="s">
        <v>229</v>
      </c>
      <c r="V548">
        <v>3</v>
      </c>
      <c r="W548" t="s">
        <v>269</v>
      </c>
      <c r="X548" t="s">
        <v>3365</v>
      </c>
      <c r="Y548" t="s">
        <v>153</v>
      </c>
      <c r="Z548" s="53" t="s">
        <v>3366</v>
      </c>
      <c r="AA548">
        <v>1</v>
      </c>
      <c r="AB548">
        <v>1</v>
      </c>
      <c r="AC548"/>
      <c r="AD548"/>
      <c r="AE548"/>
      <c r="AF548"/>
      <c r="BG548" t="str">
        <f t="shared" si="9"/>
        <v/>
      </c>
      <c r="BH548" s="3" t="str" cm="1">
        <f t="array" ref="BH548">IF(AE548=1, _xlfn.TEXTJOIN(" &amp; ", TRUE, _xlfn._xlws.FILTER($AG$2:$BC$2, AG548:BC548=1)), "")</f>
        <v/>
      </c>
    </row>
    <row r="549" spans="1:60" x14ac:dyDescent="0.3">
      <c r="A549" t="s">
        <v>3367</v>
      </c>
      <c r="B549" t="s">
        <v>3368</v>
      </c>
      <c r="C549" t="s">
        <v>3369</v>
      </c>
      <c r="D549">
        <v>2022</v>
      </c>
      <c r="E549" s="52" t="s">
        <v>3370</v>
      </c>
      <c r="F549">
        <v>193006</v>
      </c>
      <c r="G549">
        <v>194461</v>
      </c>
      <c r="H549" t="s">
        <v>3371</v>
      </c>
      <c r="I549" t="s">
        <v>3367</v>
      </c>
      <c r="J549" s="51">
        <v>2.1250000000000002E-2</v>
      </c>
      <c r="K549" t="s">
        <v>160</v>
      </c>
      <c r="L549" t="s">
        <v>3372</v>
      </c>
      <c r="M549" t="s">
        <v>3373</v>
      </c>
      <c r="N549" t="s">
        <v>143</v>
      </c>
      <c r="O549" t="s">
        <v>164</v>
      </c>
      <c r="P549" t="s">
        <v>165</v>
      </c>
      <c r="Q549" t="s">
        <v>146</v>
      </c>
      <c r="R549" t="s">
        <v>167</v>
      </c>
      <c r="S549" t="s">
        <v>168</v>
      </c>
      <c r="T549" t="s">
        <v>169</v>
      </c>
      <c r="U549" t="s">
        <v>151</v>
      </c>
      <c r="V549">
        <v>2</v>
      </c>
      <c r="W549" t="s">
        <v>170</v>
      </c>
      <c r="X549" t="s">
        <v>3374</v>
      </c>
      <c r="Y549" t="s">
        <v>153</v>
      </c>
      <c r="Z549" s="53" t="s">
        <v>3375</v>
      </c>
      <c r="AA549">
        <v>1</v>
      </c>
      <c r="AB549"/>
      <c r="AC549">
        <v>1</v>
      </c>
      <c r="AD549"/>
      <c r="AE549"/>
      <c r="AF549"/>
      <c r="BG549" t="str">
        <f t="shared" si="9"/>
        <v/>
      </c>
      <c r="BH549" s="3" t="str" cm="1">
        <f t="array" ref="BH549">IF(AE549=1, _xlfn.TEXTJOIN(" &amp; ", TRUE, _xlfn._xlws.FILTER($AG$2:$BC$2, AG549:BC549=1)), "")</f>
        <v/>
      </c>
    </row>
    <row r="550" spans="1:60" x14ac:dyDescent="0.3">
      <c r="A550" t="s">
        <v>3367</v>
      </c>
      <c r="B550" t="s">
        <v>3376</v>
      </c>
      <c r="C550" t="s">
        <v>3369</v>
      </c>
      <c r="D550">
        <v>2022</v>
      </c>
      <c r="E550" s="52" t="s">
        <v>3377</v>
      </c>
      <c r="F550">
        <v>911927</v>
      </c>
      <c r="G550">
        <v>915127</v>
      </c>
      <c r="H550" t="s">
        <v>3371</v>
      </c>
      <c r="I550" t="s">
        <v>3367</v>
      </c>
      <c r="J550" s="51">
        <v>2.1250000000000002E-2</v>
      </c>
      <c r="K550" t="s">
        <v>160</v>
      </c>
      <c r="L550" t="s">
        <v>3372</v>
      </c>
      <c r="M550" t="s">
        <v>3373</v>
      </c>
      <c r="N550" t="s">
        <v>143</v>
      </c>
      <c r="O550" t="s">
        <v>164</v>
      </c>
      <c r="P550" t="s">
        <v>165</v>
      </c>
      <c r="Q550" t="s">
        <v>146</v>
      </c>
      <c r="R550" t="s">
        <v>167</v>
      </c>
      <c r="S550" t="s">
        <v>168</v>
      </c>
      <c r="T550" t="s">
        <v>169</v>
      </c>
      <c r="U550" t="s">
        <v>151</v>
      </c>
      <c r="V550">
        <v>2</v>
      </c>
      <c r="W550" t="s">
        <v>170</v>
      </c>
      <c r="X550" t="s">
        <v>3378</v>
      </c>
      <c r="Y550" t="s">
        <v>153</v>
      </c>
      <c r="Z550" s="53" t="s">
        <v>3379</v>
      </c>
      <c r="AA550">
        <v>1</v>
      </c>
      <c r="AB550">
        <v>1</v>
      </c>
      <c r="AC550"/>
      <c r="AD550"/>
      <c r="AE550"/>
      <c r="AF550"/>
      <c r="BG550" t="str">
        <f t="shared" si="9"/>
        <v/>
      </c>
      <c r="BH550" s="3" t="str" cm="1">
        <f t="array" ref="BH550">IF(AE550=1, _xlfn.TEXTJOIN(" &amp; ", TRUE, _xlfn._xlws.FILTER($AG$2:$BC$2, AG550:BC550=1)), "")</f>
        <v/>
      </c>
    </row>
    <row r="551" spans="1:60" x14ac:dyDescent="0.3">
      <c r="A551" t="s">
        <v>3380</v>
      </c>
      <c r="B551" t="s">
        <v>3381</v>
      </c>
      <c r="C551" t="s">
        <v>3382</v>
      </c>
      <c r="D551">
        <v>2022</v>
      </c>
      <c r="E551" s="52" t="s">
        <v>3383</v>
      </c>
      <c r="F551">
        <v>2142320</v>
      </c>
      <c r="G551">
        <v>2146870</v>
      </c>
      <c r="H551" t="s">
        <v>3384</v>
      </c>
      <c r="I551" t="s">
        <v>3380</v>
      </c>
      <c r="J551" s="51">
        <v>4.3692129629629629E-2</v>
      </c>
      <c r="K551" t="s">
        <v>160</v>
      </c>
      <c r="L551" t="s">
        <v>3385</v>
      </c>
      <c r="M551" t="s">
        <v>3386</v>
      </c>
      <c r="N551" t="s">
        <v>197</v>
      </c>
      <c r="O551" t="s">
        <v>144</v>
      </c>
      <c r="P551" t="s">
        <v>165</v>
      </c>
      <c r="Q551" t="s">
        <v>179</v>
      </c>
      <c r="R551" t="s">
        <v>167</v>
      </c>
      <c r="S551" t="s">
        <v>168</v>
      </c>
      <c r="T551" t="s">
        <v>169</v>
      </c>
      <c r="U551" t="s">
        <v>183</v>
      </c>
      <c r="V551">
        <v>2</v>
      </c>
      <c r="W551" t="s">
        <v>170</v>
      </c>
      <c r="X551" t="s">
        <v>3387</v>
      </c>
      <c r="Y551" t="s">
        <v>153</v>
      </c>
      <c r="Z551" s="53" t="s">
        <v>3388</v>
      </c>
      <c r="AA551"/>
      <c r="AB551"/>
      <c r="AC551"/>
      <c r="AD551"/>
      <c r="AE551">
        <v>1</v>
      </c>
      <c r="AF551"/>
      <c r="AM551" s="7">
        <v>1</v>
      </c>
      <c r="BG551" t="str">
        <f t="shared" si="9"/>
        <v>Interazionale</v>
      </c>
      <c r="BH551" s="3" t="str" cm="1">
        <f t="array" ref="BH551">IF(AE551=1, _xlfn.TEXTJOIN(" &amp; ", TRUE, _xlfn._xlws.FILTER($AG$2:$BC$2, AG551:BC551=1)), "")</f>
        <v>Marcatura della conoscenza condivisa</v>
      </c>
    </row>
    <row r="552" spans="1:60" x14ac:dyDescent="0.3">
      <c r="A552" t="s">
        <v>3380</v>
      </c>
      <c r="B552" t="s">
        <v>3389</v>
      </c>
      <c r="C552" t="s">
        <v>3382</v>
      </c>
      <c r="D552">
        <v>2022</v>
      </c>
      <c r="E552" s="52" t="s">
        <v>3390</v>
      </c>
      <c r="F552">
        <v>2274820</v>
      </c>
      <c r="G552">
        <v>2280580</v>
      </c>
      <c r="H552" t="s">
        <v>3384</v>
      </c>
      <c r="I552" t="s">
        <v>3380</v>
      </c>
      <c r="J552" s="51">
        <v>4.3692129629629629E-2</v>
      </c>
      <c r="K552" t="s">
        <v>160</v>
      </c>
      <c r="L552" t="s">
        <v>3385</v>
      </c>
      <c r="M552" t="s">
        <v>3386</v>
      </c>
      <c r="N552" t="s">
        <v>197</v>
      </c>
      <c r="O552" t="s">
        <v>144</v>
      </c>
      <c r="P552" t="s">
        <v>165</v>
      </c>
      <c r="Q552" t="s">
        <v>179</v>
      </c>
      <c r="R552" t="s">
        <v>167</v>
      </c>
      <c r="S552" t="s">
        <v>168</v>
      </c>
      <c r="T552" t="s">
        <v>169</v>
      </c>
      <c r="U552" t="s">
        <v>183</v>
      </c>
      <c r="V552">
        <v>2</v>
      </c>
      <c r="W552" t="s">
        <v>170</v>
      </c>
      <c r="X552" t="s">
        <v>3391</v>
      </c>
      <c r="Y552" t="s">
        <v>153</v>
      </c>
      <c r="Z552" s="53" t="s">
        <v>3392</v>
      </c>
      <c r="AA552">
        <v>1</v>
      </c>
      <c r="AB552">
        <v>1</v>
      </c>
      <c r="AC552"/>
      <c r="AD552"/>
      <c r="AE552"/>
      <c r="AF552"/>
      <c r="BG552" t="str">
        <f t="shared" si="9"/>
        <v/>
      </c>
      <c r="BH552" s="3" t="str" cm="1">
        <f t="array" ref="BH552">IF(AE552=1, _xlfn.TEXTJOIN(" &amp; ", TRUE, _xlfn._xlws.FILTER($AG$2:$BC$2, AG552:BC552=1)), "")</f>
        <v/>
      </c>
    </row>
    <row r="553" spans="1:60" x14ac:dyDescent="0.3">
      <c r="A553" t="s">
        <v>3393</v>
      </c>
      <c r="B553" t="s">
        <v>3394</v>
      </c>
      <c r="C553" t="s">
        <v>3395</v>
      </c>
      <c r="D553">
        <v>2023</v>
      </c>
      <c r="E553" s="52" t="s">
        <v>3396</v>
      </c>
      <c r="F553">
        <v>104915</v>
      </c>
      <c r="G553">
        <v>105479</v>
      </c>
      <c r="H553" t="s">
        <v>3397</v>
      </c>
      <c r="I553" t="s">
        <v>3393</v>
      </c>
      <c r="J553" s="51">
        <v>1.8530092592592591E-2</v>
      </c>
      <c r="K553" t="s">
        <v>140</v>
      </c>
      <c r="L553" t="s">
        <v>3398</v>
      </c>
      <c r="M553" t="s">
        <v>3399</v>
      </c>
      <c r="N553" t="s">
        <v>336</v>
      </c>
      <c r="O553" t="s">
        <v>164</v>
      </c>
      <c r="P553" t="s">
        <v>3400</v>
      </c>
      <c r="Q553" t="s">
        <v>166</v>
      </c>
      <c r="R553" t="s">
        <v>147</v>
      </c>
      <c r="S553" t="s">
        <v>148</v>
      </c>
      <c r="T553" t="s">
        <v>400</v>
      </c>
      <c r="U553" t="s">
        <v>229</v>
      </c>
      <c r="V553">
        <v>2</v>
      </c>
      <c r="W553" t="s">
        <v>269</v>
      </c>
      <c r="X553" t="s">
        <v>3401</v>
      </c>
      <c r="Y553" t="s">
        <v>153</v>
      </c>
      <c r="Z553" s="53" t="s">
        <v>3402</v>
      </c>
      <c r="AA553"/>
      <c r="AB553"/>
      <c r="AC553"/>
      <c r="AD553"/>
      <c r="AE553">
        <v>1</v>
      </c>
      <c r="AF553"/>
      <c r="AM553" s="7">
        <v>1</v>
      </c>
      <c r="BG553" t="str">
        <f t="shared" si="9"/>
        <v>Interazionale</v>
      </c>
      <c r="BH553" s="3" t="str" cm="1">
        <f t="array" ref="BH553">IF(AE553=1, _xlfn.TEXTJOIN(" &amp; ", TRUE, _xlfn._xlws.FILTER($AG$2:$BC$2, AG553:BC553=1)), "")</f>
        <v>Marcatura della conoscenza condivisa</v>
      </c>
    </row>
    <row r="554" spans="1:60" x14ac:dyDescent="0.3">
      <c r="A554" t="s">
        <v>3393</v>
      </c>
      <c r="B554" t="s">
        <v>3403</v>
      </c>
      <c r="C554" t="s">
        <v>3395</v>
      </c>
      <c r="D554">
        <v>2023</v>
      </c>
      <c r="E554" s="52" t="s">
        <v>3404</v>
      </c>
      <c r="F554">
        <v>1046676</v>
      </c>
      <c r="G554">
        <v>1050575</v>
      </c>
      <c r="H554" t="s">
        <v>3405</v>
      </c>
      <c r="I554" t="s">
        <v>3393</v>
      </c>
      <c r="J554" s="51">
        <v>1.8530092592592591E-2</v>
      </c>
      <c r="K554" t="s">
        <v>140</v>
      </c>
      <c r="L554" t="s">
        <v>3398</v>
      </c>
      <c r="M554" t="s">
        <v>3399</v>
      </c>
      <c r="N554" t="s">
        <v>336</v>
      </c>
      <c r="O554" t="s">
        <v>144</v>
      </c>
      <c r="P554" t="s">
        <v>3400</v>
      </c>
      <c r="Q554" t="s">
        <v>146</v>
      </c>
      <c r="R554" t="s">
        <v>147</v>
      </c>
      <c r="S554" t="s">
        <v>148</v>
      </c>
      <c r="T554" t="s">
        <v>400</v>
      </c>
      <c r="U554" t="s">
        <v>151</v>
      </c>
      <c r="V554">
        <v>2</v>
      </c>
      <c r="W554" t="s">
        <v>269</v>
      </c>
      <c r="X554" t="s">
        <v>3406</v>
      </c>
      <c r="Y554" t="s">
        <v>153</v>
      </c>
      <c r="Z554" s="53" t="s">
        <v>3407</v>
      </c>
      <c r="AA554"/>
      <c r="AB554"/>
      <c r="AC554"/>
      <c r="AD554"/>
      <c r="AE554">
        <v>1</v>
      </c>
      <c r="AF554"/>
      <c r="AM554" s="7">
        <v>1</v>
      </c>
      <c r="AW554" s="21">
        <v>1</v>
      </c>
      <c r="BD554" s="3">
        <v>1</v>
      </c>
      <c r="BG554" t="str">
        <f t="shared" si="9"/>
        <v>Interazionale &amp; Metatestuale</v>
      </c>
      <c r="BH554" s="3" t="str" cm="1">
        <f t="array" ref="BH554">IF(AE554=1, _xlfn.TEXTJOIN(" &amp; ", TRUE, _xlfn._xlws.FILTER($AG$2:$BC$2, AG554:BC554=1)), "")</f>
        <v>Marcatura della conoscenza condivisa &amp; General extenders e marche di generalizzazione</v>
      </c>
    </row>
    <row r="555" spans="1:60" x14ac:dyDescent="0.3">
      <c r="A555" t="s">
        <v>3408</v>
      </c>
      <c r="B555" t="s">
        <v>3409</v>
      </c>
      <c r="C555" t="s">
        <v>3410</v>
      </c>
      <c r="D555">
        <v>2020</v>
      </c>
      <c r="E555" s="52" t="s">
        <v>3411</v>
      </c>
      <c r="F555">
        <v>2317176</v>
      </c>
      <c r="G555">
        <v>2318796</v>
      </c>
      <c r="H555" t="s">
        <v>3412</v>
      </c>
      <c r="I555" t="s">
        <v>3408</v>
      </c>
      <c r="J555" s="51">
        <v>3.4884259259259261E-2</v>
      </c>
      <c r="K555" t="s">
        <v>140</v>
      </c>
      <c r="L555" t="s">
        <v>3413</v>
      </c>
      <c r="M555" t="s">
        <v>3414</v>
      </c>
      <c r="N555" t="s">
        <v>143</v>
      </c>
      <c r="O555" t="s">
        <v>144</v>
      </c>
      <c r="P555" t="s">
        <v>165</v>
      </c>
      <c r="Q555" t="s">
        <v>467</v>
      </c>
      <c r="R555" t="s">
        <v>147</v>
      </c>
      <c r="S555" t="s">
        <v>148</v>
      </c>
      <c r="T555" t="s">
        <v>169</v>
      </c>
      <c r="U555" t="s">
        <v>229</v>
      </c>
      <c r="V555">
        <v>3</v>
      </c>
      <c r="W555" t="s">
        <v>269</v>
      </c>
      <c r="X555" t="s">
        <v>3415</v>
      </c>
      <c r="Y555" t="s">
        <v>153</v>
      </c>
      <c r="Z555" s="53" t="s">
        <v>3416</v>
      </c>
      <c r="AA555">
        <v>1</v>
      </c>
      <c r="AB555">
        <v>1</v>
      </c>
      <c r="AC555"/>
      <c r="AD555"/>
      <c r="AE555"/>
      <c r="AF555"/>
      <c r="BG555" t="str">
        <f t="shared" si="9"/>
        <v/>
      </c>
      <c r="BH555" s="3" t="str" cm="1">
        <f t="array" ref="BH555">IF(AE555=1, _xlfn.TEXTJOIN(" &amp; ", TRUE, _xlfn._xlws.FILTER($AG$2:$BC$2, AG555:BC555=1)), "")</f>
        <v/>
      </c>
    </row>
    <row r="556" spans="1:60" x14ac:dyDescent="0.3">
      <c r="A556" t="s">
        <v>759</v>
      </c>
      <c r="B556" t="s">
        <v>3417</v>
      </c>
      <c r="C556" t="s">
        <v>761</v>
      </c>
      <c r="D556">
        <v>2022</v>
      </c>
      <c r="E556" s="52" t="s">
        <v>3418</v>
      </c>
      <c r="F556">
        <v>36919</v>
      </c>
      <c r="G556">
        <v>39772</v>
      </c>
      <c r="H556" t="s">
        <v>763</v>
      </c>
      <c r="I556" t="s">
        <v>759</v>
      </c>
      <c r="J556" s="51">
        <v>2.8043981481481482E-2</v>
      </c>
      <c r="K556" t="s">
        <v>140</v>
      </c>
      <c r="L556" t="s">
        <v>764</v>
      </c>
      <c r="M556" t="s">
        <v>765</v>
      </c>
      <c r="N556" t="s">
        <v>415</v>
      </c>
      <c r="O556" t="s">
        <v>164</v>
      </c>
      <c r="P556" t="s">
        <v>425</v>
      </c>
      <c r="Q556" t="s">
        <v>179</v>
      </c>
      <c r="R556" t="s">
        <v>147</v>
      </c>
      <c r="S556" t="s">
        <v>148</v>
      </c>
      <c r="T556" t="s">
        <v>247</v>
      </c>
      <c r="U556" t="s">
        <v>318</v>
      </c>
      <c r="V556">
        <v>4</v>
      </c>
      <c r="W556" t="s">
        <v>269</v>
      </c>
      <c r="X556" t="s">
        <v>3419</v>
      </c>
      <c r="Y556" t="s">
        <v>153</v>
      </c>
      <c r="Z556" s="53" t="s">
        <v>3420</v>
      </c>
      <c r="AA556">
        <v>1</v>
      </c>
      <c r="AB556">
        <v>1</v>
      </c>
      <c r="AC556"/>
      <c r="AD556"/>
      <c r="AE556"/>
      <c r="AF556"/>
      <c r="BG556" t="str">
        <f t="shared" si="9"/>
        <v/>
      </c>
      <c r="BH556" s="3" t="str" cm="1">
        <f t="array" ref="BH556">IF(AE556=1, _xlfn.TEXTJOIN(" &amp; ", TRUE, _xlfn._xlws.FILTER($AG$2:$BC$2, AG556:BC556=1)), "")</f>
        <v/>
      </c>
    </row>
    <row r="557" spans="1:60" x14ac:dyDescent="0.3">
      <c r="A557" t="s">
        <v>759</v>
      </c>
      <c r="B557" t="s">
        <v>3421</v>
      </c>
      <c r="C557" t="s">
        <v>761</v>
      </c>
      <c r="D557">
        <v>2022</v>
      </c>
      <c r="E557" s="52" t="s">
        <v>3422</v>
      </c>
      <c r="F557">
        <v>39882</v>
      </c>
      <c r="G557">
        <v>40990</v>
      </c>
      <c r="H557" t="s">
        <v>763</v>
      </c>
      <c r="I557" t="s">
        <v>759</v>
      </c>
      <c r="J557" s="51">
        <v>2.8043981481481482E-2</v>
      </c>
      <c r="K557" t="s">
        <v>140</v>
      </c>
      <c r="L557" t="s">
        <v>764</v>
      </c>
      <c r="M557" t="s">
        <v>765</v>
      </c>
      <c r="N557" t="s">
        <v>415</v>
      </c>
      <c r="O557" t="s">
        <v>164</v>
      </c>
      <c r="P557" t="s">
        <v>425</v>
      </c>
      <c r="Q557" t="s">
        <v>179</v>
      </c>
      <c r="R557" t="s">
        <v>147</v>
      </c>
      <c r="S557" t="s">
        <v>148</v>
      </c>
      <c r="T557" t="s">
        <v>247</v>
      </c>
      <c r="U557" t="s">
        <v>318</v>
      </c>
      <c r="V557">
        <v>4</v>
      </c>
      <c r="W557" t="s">
        <v>269</v>
      </c>
      <c r="X557" t="s">
        <v>3423</v>
      </c>
      <c r="Y557" t="s">
        <v>153</v>
      </c>
      <c r="Z557" s="53" t="s">
        <v>3424</v>
      </c>
      <c r="AA557">
        <v>1</v>
      </c>
      <c r="AB557">
        <v>1</v>
      </c>
      <c r="AC557"/>
      <c r="AD557"/>
      <c r="AE557"/>
      <c r="AF557"/>
      <c r="BG557" t="str">
        <f t="shared" si="9"/>
        <v/>
      </c>
      <c r="BH557" s="3" t="str" cm="1">
        <f t="array" ref="BH557">IF(AE557=1, _xlfn.TEXTJOIN(" &amp; ", TRUE, _xlfn._xlws.FILTER($AG$2:$BC$2, AG557:BC557=1)), "")</f>
        <v/>
      </c>
    </row>
    <row r="558" spans="1:60" x14ac:dyDescent="0.3">
      <c r="A558" t="s">
        <v>759</v>
      </c>
      <c r="B558" t="s">
        <v>3425</v>
      </c>
      <c r="C558" t="s">
        <v>761</v>
      </c>
      <c r="D558">
        <v>2022</v>
      </c>
      <c r="E558" s="52" t="s">
        <v>3426</v>
      </c>
      <c r="F558">
        <v>168606</v>
      </c>
      <c r="G558">
        <v>169395</v>
      </c>
      <c r="H558" t="s">
        <v>770</v>
      </c>
      <c r="I558" t="s">
        <v>759</v>
      </c>
      <c r="J558" s="51">
        <v>2.8043981481481482E-2</v>
      </c>
      <c r="K558" t="s">
        <v>140</v>
      </c>
      <c r="L558" t="s">
        <v>764</v>
      </c>
      <c r="M558" t="s">
        <v>765</v>
      </c>
      <c r="N558" t="s">
        <v>143</v>
      </c>
      <c r="O558" t="s">
        <v>144</v>
      </c>
      <c r="P558" t="s">
        <v>425</v>
      </c>
      <c r="Q558" t="s">
        <v>146</v>
      </c>
      <c r="R558" t="s">
        <v>147</v>
      </c>
      <c r="S558" t="s">
        <v>148</v>
      </c>
      <c r="T558" t="s">
        <v>247</v>
      </c>
      <c r="U558" t="s">
        <v>151</v>
      </c>
      <c r="V558">
        <v>4</v>
      </c>
      <c r="W558" t="s">
        <v>269</v>
      </c>
      <c r="X558" t="s">
        <v>3427</v>
      </c>
      <c r="Y558" t="s">
        <v>153</v>
      </c>
      <c r="Z558" s="53" t="s">
        <v>3428</v>
      </c>
      <c r="AA558">
        <v>1</v>
      </c>
      <c r="AB558"/>
      <c r="AC558"/>
      <c r="AD558">
        <v>1</v>
      </c>
      <c r="AE558"/>
      <c r="AF558"/>
      <c r="BG558" t="str">
        <f t="shared" si="9"/>
        <v/>
      </c>
      <c r="BH558" s="3" t="str" cm="1">
        <f t="array" ref="BH558">IF(AE558=1, _xlfn.TEXTJOIN(" &amp; ", TRUE, _xlfn._xlws.FILTER($AG$2:$BC$2, AG558:BC558=1)), "")</f>
        <v/>
      </c>
    </row>
    <row r="559" spans="1:60" x14ac:dyDescent="0.3">
      <c r="A559" t="s">
        <v>759</v>
      </c>
      <c r="B559" t="s">
        <v>760</v>
      </c>
      <c r="C559" t="s">
        <v>761</v>
      </c>
      <c r="D559">
        <v>2022</v>
      </c>
      <c r="E559" s="52" t="s">
        <v>762</v>
      </c>
      <c r="F559">
        <v>424590</v>
      </c>
      <c r="G559">
        <v>425150</v>
      </c>
      <c r="H559" t="s">
        <v>763</v>
      </c>
      <c r="I559" t="s">
        <v>759</v>
      </c>
      <c r="J559" s="51">
        <v>2.8043981481481482E-2</v>
      </c>
      <c r="K559" t="s">
        <v>140</v>
      </c>
      <c r="L559" t="s">
        <v>764</v>
      </c>
      <c r="M559" t="s">
        <v>765</v>
      </c>
      <c r="N559" t="s">
        <v>415</v>
      </c>
      <c r="O559" t="s">
        <v>164</v>
      </c>
      <c r="P559" t="s">
        <v>425</v>
      </c>
      <c r="Q559" t="s">
        <v>179</v>
      </c>
      <c r="R559" t="s">
        <v>147</v>
      </c>
      <c r="S559" t="s">
        <v>148</v>
      </c>
      <c r="T559" t="s">
        <v>247</v>
      </c>
      <c r="U559" t="s">
        <v>318</v>
      </c>
      <c r="V559">
        <v>4</v>
      </c>
      <c r="W559" t="s">
        <v>269</v>
      </c>
      <c r="X559" t="s">
        <v>766</v>
      </c>
      <c r="Y559" t="s">
        <v>153</v>
      </c>
      <c r="Z559" s="53" t="s">
        <v>767</v>
      </c>
      <c r="AA559"/>
      <c r="AB559"/>
      <c r="AC559"/>
      <c r="AD559"/>
      <c r="AE559">
        <v>1</v>
      </c>
      <c r="AF559"/>
      <c r="AM559" s="7">
        <v>1</v>
      </c>
      <c r="BD559" s="3">
        <v>1</v>
      </c>
      <c r="BG559" t="str">
        <f t="shared" si="9"/>
        <v>Interazionale</v>
      </c>
      <c r="BH559" s="3" t="str" cm="1">
        <f t="array" ref="BH559">IF(AE559=1, _xlfn.TEXTJOIN(" &amp; ", TRUE, _xlfn._xlws.FILTER($AG$2:$BC$2, AG559:BC559=1)), "")</f>
        <v>Marcatura della conoscenza condivisa</v>
      </c>
    </row>
    <row r="560" spans="1:60" x14ac:dyDescent="0.3">
      <c r="A560" t="s">
        <v>759</v>
      </c>
      <c r="B560" t="s">
        <v>768</v>
      </c>
      <c r="C560" t="s">
        <v>761</v>
      </c>
      <c r="D560">
        <v>2022</v>
      </c>
      <c r="E560" s="52" t="s">
        <v>769</v>
      </c>
      <c r="F560">
        <v>1176230</v>
      </c>
      <c r="G560">
        <v>1177510</v>
      </c>
      <c r="H560" t="s">
        <v>770</v>
      </c>
      <c r="I560" t="s">
        <v>759</v>
      </c>
      <c r="J560" s="51">
        <v>2.8043981481481482E-2</v>
      </c>
      <c r="K560" t="s">
        <v>140</v>
      </c>
      <c r="L560" t="s">
        <v>764</v>
      </c>
      <c r="M560" t="s">
        <v>765</v>
      </c>
      <c r="N560" t="s">
        <v>143</v>
      </c>
      <c r="O560" t="s">
        <v>144</v>
      </c>
      <c r="P560" t="s">
        <v>425</v>
      </c>
      <c r="Q560" t="s">
        <v>146</v>
      </c>
      <c r="R560" t="s">
        <v>147</v>
      </c>
      <c r="S560" t="s">
        <v>148</v>
      </c>
      <c r="T560" t="s">
        <v>247</v>
      </c>
      <c r="U560" t="s">
        <v>151</v>
      </c>
      <c r="V560">
        <v>4</v>
      </c>
      <c r="W560" t="s">
        <v>269</v>
      </c>
      <c r="X560" t="s">
        <v>771</v>
      </c>
      <c r="Y560" t="s">
        <v>153</v>
      </c>
      <c r="Z560" s="53" t="s">
        <v>772</v>
      </c>
      <c r="AA560">
        <v>1</v>
      </c>
      <c r="AB560">
        <v>1</v>
      </c>
      <c r="AC560"/>
      <c r="AD560"/>
      <c r="AE560"/>
      <c r="AF560"/>
      <c r="BG560" t="str">
        <f t="shared" si="9"/>
        <v/>
      </c>
      <c r="BH560" s="3" t="str" cm="1">
        <f t="array" ref="BH560">IF(AE560=1, _xlfn.TEXTJOIN(" &amp; ", TRUE, _xlfn._xlws.FILTER($AG$2:$BC$2, AG560:BC560=1)), "")</f>
        <v/>
      </c>
    </row>
    <row r="561" spans="1:60" x14ac:dyDescent="0.3">
      <c r="A561" t="s">
        <v>759</v>
      </c>
      <c r="B561" t="s">
        <v>773</v>
      </c>
      <c r="C561" t="s">
        <v>761</v>
      </c>
      <c r="D561">
        <v>2022</v>
      </c>
      <c r="E561" s="52" t="s">
        <v>774</v>
      </c>
      <c r="F561">
        <v>1184490</v>
      </c>
      <c r="G561">
        <v>1187300</v>
      </c>
      <c r="H561" t="s">
        <v>422</v>
      </c>
      <c r="I561" t="s">
        <v>759</v>
      </c>
      <c r="J561" s="51">
        <v>2.8043981481481482E-2</v>
      </c>
      <c r="K561" t="s">
        <v>140</v>
      </c>
      <c r="L561" t="s">
        <v>764</v>
      </c>
      <c r="M561" t="s">
        <v>765</v>
      </c>
      <c r="N561" t="s">
        <v>317</v>
      </c>
      <c r="O561" t="s">
        <v>164</v>
      </c>
      <c r="P561" t="s">
        <v>425</v>
      </c>
      <c r="Q561" t="s">
        <v>146</v>
      </c>
      <c r="R561" t="s">
        <v>147</v>
      </c>
      <c r="S561" t="s">
        <v>148</v>
      </c>
      <c r="T561" t="s">
        <v>247</v>
      </c>
      <c r="U561" t="s">
        <v>151</v>
      </c>
      <c r="V561">
        <v>4</v>
      </c>
      <c r="W561" t="s">
        <v>269</v>
      </c>
      <c r="X561" t="s">
        <v>775</v>
      </c>
      <c r="Y561" t="s">
        <v>153</v>
      </c>
      <c r="Z561" s="53" t="s">
        <v>776</v>
      </c>
      <c r="AA561">
        <v>1</v>
      </c>
      <c r="AB561"/>
      <c r="AC561">
        <v>1</v>
      </c>
      <c r="AD561"/>
      <c r="AE561"/>
      <c r="AF561"/>
      <c r="BG561" t="str">
        <f t="shared" si="9"/>
        <v/>
      </c>
      <c r="BH561" s="3" t="str" cm="1">
        <f t="array" ref="BH561">IF(AE561=1, _xlfn.TEXTJOIN(" &amp; ", TRUE, _xlfn._xlws.FILTER($AG$2:$BC$2, AG561:BC561=1)), "")</f>
        <v/>
      </c>
    </row>
    <row r="562" spans="1:60" x14ac:dyDescent="0.3">
      <c r="A562" t="s">
        <v>759</v>
      </c>
      <c r="B562" t="s">
        <v>3429</v>
      </c>
      <c r="C562" t="s">
        <v>761</v>
      </c>
      <c r="D562">
        <v>2022</v>
      </c>
      <c r="E562" s="52" t="s">
        <v>3430</v>
      </c>
      <c r="F562">
        <v>1533060</v>
      </c>
      <c r="G562">
        <v>1534562</v>
      </c>
      <c r="H562" t="s">
        <v>763</v>
      </c>
      <c r="I562" t="s">
        <v>759</v>
      </c>
      <c r="J562" s="51">
        <v>2.8043981481481482E-2</v>
      </c>
      <c r="K562" t="s">
        <v>140</v>
      </c>
      <c r="L562" t="s">
        <v>764</v>
      </c>
      <c r="M562" t="s">
        <v>765</v>
      </c>
      <c r="N562" t="s">
        <v>415</v>
      </c>
      <c r="O562" t="s">
        <v>164</v>
      </c>
      <c r="P562" t="s">
        <v>425</v>
      </c>
      <c r="Q562" t="s">
        <v>179</v>
      </c>
      <c r="R562" t="s">
        <v>147</v>
      </c>
      <c r="S562" t="s">
        <v>148</v>
      </c>
      <c r="T562" t="s">
        <v>247</v>
      </c>
      <c r="U562" t="s">
        <v>318</v>
      </c>
      <c r="V562">
        <v>4</v>
      </c>
      <c r="W562" t="s">
        <v>269</v>
      </c>
      <c r="X562" t="s">
        <v>3431</v>
      </c>
      <c r="Y562" t="s">
        <v>153</v>
      </c>
      <c r="Z562" s="53" t="s">
        <v>3432</v>
      </c>
      <c r="AA562">
        <v>1</v>
      </c>
      <c r="AB562">
        <v>1</v>
      </c>
      <c r="AC562"/>
      <c r="AD562"/>
      <c r="AE562"/>
      <c r="AF562"/>
      <c r="BG562" t="str">
        <f t="shared" si="9"/>
        <v/>
      </c>
      <c r="BH562" s="3" t="str" cm="1">
        <f t="array" ref="BH562">IF(AE562=1, _xlfn.TEXTJOIN(" &amp; ", TRUE, _xlfn._xlws.FILTER($AG$2:$BC$2, AG562:BC562=1)), "")</f>
        <v/>
      </c>
    </row>
    <row r="563" spans="1:60" x14ac:dyDescent="0.3">
      <c r="A563" t="s">
        <v>777</v>
      </c>
      <c r="B563" t="s">
        <v>3433</v>
      </c>
      <c r="C563" t="s">
        <v>778</v>
      </c>
      <c r="D563">
        <v>2022</v>
      </c>
      <c r="E563" s="52" t="s">
        <v>3434</v>
      </c>
      <c r="F563">
        <v>249705</v>
      </c>
      <c r="G563">
        <v>251220</v>
      </c>
      <c r="H563" t="s">
        <v>779</v>
      </c>
      <c r="I563" t="s">
        <v>777</v>
      </c>
      <c r="J563" s="51">
        <v>2.1851851851851851E-2</v>
      </c>
      <c r="K563" t="s">
        <v>160</v>
      </c>
      <c r="L563" t="s">
        <v>780</v>
      </c>
      <c r="M563" t="s">
        <v>781</v>
      </c>
      <c r="N563" t="s">
        <v>286</v>
      </c>
      <c r="O563" t="s">
        <v>144</v>
      </c>
      <c r="P563" t="s">
        <v>165</v>
      </c>
      <c r="Q563" t="s">
        <v>527</v>
      </c>
      <c r="R563" t="s">
        <v>167</v>
      </c>
      <c r="S563" t="s">
        <v>168</v>
      </c>
      <c r="T563" t="s">
        <v>603</v>
      </c>
      <c r="U563" t="s">
        <v>318</v>
      </c>
      <c r="V563">
        <v>2</v>
      </c>
      <c r="W563" t="s">
        <v>170</v>
      </c>
      <c r="X563" t="s">
        <v>3435</v>
      </c>
      <c r="Y563" t="s">
        <v>153</v>
      </c>
      <c r="Z563" s="53" t="s">
        <v>3436</v>
      </c>
      <c r="AA563">
        <v>1</v>
      </c>
      <c r="AB563"/>
      <c r="AC563"/>
      <c r="AD563">
        <v>1</v>
      </c>
      <c r="AE563"/>
      <c r="AF563"/>
      <c r="BG563" t="str">
        <f t="shared" si="9"/>
        <v/>
      </c>
      <c r="BH563" s="3" t="str" cm="1">
        <f t="array" ref="BH563">IF(AE563=1, _xlfn.TEXTJOIN(" &amp; ", TRUE, _xlfn._xlws.FILTER($AG$2:$BC$2, AG563:BC563=1)), "")</f>
        <v/>
      </c>
    </row>
    <row r="564" spans="1:60" x14ac:dyDescent="0.3">
      <c r="A564" t="s">
        <v>777</v>
      </c>
      <c r="B564" t="s">
        <v>3437</v>
      </c>
      <c r="C564" t="s">
        <v>778</v>
      </c>
      <c r="D564">
        <v>2022</v>
      </c>
      <c r="E564" s="52" t="s">
        <v>3438</v>
      </c>
      <c r="F564">
        <v>883075</v>
      </c>
      <c r="G564">
        <v>886202</v>
      </c>
      <c r="H564" t="s">
        <v>779</v>
      </c>
      <c r="I564" t="s">
        <v>777</v>
      </c>
      <c r="J564" s="51">
        <v>2.1851851851851851E-2</v>
      </c>
      <c r="K564" t="s">
        <v>160</v>
      </c>
      <c r="L564" t="s">
        <v>780</v>
      </c>
      <c r="M564" t="s">
        <v>781</v>
      </c>
      <c r="N564" t="s">
        <v>286</v>
      </c>
      <c r="O564" t="s">
        <v>144</v>
      </c>
      <c r="P564" t="s">
        <v>165</v>
      </c>
      <c r="Q564" t="s">
        <v>527</v>
      </c>
      <c r="R564" t="s">
        <v>167</v>
      </c>
      <c r="S564" t="s">
        <v>168</v>
      </c>
      <c r="T564" t="s">
        <v>603</v>
      </c>
      <c r="U564" t="s">
        <v>318</v>
      </c>
      <c r="V564">
        <v>2</v>
      </c>
      <c r="W564" t="s">
        <v>170</v>
      </c>
      <c r="X564" t="s">
        <v>3439</v>
      </c>
      <c r="Y564" t="s">
        <v>153</v>
      </c>
      <c r="Z564" s="53" t="s">
        <v>3440</v>
      </c>
      <c r="AA564"/>
      <c r="AB564"/>
      <c r="AC564"/>
      <c r="AD564"/>
      <c r="AE564">
        <v>1</v>
      </c>
      <c r="AF564"/>
      <c r="AS564" s="21">
        <v>1</v>
      </c>
      <c r="BG564" t="str">
        <f t="shared" si="9"/>
        <v>Metatestuale</v>
      </c>
      <c r="BH564" s="3" t="str" cm="1">
        <f t="array" ref="BH564">IF(AE564=1, _xlfn.TEXTJOIN(" &amp; ", TRUE, _xlfn._xlws.FILTER($AG$2:$BC$2, AG564:BC564=1)), "")</f>
        <v>Riformulazione</v>
      </c>
    </row>
    <row r="565" spans="1:60" x14ac:dyDescent="0.3">
      <c r="A565" t="s">
        <v>777</v>
      </c>
      <c r="B565" t="s">
        <v>3441</v>
      </c>
      <c r="C565" t="s">
        <v>778</v>
      </c>
      <c r="D565">
        <v>2022</v>
      </c>
      <c r="E565" s="52" t="s">
        <v>3442</v>
      </c>
      <c r="F565">
        <v>1611540</v>
      </c>
      <c r="G565">
        <v>1615932</v>
      </c>
      <c r="H565" t="s">
        <v>779</v>
      </c>
      <c r="I565" t="s">
        <v>777</v>
      </c>
      <c r="J565" s="51">
        <v>2.1851851851851851E-2</v>
      </c>
      <c r="K565" t="s">
        <v>160</v>
      </c>
      <c r="L565" t="s">
        <v>780</v>
      </c>
      <c r="M565" t="s">
        <v>781</v>
      </c>
      <c r="N565" t="s">
        <v>286</v>
      </c>
      <c r="O565" t="s">
        <v>144</v>
      </c>
      <c r="P565" t="s">
        <v>165</v>
      </c>
      <c r="Q565" t="s">
        <v>527</v>
      </c>
      <c r="R565" t="s">
        <v>167</v>
      </c>
      <c r="S565" t="s">
        <v>168</v>
      </c>
      <c r="T565" t="s">
        <v>603</v>
      </c>
      <c r="U565" t="s">
        <v>318</v>
      </c>
      <c r="V565">
        <v>2</v>
      </c>
      <c r="W565" t="s">
        <v>170</v>
      </c>
      <c r="X565" t="s">
        <v>3443</v>
      </c>
      <c r="Y565" t="s">
        <v>153</v>
      </c>
      <c r="Z565" s="53" t="s">
        <v>3444</v>
      </c>
      <c r="AA565"/>
      <c r="AB565"/>
      <c r="AC565"/>
      <c r="AD565"/>
      <c r="AE565">
        <v>1</v>
      </c>
      <c r="AF565"/>
      <c r="AH565" s="8">
        <v>1</v>
      </c>
      <c r="AM565" s="7">
        <v>1</v>
      </c>
      <c r="BD565" s="3">
        <v>1</v>
      </c>
      <c r="BG565" t="str">
        <f t="shared" si="9"/>
        <v>Interazionale</v>
      </c>
      <c r="BH565" s="3" t="str" cm="1">
        <f t="array" ref="BH565">IF(AE565=1, _xlfn.TEXTJOIN(" &amp; ", TRUE, _xlfn._xlws.FILTER($AG$2:$BC$2, AG565:BC565=1)), "")</f>
        <v>Richiesta di accordo/conferma &amp; Marcatura della conoscenza condivisa</v>
      </c>
    </row>
    <row r="566" spans="1:60" x14ac:dyDescent="0.3">
      <c r="A566" t="s">
        <v>777</v>
      </c>
      <c r="B566" t="s">
        <v>3445</v>
      </c>
      <c r="C566" t="s">
        <v>778</v>
      </c>
      <c r="D566">
        <v>2022</v>
      </c>
      <c r="E566" s="52" t="s">
        <v>3446</v>
      </c>
      <c r="F566">
        <v>1618353</v>
      </c>
      <c r="G566">
        <v>1623000</v>
      </c>
      <c r="H566" t="s">
        <v>779</v>
      </c>
      <c r="I566" t="s">
        <v>777</v>
      </c>
      <c r="J566" s="51">
        <v>2.1851851851851851E-2</v>
      </c>
      <c r="K566" t="s">
        <v>160</v>
      </c>
      <c r="L566" t="s">
        <v>780</v>
      </c>
      <c r="M566" t="s">
        <v>781</v>
      </c>
      <c r="N566" t="s">
        <v>286</v>
      </c>
      <c r="O566" t="s">
        <v>144</v>
      </c>
      <c r="P566" t="s">
        <v>165</v>
      </c>
      <c r="Q566" t="s">
        <v>527</v>
      </c>
      <c r="R566" t="s">
        <v>167</v>
      </c>
      <c r="S566" t="s">
        <v>168</v>
      </c>
      <c r="T566" t="s">
        <v>603</v>
      </c>
      <c r="U566" t="s">
        <v>318</v>
      </c>
      <c r="V566">
        <v>2</v>
      </c>
      <c r="W566" t="s">
        <v>170</v>
      </c>
      <c r="X566" t="s">
        <v>3447</v>
      </c>
      <c r="Y566" t="s">
        <v>153</v>
      </c>
      <c r="Z566" s="53" t="s">
        <v>3448</v>
      </c>
      <c r="AA566"/>
      <c r="AB566"/>
      <c r="AC566"/>
      <c r="AD566"/>
      <c r="AE566">
        <v>1</v>
      </c>
      <c r="AF566"/>
      <c r="AM566" s="7">
        <v>1</v>
      </c>
      <c r="BG566" t="str">
        <f t="shared" si="9"/>
        <v>Interazionale</v>
      </c>
      <c r="BH566" s="3" t="str" cm="1">
        <f t="array" ref="BH566">IF(AE566=1, _xlfn.TEXTJOIN(" &amp; ", TRUE, _xlfn._xlws.FILTER($AG$2:$BC$2, AG566:BC566=1)), "")</f>
        <v>Marcatura della conoscenza condivisa</v>
      </c>
    </row>
    <row r="567" spans="1:60" x14ac:dyDescent="0.3">
      <c r="A567" t="s">
        <v>777</v>
      </c>
      <c r="B567" t="s">
        <v>3449</v>
      </c>
      <c r="C567" t="s">
        <v>778</v>
      </c>
      <c r="D567">
        <v>2022</v>
      </c>
      <c r="E567" s="52" t="s">
        <v>3450</v>
      </c>
      <c r="F567">
        <v>1681959</v>
      </c>
      <c r="G567">
        <v>1687942</v>
      </c>
      <c r="H567" t="s">
        <v>779</v>
      </c>
      <c r="I567" t="s">
        <v>777</v>
      </c>
      <c r="J567" s="51">
        <v>2.1851851851851851E-2</v>
      </c>
      <c r="K567" t="s">
        <v>160</v>
      </c>
      <c r="L567" t="s">
        <v>780</v>
      </c>
      <c r="M567" t="s">
        <v>781</v>
      </c>
      <c r="N567" t="s">
        <v>286</v>
      </c>
      <c r="O567" t="s">
        <v>144</v>
      </c>
      <c r="P567" t="s">
        <v>165</v>
      </c>
      <c r="Q567" t="s">
        <v>527</v>
      </c>
      <c r="R567" t="s">
        <v>167</v>
      </c>
      <c r="S567" t="s">
        <v>168</v>
      </c>
      <c r="T567" t="s">
        <v>603</v>
      </c>
      <c r="U567" t="s">
        <v>318</v>
      </c>
      <c r="V567">
        <v>2</v>
      </c>
      <c r="W567" t="s">
        <v>170</v>
      </c>
      <c r="X567" t="s">
        <v>3451</v>
      </c>
      <c r="Y567" t="s">
        <v>153</v>
      </c>
      <c r="Z567" s="53" t="s">
        <v>3452</v>
      </c>
      <c r="AA567"/>
      <c r="AB567"/>
      <c r="AC567"/>
      <c r="AD567"/>
      <c r="AE567">
        <v>1</v>
      </c>
      <c r="AF567"/>
      <c r="AH567" s="8">
        <v>1</v>
      </c>
      <c r="AM567" s="7">
        <v>1</v>
      </c>
      <c r="BD567" s="3">
        <v>1</v>
      </c>
      <c r="BG567" t="str">
        <f t="shared" si="9"/>
        <v>Interazionale</v>
      </c>
      <c r="BH567" s="3" t="str" cm="1">
        <f t="array" ref="BH567">IF(AE567=1, _xlfn.TEXTJOIN(" &amp; ", TRUE, _xlfn._xlws.FILTER($AG$2:$BC$2, AG567:BC567=1)), "")</f>
        <v>Richiesta di accordo/conferma &amp; Marcatura della conoscenza condivisa</v>
      </c>
    </row>
    <row r="568" spans="1:60" x14ac:dyDescent="0.3">
      <c r="A568" t="s">
        <v>782</v>
      </c>
      <c r="B568" t="s">
        <v>3453</v>
      </c>
      <c r="C568" t="s">
        <v>783</v>
      </c>
      <c r="D568">
        <v>2020</v>
      </c>
      <c r="E568" s="52" t="s">
        <v>3454</v>
      </c>
      <c r="F568">
        <v>1104225</v>
      </c>
      <c r="G568">
        <v>1111155</v>
      </c>
      <c r="H568" t="s">
        <v>3455</v>
      </c>
      <c r="I568" t="s">
        <v>782</v>
      </c>
      <c r="J568" s="51">
        <v>2.1030092592592593E-2</v>
      </c>
      <c r="K568" t="s">
        <v>140</v>
      </c>
      <c r="L568" t="s">
        <v>785</v>
      </c>
      <c r="M568" t="s">
        <v>786</v>
      </c>
      <c r="N568" t="s">
        <v>381</v>
      </c>
      <c r="O568" t="s">
        <v>144</v>
      </c>
      <c r="P568" t="s">
        <v>747</v>
      </c>
      <c r="Q568" t="s">
        <v>179</v>
      </c>
      <c r="R568" t="s">
        <v>147</v>
      </c>
      <c r="S568" t="s">
        <v>148</v>
      </c>
      <c r="T568" t="s">
        <v>658</v>
      </c>
      <c r="U568" t="s">
        <v>318</v>
      </c>
      <c r="V568">
        <v>3</v>
      </c>
      <c r="W568" t="s">
        <v>269</v>
      </c>
      <c r="X568" t="s">
        <v>3456</v>
      </c>
      <c r="Y568" t="s">
        <v>153</v>
      </c>
      <c r="Z568" s="53" t="s">
        <v>3457</v>
      </c>
      <c r="AA568"/>
      <c r="AB568"/>
      <c r="AC568"/>
      <c r="AD568"/>
      <c r="AE568">
        <v>1</v>
      </c>
      <c r="AF568"/>
      <c r="AH568" s="8">
        <v>1</v>
      </c>
      <c r="BG568" t="str">
        <f t="shared" si="9"/>
        <v>Interazionale</v>
      </c>
      <c r="BH568" s="3" t="str" cm="1">
        <f t="array" ref="BH568">IF(AE568=1, _xlfn.TEXTJOIN(" &amp; ", TRUE, _xlfn._xlws.FILTER($AG$2:$BC$2, AG568:BC568=1)), "")</f>
        <v>Richiesta di accordo/conferma</v>
      </c>
    </row>
    <row r="569" spans="1:60" x14ac:dyDescent="0.3">
      <c r="A569" t="s">
        <v>782</v>
      </c>
      <c r="B569" t="s">
        <v>3458</v>
      </c>
      <c r="C569" t="s">
        <v>783</v>
      </c>
      <c r="D569">
        <v>2020</v>
      </c>
      <c r="E569" s="52" t="s">
        <v>3459</v>
      </c>
      <c r="F569">
        <v>1742950</v>
      </c>
      <c r="G569">
        <v>1749380</v>
      </c>
      <c r="H569" t="s">
        <v>784</v>
      </c>
      <c r="I569" t="s">
        <v>782</v>
      </c>
      <c r="J569" s="51">
        <v>2.1030092592592593E-2</v>
      </c>
      <c r="K569" t="s">
        <v>140</v>
      </c>
      <c r="L569" t="s">
        <v>785</v>
      </c>
      <c r="M569" t="s">
        <v>786</v>
      </c>
      <c r="N569" t="s">
        <v>143</v>
      </c>
      <c r="O569" t="s">
        <v>164</v>
      </c>
      <c r="P569" t="s">
        <v>747</v>
      </c>
      <c r="Q569" t="s">
        <v>146</v>
      </c>
      <c r="R569" t="s">
        <v>147</v>
      </c>
      <c r="S569" t="s">
        <v>148</v>
      </c>
      <c r="T569" t="s">
        <v>658</v>
      </c>
      <c r="U569" t="s">
        <v>151</v>
      </c>
      <c r="V569">
        <v>3</v>
      </c>
      <c r="W569" t="s">
        <v>269</v>
      </c>
      <c r="X569" t="s">
        <v>3460</v>
      </c>
      <c r="Y569" t="s">
        <v>153</v>
      </c>
      <c r="Z569" s="53" t="s">
        <v>3461</v>
      </c>
      <c r="AA569">
        <v>1</v>
      </c>
      <c r="AB569"/>
      <c r="AC569">
        <v>1</v>
      </c>
      <c r="AD569"/>
      <c r="AE569"/>
      <c r="AF569"/>
      <c r="BG569" t="str">
        <f t="shared" si="9"/>
        <v/>
      </c>
      <c r="BH569" s="3" t="str" cm="1">
        <f t="array" ref="BH569">IF(AE569=1, _xlfn.TEXTJOIN(" &amp; ", TRUE, _xlfn._xlws.FILTER($AG$2:$BC$2, AG569:BC569=1)), "")</f>
        <v/>
      </c>
    </row>
    <row r="570" spans="1:60" x14ac:dyDescent="0.3">
      <c r="A570" t="s">
        <v>3462</v>
      </c>
      <c r="B570" t="s">
        <v>3463</v>
      </c>
      <c r="C570" t="s">
        <v>3464</v>
      </c>
      <c r="D570">
        <v>2021</v>
      </c>
      <c r="E570" s="52" t="s">
        <v>3465</v>
      </c>
      <c r="F570">
        <v>439812</v>
      </c>
      <c r="G570">
        <v>441732</v>
      </c>
      <c r="H570" t="s">
        <v>3466</v>
      </c>
      <c r="I570" t="s">
        <v>3462</v>
      </c>
      <c r="J570" s="51">
        <v>2.2881944444444444E-2</v>
      </c>
      <c r="K570" t="s">
        <v>140</v>
      </c>
      <c r="L570" t="s">
        <v>3467</v>
      </c>
      <c r="M570" t="s">
        <v>3468</v>
      </c>
      <c r="N570" t="s">
        <v>178</v>
      </c>
      <c r="O570" t="s">
        <v>144</v>
      </c>
      <c r="P570" t="s">
        <v>115</v>
      </c>
      <c r="Q570" t="s">
        <v>179</v>
      </c>
      <c r="R570" t="s">
        <v>147</v>
      </c>
      <c r="S570" t="s">
        <v>148</v>
      </c>
      <c r="T570" t="s">
        <v>491</v>
      </c>
      <c r="U570" t="s">
        <v>198</v>
      </c>
      <c r="V570">
        <v>2</v>
      </c>
      <c r="W570" t="s">
        <v>269</v>
      </c>
      <c r="X570" t="s">
        <v>3469</v>
      </c>
      <c r="Y570" t="s">
        <v>153</v>
      </c>
      <c r="Z570" s="53" t="s">
        <v>3470</v>
      </c>
      <c r="AA570"/>
      <c r="AB570"/>
      <c r="AC570"/>
      <c r="AD570"/>
      <c r="AE570">
        <v>1</v>
      </c>
      <c r="AF570"/>
      <c r="AM570" s="7">
        <v>1</v>
      </c>
      <c r="BG570" t="str">
        <f t="shared" si="9"/>
        <v>Interazionale</v>
      </c>
      <c r="BH570" s="3" t="str" cm="1">
        <f t="array" ref="BH570">IF(AE570=1, _xlfn.TEXTJOIN(" &amp; ", TRUE, _xlfn._xlws.FILTER($AG$2:$BC$2, AG570:BC570=1)), "")</f>
        <v>Marcatura della conoscenza condivisa</v>
      </c>
    </row>
    <row r="571" spans="1:60" x14ac:dyDescent="0.3">
      <c r="A571" t="s">
        <v>787</v>
      </c>
      <c r="B571" t="s">
        <v>788</v>
      </c>
      <c r="C571" t="s">
        <v>789</v>
      </c>
      <c r="D571">
        <v>2019</v>
      </c>
      <c r="E571" s="52" t="s">
        <v>790</v>
      </c>
      <c r="F571">
        <v>700690</v>
      </c>
      <c r="G571">
        <v>707340</v>
      </c>
      <c r="H571" t="s">
        <v>791</v>
      </c>
      <c r="I571" t="s">
        <v>787</v>
      </c>
      <c r="J571" s="51">
        <v>2.6111111111111113E-2</v>
      </c>
      <c r="K571" t="s">
        <v>160</v>
      </c>
      <c r="L571" t="s">
        <v>792</v>
      </c>
      <c r="M571" t="s">
        <v>793</v>
      </c>
      <c r="N571" t="s">
        <v>143</v>
      </c>
      <c r="O571" t="s">
        <v>144</v>
      </c>
      <c r="P571" t="s">
        <v>145</v>
      </c>
      <c r="Q571" t="s">
        <v>146</v>
      </c>
      <c r="R571" t="s">
        <v>167</v>
      </c>
      <c r="S571" t="s">
        <v>168</v>
      </c>
      <c r="T571" t="s">
        <v>149</v>
      </c>
      <c r="U571" t="s">
        <v>151</v>
      </c>
      <c r="V571">
        <v>2</v>
      </c>
      <c r="W571" t="s">
        <v>170</v>
      </c>
      <c r="X571" t="s">
        <v>794</v>
      </c>
      <c r="Y571" t="s">
        <v>153</v>
      </c>
      <c r="Z571" s="53" t="s">
        <v>795</v>
      </c>
      <c r="AA571">
        <v>1</v>
      </c>
      <c r="AB571">
        <v>1</v>
      </c>
      <c r="AC571"/>
      <c r="AD571"/>
      <c r="AE571"/>
      <c r="AF571"/>
      <c r="BG571" t="str">
        <f t="shared" si="9"/>
        <v/>
      </c>
      <c r="BH571" s="3" t="str" cm="1">
        <f t="array" ref="BH571">IF(AE571=1, _xlfn.TEXTJOIN(" &amp; ", TRUE, _xlfn._xlws.FILTER($AG$2:$BC$2, AG571:BC571=1)), "")</f>
        <v/>
      </c>
    </row>
    <row r="572" spans="1:60" x14ac:dyDescent="0.3">
      <c r="A572" t="s">
        <v>787</v>
      </c>
      <c r="B572" t="s">
        <v>3471</v>
      </c>
      <c r="C572" t="s">
        <v>789</v>
      </c>
      <c r="D572">
        <v>2019</v>
      </c>
      <c r="E572" s="52" t="s">
        <v>3472</v>
      </c>
      <c r="F572">
        <v>928456</v>
      </c>
      <c r="G572">
        <v>930900</v>
      </c>
      <c r="H572" t="s">
        <v>791</v>
      </c>
      <c r="I572" t="s">
        <v>787</v>
      </c>
      <c r="J572" s="51">
        <v>2.6111111111111113E-2</v>
      </c>
      <c r="K572" t="s">
        <v>160</v>
      </c>
      <c r="L572" t="s">
        <v>792</v>
      </c>
      <c r="M572" t="s">
        <v>793</v>
      </c>
      <c r="N572" t="s">
        <v>143</v>
      </c>
      <c r="O572" t="s">
        <v>144</v>
      </c>
      <c r="P572" t="s">
        <v>145</v>
      </c>
      <c r="Q572" t="s">
        <v>146</v>
      </c>
      <c r="R572" t="s">
        <v>167</v>
      </c>
      <c r="S572" t="s">
        <v>168</v>
      </c>
      <c r="T572" t="s">
        <v>149</v>
      </c>
      <c r="U572" t="s">
        <v>151</v>
      </c>
      <c r="V572">
        <v>2</v>
      </c>
      <c r="W572" t="s">
        <v>170</v>
      </c>
      <c r="X572" t="s">
        <v>3473</v>
      </c>
      <c r="Y572" t="s">
        <v>153</v>
      </c>
      <c r="Z572" s="53" t="s">
        <v>3474</v>
      </c>
      <c r="AA572">
        <v>1</v>
      </c>
      <c r="AB572">
        <v>1</v>
      </c>
      <c r="AC572"/>
      <c r="AD572"/>
      <c r="AE572"/>
      <c r="AF572"/>
      <c r="BG572" t="str">
        <f t="shared" si="9"/>
        <v/>
      </c>
      <c r="BH572" s="3" t="str" cm="1">
        <f t="array" ref="BH572">IF(AE572=1, _xlfn.TEXTJOIN(" &amp; ", TRUE, _xlfn._xlws.FILTER($AG$2:$BC$2, AG572:BC572=1)), "")</f>
        <v/>
      </c>
    </row>
    <row r="573" spans="1:60" x14ac:dyDescent="0.3">
      <c r="A573" t="s">
        <v>787</v>
      </c>
      <c r="B573" t="s">
        <v>3475</v>
      </c>
      <c r="C573" t="s">
        <v>789</v>
      </c>
      <c r="D573">
        <v>2019</v>
      </c>
      <c r="E573" s="52" t="s">
        <v>3476</v>
      </c>
      <c r="F573">
        <v>1331166</v>
      </c>
      <c r="G573">
        <v>1333020</v>
      </c>
      <c r="H573" t="s">
        <v>791</v>
      </c>
      <c r="I573" t="s">
        <v>787</v>
      </c>
      <c r="J573" s="51">
        <v>2.6111111111111113E-2</v>
      </c>
      <c r="K573" t="s">
        <v>160</v>
      </c>
      <c r="L573" t="s">
        <v>792</v>
      </c>
      <c r="M573" t="s">
        <v>793</v>
      </c>
      <c r="N573" t="s">
        <v>143</v>
      </c>
      <c r="O573" t="s">
        <v>144</v>
      </c>
      <c r="P573" t="s">
        <v>145</v>
      </c>
      <c r="Q573" t="s">
        <v>146</v>
      </c>
      <c r="R573" t="s">
        <v>167</v>
      </c>
      <c r="S573" t="s">
        <v>168</v>
      </c>
      <c r="T573" t="s">
        <v>149</v>
      </c>
      <c r="U573" t="s">
        <v>151</v>
      </c>
      <c r="V573">
        <v>2</v>
      </c>
      <c r="W573" t="s">
        <v>170</v>
      </c>
      <c r="X573" t="s">
        <v>3477</v>
      </c>
      <c r="Y573" t="s">
        <v>153</v>
      </c>
      <c r="Z573" s="53" t="s">
        <v>3478</v>
      </c>
      <c r="AA573">
        <v>1</v>
      </c>
      <c r="AB573">
        <v>1</v>
      </c>
      <c r="AC573"/>
      <c r="AD573"/>
      <c r="AE573"/>
      <c r="AF573"/>
      <c r="BG573" t="str">
        <f t="shared" si="9"/>
        <v/>
      </c>
      <c r="BH573" s="3" t="str" cm="1">
        <f t="array" ref="BH573">IF(AE573=1, _xlfn.TEXTJOIN(" &amp; ", TRUE, _xlfn._xlws.FILTER($AG$2:$BC$2, AG573:BC573=1)), "")</f>
        <v/>
      </c>
    </row>
    <row r="574" spans="1:60" x14ac:dyDescent="0.3">
      <c r="A574" t="s">
        <v>3479</v>
      </c>
      <c r="B574" t="s">
        <v>3480</v>
      </c>
      <c r="C574" t="s">
        <v>3481</v>
      </c>
      <c r="D574" t="s">
        <v>204</v>
      </c>
      <c r="E574" s="52" t="s">
        <v>3482</v>
      </c>
      <c r="F574">
        <v>879485</v>
      </c>
      <c r="G574">
        <v>880876</v>
      </c>
      <c r="H574" t="s">
        <v>3483</v>
      </c>
      <c r="I574" t="s">
        <v>3479</v>
      </c>
      <c r="J574" s="51">
        <v>1.5439814814814814E-2</v>
      </c>
      <c r="K574" t="s">
        <v>160</v>
      </c>
      <c r="L574" t="s">
        <v>3484</v>
      </c>
      <c r="M574" t="s">
        <v>3485</v>
      </c>
      <c r="N574" t="s">
        <v>143</v>
      </c>
      <c r="O574" t="s">
        <v>164</v>
      </c>
      <c r="P574" t="s">
        <v>165</v>
      </c>
      <c r="Q574" t="s">
        <v>146</v>
      </c>
      <c r="R574" t="s">
        <v>167</v>
      </c>
      <c r="S574" t="s">
        <v>148</v>
      </c>
      <c r="T574" t="s">
        <v>169</v>
      </c>
      <c r="U574" t="s">
        <v>151</v>
      </c>
      <c r="V574">
        <v>2</v>
      </c>
      <c r="W574" t="s">
        <v>170</v>
      </c>
      <c r="X574" t="s">
        <v>3486</v>
      </c>
      <c r="Y574" t="s">
        <v>153</v>
      </c>
      <c r="Z574" s="53" t="s">
        <v>3487</v>
      </c>
      <c r="AA574">
        <v>1</v>
      </c>
      <c r="AB574">
        <v>1</v>
      </c>
      <c r="AC574"/>
      <c r="AD574"/>
      <c r="AE574"/>
      <c r="AF574"/>
      <c r="BG574" t="str">
        <f t="shared" si="9"/>
        <v/>
      </c>
      <c r="BH574" s="3" t="str" cm="1">
        <f t="array" ref="BH574">IF(AE574=1, _xlfn.TEXTJOIN(" &amp; ", TRUE, _xlfn._xlws.FILTER($AG$2:$BC$2, AG574:BC574=1)), "")</f>
        <v/>
      </c>
    </row>
    <row r="575" spans="1:60" x14ac:dyDescent="0.3">
      <c r="A575" t="s">
        <v>3479</v>
      </c>
      <c r="B575" t="s">
        <v>3488</v>
      </c>
      <c r="C575" t="s">
        <v>3481</v>
      </c>
      <c r="D575" t="s">
        <v>204</v>
      </c>
      <c r="E575" s="52" t="s">
        <v>3489</v>
      </c>
      <c r="F575">
        <v>1190826</v>
      </c>
      <c r="G575">
        <v>1191990</v>
      </c>
      <c r="H575" t="s">
        <v>3483</v>
      </c>
      <c r="I575" t="s">
        <v>3479</v>
      </c>
      <c r="J575" s="51">
        <v>1.5439814814814814E-2</v>
      </c>
      <c r="K575" t="s">
        <v>160</v>
      </c>
      <c r="L575" t="s">
        <v>3484</v>
      </c>
      <c r="M575" t="s">
        <v>3485</v>
      </c>
      <c r="N575" t="s">
        <v>143</v>
      </c>
      <c r="O575" t="s">
        <v>164</v>
      </c>
      <c r="P575" t="s">
        <v>165</v>
      </c>
      <c r="Q575" t="s">
        <v>146</v>
      </c>
      <c r="R575" t="s">
        <v>167</v>
      </c>
      <c r="S575" t="s">
        <v>148</v>
      </c>
      <c r="T575" t="s">
        <v>169</v>
      </c>
      <c r="U575" t="s">
        <v>151</v>
      </c>
      <c r="V575">
        <v>2</v>
      </c>
      <c r="W575" t="s">
        <v>170</v>
      </c>
      <c r="X575" t="s">
        <v>3490</v>
      </c>
      <c r="Y575" t="s">
        <v>153</v>
      </c>
      <c r="Z575" s="53" t="s">
        <v>3491</v>
      </c>
      <c r="AA575">
        <v>1</v>
      </c>
      <c r="AB575"/>
      <c r="AC575">
        <v>1</v>
      </c>
      <c r="AD575"/>
      <c r="AE575"/>
      <c r="AF575"/>
      <c r="BG575" t="str">
        <f t="shared" si="9"/>
        <v/>
      </c>
      <c r="BH575" s="3" t="str" cm="1">
        <f t="array" ref="BH575">IF(AE575=1, _xlfn.TEXTJOIN(" &amp; ", TRUE, _xlfn._xlws.FILTER($AG$2:$BC$2, AG575:BC575=1)), "")</f>
        <v/>
      </c>
    </row>
    <row r="576" spans="1:60" x14ac:dyDescent="0.3">
      <c r="A576" t="s">
        <v>796</v>
      </c>
      <c r="B576" t="s">
        <v>3492</v>
      </c>
      <c r="C576" t="s">
        <v>797</v>
      </c>
      <c r="D576">
        <v>2020</v>
      </c>
      <c r="E576" s="52" t="s">
        <v>3493</v>
      </c>
      <c r="F576">
        <v>568200</v>
      </c>
      <c r="G576">
        <v>569850</v>
      </c>
      <c r="H576" t="s">
        <v>798</v>
      </c>
      <c r="I576" t="s">
        <v>796</v>
      </c>
      <c r="J576" s="51">
        <v>2.6018518518518517E-2</v>
      </c>
      <c r="K576" t="s">
        <v>140</v>
      </c>
      <c r="L576" t="s">
        <v>799</v>
      </c>
      <c r="M576" t="s">
        <v>800</v>
      </c>
      <c r="N576" t="s">
        <v>163</v>
      </c>
      <c r="O576" t="s">
        <v>144</v>
      </c>
      <c r="P576" t="s">
        <v>801</v>
      </c>
      <c r="Q576" t="s">
        <v>166</v>
      </c>
      <c r="R576" t="s">
        <v>147</v>
      </c>
      <c r="S576" t="s">
        <v>148</v>
      </c>
      <c r="T576" t="s">
        <v>643</v>
      </c>
      <c r="U576" t="s">
        <v>229</v>
      </c>
      <c r="V576">
        <v>2</v>
      </c>
      <c r="W576" t="s">
        <v>269</v>
      </c>
      <c r="X576" t="s">
        <v>3494</v>
      </c>
      <c r="Y576" t="s">
        <v>153</v>
      </c>
      <c r="Z576" s="53" t="s">
        <v>3495</v>
      </c>
      <c r="AA576">
        <v>1</v>
      </c>
      <c r="AB576"/>
      <c r="AC576">
        <v>1</v>
      </c>
      <c r="AD576"/>
      <c r="AE576"/>
      <c r="AF576"/>
      <c r="BG576" t="str">
        <f t="shared" si="9"/>
        <v/>
      </c>
      <c r="BH576" s="3" t="str" cm="1">
        <f t="array" ref="BH576">IF(AE576=1, _xlfn.TEXTJOIN(" &amp; ", TRUE, _xlfn._xlws.FILTER($AG$2:$BC$2, AG576:BC576=1)), "")</f>
        <v/>
      </c>
    </row>
    <row r="577" spans="1:60" x14ac:dyDescent="0.3">
      <c r="A577" t="s">
        <v>796</v>
      </c>
      <c r="B577" t="s">
        <v>3496</v>
      </c>
      <c r="C577" t="s">
        <v>797</v>
      </c>
      <c r="D577">
        <v>2020</v>
      </c>
      <c r="E577" s="52" t="s">
        <v>3497</v>
      </c>
      <c r="F577">
        <v>802550</v>
      </c>
      <c r="G577">
        <v>803830</v>
      </c>
      <c r="H577" t="s">
        <v>640</v>
      </c>
      <c r="I577" t="s">
        <v>796</v>
      </c>
      <c r="J577" s="51">
        <v>2.6018518518518517E-2</v>
      </c>
      <c r="K577" t="s">
        <v>140</v>
      </c>
      <c r="L577" t="s">
        <v>799</v>
      </c>
      <c r="M577" t="s">
        <v>800</v>
      </c>
      <c r="N577" t="s">
        <v>143</v>
      </c>
      <c r="O577" t="s">
        <v>144</v>
      </c>
      <c r="P577" t="s">
        <v>801</v>
      </c>
      <c r="Q577" t="s">
        <v>228</v>
      </c>
      <c r="R577" t="s">
        <v>147</v>
      </c>
      <c r="S577" t="s">
        <v>148</v>
      </c>
      <c r="T577" t="s">
        <v>643</v>
      </c>
      <c r="U577" t="s">
        <v>183</v>
      </c>
      <c r="V577">
        <v>2</v>
      </c>
      <c r="W577" t="s">
        <v>269</v>
      </c>
      <c r="X577" t="s">
        <v>3498</v>
      </c>
      <c r="Y577" t="s">
        <v>153</v>
      </c>
      <c r="Z577" s="53" t="s">
        <v>3499</v>
      </c>
      <c r="AA577">
        <v>1</v>
      </c>
      <c r="AB577">
        <v>1</v>
      </c>
      <c r="AC577"/>
      <c r="AD577"/>
      <c r="AE577"/>
      <c r="AF577"/>
      <c r="BG577" t="str">
        <f t="shared" si="9"/>
        <v/>
      </c>
      <c r="BH577" s="3" t="str" cm="1">
        <f t="array" ref="BH577">IF(AE577=1, _xlfn.TEXTJOIN(" &amp; ", TRUE, _xlfn._xlws.FILTER($AG$2:$BC$2, AG577:BC577=1)), "")</f>
        <v/>
      </c>
    </row>
    <row r="578" spans="1:60" x14ac:dyDescent="0.3">
      <c r="A578" t="s">
        <v>796</v>
      </c>
      <c r="B578" t="s">
        <v>3500</v>
      </c>
      <c r="C578" t="s">
        <v>797</v>
      </c>
      <c r="D578">
        <v>2020</v>
      </c>
      <c r="E578" s="52" t="s">
        <v>3501</v>
      </c>
      <c r="F578">
        <v>1158312</v>
      </c>
      <c r="G578">
        <v>1161010</v>
      </c>
      <c r="H578" t="s">
        <v>798</v>
      </c>
      <c r="I578" t="s">
        <v>796</v>
      </c>
      <c r="J578" s="51">
        <v>2.6018518518518517E-2</v>
      </c>
      <c r="K578" t="s">
        <v>140</v>
      </c>
      <c r="L578" t="s">
        <v>799</v>
      </c>
      <c r="M578" t="s">
        <v>800</v>
      </c>
      <c r="N578" t="s">
        <v>163</v>
      </c>
      <c r="O578" t="s">
        <v>144</v>
      </c>
      <c r="P578" t="s">
        <v>801</v>
      </c>
      <c r="Q578" t="s">
        <v>166</v>
      </c>
      <c r="R578" t="s">
        <v>147</v>
      </c>
      <c r="S578" t="s">
        <v>148</v>
      </c>
      <c r="T578" t="s">
        <v>643</v>
      </c>
      <c r="U578" t="s">
        <v>229</v>
      </c>
      <c r="V578">
        <v>2</v>
      </c>
      <c r="W578" t="s">
        <v>269</v>
      </c>
      <c r="X578" t="s">
        <v>3502</v>
      </c>
      <c r="Y578" t="s">
        <v>153</v>
      </c>
      <c r="Z578" s="53" t="s">
        <v>3503</v>
      </c>
      <c r="AA578">
        <v>1</v>
      </c>
      <c r="AB578"/>
      <c r="AC578">
        <v>1</v>
      </c>
      <c r="AD578"/>
      <c r="AE578"/>
      <c r="AF578"/>
      <c r="BG578" t="str">
        <f t="shared" si="9"/>
        <v/>
      </c>
      <c r="BH578" s="3" t="str" cm="1">
        <f t="array" ref="BH578">IF(AE578=1, _xlfn.TEXTJOIN(" &amp; ", TRUE, _xlfn._xlws.FILTER($AG$2:$BC$2, AG578:BC578=1)), "")</f>
        <v/>
      </c>
    </row>
    <row r="579" spans="1:60" x14ac:dyDescent="0.3">
      <c r="A579" t="s">
        <v>796</v>
      </c>
      <c r="B579" t="s">
        <v>3504</v>
      </c>
      <c r="C579" t="s">
        <v>797</v>
      </c>
      <c r="D579">
        <v>2020</v>
      </c>
      <c r="E579" s="52" t="s">
        <v>3505</v>
      </c>
      <c r="F579">
        <v>1237920</v>
      </c>
      <c r="G579">
        <v>1247000</v>
      </c>
      <c r="H579" t="s">
        <v>798</v>
      </c>
      <c r="I579" t="s">
        <v>796</v>
      </c>
      <c r="J579" s="51">
        <v>2.6018518518518517E-2</v>
      </c>
      <c r="K579" t="s">
        <v>140</v>
      </c>
      <c r="L579" t="s">
        <v>799</v>
      </c>
      <c r="M579" t="s">
        <v>800</v>
      </c>
      <c r="N579" t="s">
        <v>163</v>
      </c>
      <c r="O579" t="s">
        <v>144</v>
      </c>
      <c r="P579" t="s">
        <v>801</v>
      </c>
      <c r="Q579" t="s">
        <v>166</v>
      </c>
      <c r="R579" t="s">
        <v>147</v>
      </c>
      <c r="S579" t="s">
        <v>148</v>
      </c>
      <c r="T579" t="s">
        <v>643</v>
      </c>
      <c r="U579" t="s">
        <v>229</v>
      </c>
      <c r="V579">
        <v>2</v>
      </c>
      <c r="W579" t="s">
        <v>269</v>
      </c>
      <c r="X579" t="s">
        <v>3506</v>
      </c>
      <c r="Y579" t="s">
        <v>153</v>
      </c>
      <c r="Z579" s="53" t="s">
        <v>3507</v>
      </c>
      <c r="AA579">
        <v>1</v>
      </c>
      <c r="AB579">
        <v>1</v>
      </c>
      <c r="AC579"/>
      <c r="AD579"/>
      <c r="AE579"/>
      <c r="AF579"/>
      <c r="BG579" t="str">
        <f t="shared" si="9"/>
        <v/>
      </c>
      <c r="BH579" s="3" t="str" cm="1">
        <f t="array" ref="BH579">IF(AE579=1, _xlfn.TEXTJOIN(" &amp; ", TRUE, _xlfn._xlws.FILTER($AG$2:$BC$2, AG579:BC579=1)), "")</f>
        <v/>
      </c>
    </row>
    <row r="580" spans="1:60" x14ac:dyDescent="0.3">
      <c r="A580" t="s">
        <v>796</v>
      </c>
      <c r="B580" t="s">
        <v>3508</v>
      </c>
      <c r="C580" t="s">
        <v>797</v>
      </c>
      <c r="D580">
        <v>2020</v>
      </c>
      <c r="E580" s="52" t="s">
        <v>3509</v>
      </c>
      <c r="F580">
        <v>1349890</v>
      </c>
      <c r="G580">
        <v>1354050</v>
      </c>
      <c r="H580" t="s">
        <v>798</v>
      </c>
      <c r="I580" t="s">
        <v>796</v>
      </c>
      <c r="J580" s="51">
        <v>2.6018518518518517E-2</v>
      </c>
      <c r="K580" t="s">
        <v>140</v>
      </c>
      <c r="L580" t="s">
        <v>799</v>
      </c>
      <c r="M580" t="s">
        <v>800</v>
      </c>
      <c r="N580" t="s">
        <v>163</v>
      </c>
      <c r="O580" t="s">
        <v>144</v>
      </c>
      <c r="P580" t="s">
        <v>801</v>
      </c>
      <c r="Q580" t="s">
        <v>166</v>
      </c>
      <c r="R580" t="s">
        <v>147</v>
      </c>
      <c r="S580" t="s">
        <v>148</v>
      </c>
      <c r="T580" t="s">
        <v>643</v>
      </c>
      <c r="U580" t="s">
        <v>229</v>
      </c>
      <c r="V580">
        <v>2</v>
      </c>
      <c r="W580" t="s">
        <v>269</v>
      </c>
      <c r="X580" t="s">
        <v>3510</v>
      </c>
      <c r="Y580" t="s">
        <v>153</v>
      </c>
      <c r="Z580" s="53" t="s">
        <v>3511</v>
      </c>
      <c r="AA580">
        <v>1</v>
      </c>
      <c r="AB580">
        <v>1</v>
      </c>
      <c r="AC580"/>
      <c r="AD580"/>
      <c r="AE580"/>
      <c r="AF580"/>
      <c r="BG580" t="str">
        <f t="shared" ref="BG580:BG643" si="10">IF(AE580=1,_xlfn.TEXTJOIN(" &amp; ", TRUE,
    IF(COUNTIF(AG580:AO580,1)&gt;0,"Interazionale",""),
    IF(COUNTIF(AP580:AW580,1)&gt;0,"Metatestuale",""),
    IF(COUNTIF(AX580:BC580,1)&gt;0,"Cognitiva","")
),"")</f>
        <v/>
      </c>
      <c r="BH580" s="3" t="str" cm="1">
        <f t="array" ref="BH580">IF(AE580=1, _xlfn.TEXTJOIN(" &amp; ", TRUE, _xlfn._xlws.FILTER($AG$2:$BC$2, AG580:BC580=1)), "")</f>
        <v/>
      </c>
    </row>
    <row r="581" spans="1:60" x14ac:dyDescent="0.3">
      <c r="A581" t="s">
        <v>796</v>
      </c>
      <c r="B581" t="s">
        <v>3512</v>
      </c>
      <c r="C581" t="s">
        <v>797</v>
      </c>
      <c r="D581">
        <v>2020</v>
      </c>
      <c r="E581" s="52" t="s">
        <v>3513</v>
      </c>
      <c r="F581">
        <v>1456589</v>
      </c>
      <c r="G581">
        <v>1463427</v>
      </c>
      <c r="H581" t="s">
        <v>798</v>
      </c>
      <c r="I581" t="s">
        <v>796</v>
      </c>
      <c r="J581" s="51">
        <v>2.6018518518518517E-2</v>
      </c>
      <c r="K581" t="s">
        <v>140</v>
      </c>
      <c r="L581" t="s">
        <v>799</v>
      </c>
      <c r="M581" t="s">
        <v>800</v>
      </c>
      <c r="N581" t="s">
        <v>163</v>
      </c>
      <c r="O581" t="s">
        <v>144</v>
      </c>
      <c r="P581" t="s">
        <v>801</v>
      </c>
      <c r="Q581" t="s">
        <v>166</v>
      </c>
      <c r="R581" t="s">
        <v>147</v>
      </c>
      <c r="S581" t="s">
        <v>148</v>
      </c>
      <c r="T581" t="s">
        <v>643</v>
      </c>
      <c r="U581" t="s">
        <v>229</v>
      </c>
      <c r="V581">
        <v>2</v>
      </c>
      <c r="W581" t="s">
        <v>269</v>
      </c>
      <c r="X581" t="s">
        <v>3514</v>
      </c>
      <c r="Y581" t="s">
        <v>153</v>
      </c>
      <c r="Z581" s="53" t="s">
        <v>3515</v>
      </c>
      <c r="AA581">
        <v>1</v>
      </c>
      <c r="AB581"/>
      <c r="AC581">
        <v>1</v>
      </c>
      <c r="AD581"/>
      <c r="AE581"/>
      <c r="AF581"/>
      <c r="BG581" t="str">
        <f t="shared" si="10"/>
        <v/>
      </c>
      <c r="BH581" s="3" t="str" cm="1">
        <f t="array" ref="BH581">IF(AE581=1, _xlfn.TEXTJOIN(" &amp; ", TRUE, _xlfn._xlws.FILTER($AG$2:$BC$2, AG581:BC581=1)), "")</f>
        <v/>
      </c>
    </row>
    <row r="582" spans="1:60" x14ac:dyDescent="0.3">
      <c r="A582" t="s">
        <v>796</v>
      </c>
      <c r="B582" t="s">
        <v>3516</v>
      </c>
      <c r="C582" t="s">
        <v>797</v>
      </c>
      <c r="D582">
        <v>2020</v>
      </c>
      <c r="E582" s="52" t="s">
        <v>3517</v>
      </c>
      <c r="F582">
        <v>2056872</v>
      </c>
      <c r="G582">
        <v>2058381</v>
      </c>
      <c r="H582" t="s">
        <v>798</v>
      </c>
      <c r="I582" t="s">
        <v>796</v>
      </c>
      <c r="J582" s="51">
        <v>2.6018518518518517E-2</v>
      </c>
      <c r="K582" t="s">
        <v>140</v>
      </c>
      <c r="L582" t="s">
        <v>799</v>
      </c>
      <c r="M582" t="s">
        <v>800</v>
      </c>
      <c r="N582" t="s">
        <v>163</v>
      </c>
      <c r="O582" t="s">
        <v>144</v>
      </c>
      <c r="P582" t="s">
        <v>801</v>
      </c>
      <c r="Q582" t="s">
        <v>166</v>
      </c>
      <c r="R582" t="s">
        <v>147</v>
      </c>
      <c r="S582" t="s">
        <v>148</v>
      </c>
      <c r="T582" t="s">
        <v>643</v>
      </c>
      <c r="U582" t="s">
        <v>229</v>
      </c>
      <c r="V582">
        <v>2</v>
      </c>
      <c r="W582" t="s">
        <v>269</v>
      </c>
      <c r="X582" t="s">
        <v>3518</v>
      </c>
      <c r="Y582" t="s">
        <v>153</v>
      </c>
      <c r="Z582" s="53" t="s">
        <v>3519</v>
      </c>
      <c r="AA582">
        <v>1</v>
      </c>
      <c r="AB582">
        <v>1</v>
      </c>
      <c r="AC582"/>
      <c r="AD582"/>
      <c r="AE582"/>
      <c r="AF582"/>
      <c r="BG582" t="str">
        <f t="shared" si="10"/>
        <v/>
      </c>
      <c r="BH582" s="3" t="str" cm="1">
        <f t="array" ref="BH582">IF(AE582=1, _xlfn.TEXTJOIN(" &amp; ", TRUE, _xlfn._xlws.FILTER($AG$2:$BC$2, AG582:BC582=1)), "")</f>
        <v/>
      </c>
    </row>
    <row r="583" spans="1:60" x14ac:dyDescent="0.3">
      <c r="A583" t="s">
        <v>796</v>
      </c>
      <c r="B583" t="s">
        <v>3520</v>
      </c>
      <c r="C583" t="s">
        <v>797</v>
      </c>
      <c r="D583">
        <v>2020</v>
      </c>
      <c r="E583" s="52" t="s">
        <v>3521</v>
      </c>
      <c r="F583">
        <v>2111294</v>
      </c>
      <c r="G583">
        <v>2117045</v>
      </c>
      <c r="H583" t="s">
        <v>798</v>
      </c>
      <c r="I583" t="s">
        <v>796</v>
      </c>
      <c r="J583" s="51">
        <v>2.6018518518518517E-2</v>
      </c>
      <c r="K583" t="s">
        <v>140</v>
      </c>
      <c r="L583" t="s">
        <v>799</v>
      </c>
      <c r="M583" t="s">
        <v>800</v>
      </c>
      <c r="N583" t="s">
        <v>163</v>
      </c>
      <c r="O583" t="s">
        <v>144</v>
      </c>
      <c r="P583" t="s">
        <v>801</v>
      </c>
      <c r="Q583" t="s">
        <v>166</v>
      </c>
      <c r="R583" t="s">
        <v>147</v>
      </c>
      <c r="S583" t="s">
        <v>148</v>
      </c>
      <c r="T583" t="s">
        <v>643</v>
      </c>
      <c r="U583" t="s">
        <v>229</v>
      </c>
      <c r="V583">
        <v>2</v>
      </c>
      <c r="W583" t="s">
        <v>269</v>
      </c>
      <c r="X583" t="s">
        <v>3522</v>
      </c>
      <c r="Y583" t="s">
        <v>153</v>
      </c>
      <c r="Z583" s="53" t="s">
        <v>3523</v>
      </c>
      <c r="AA583">
        <v>1</v>
      </c>
      <c r="AB583"/>
      <c r="AC583">
        <v>1</v>
      </c>
      <c r="AD583"/>
      <c r="AE583"/>
      <c r="AF583"/>
      <c r="BG583" t="str">
        <f t="shared" si="10"/>
        <v/>
      </c>
      <c r="BH583" s="3" t="str" cm="1">
        <f t="array" ref="BH583">IF(AE583=1, _xlfn.TEXTJOIN(" &amp; ", TRUE, _xlfn._xlws.FILTER($AG$2:$BC$2, AG583:BC583=1)), "")</f>
        <v/>
      </c>
    </row>
    <row r="584" spans="1:60" x14ac:dyDescent="0.3">
      <c r="A584" t="s">
        <v>796</v>
      </c>
      <c r="B584" t="s">
        <v>3524</v>
      </c>
      <c r="C584" t="s">
        <v>797</v>
      </c>
      <c r="D584">
        <v>2020</v>
      </c>
      <c r="E584" s="52" t="s">
        <v>3525</v>
      </c>
      <c r="F584">
        <v>2132908</v>
      </c>
      <c r="G584">
        <v>2135672</v>
      </c>
      <c r="H584" t="s">
        <v>798</v>
      </c>
      <c r="I584" t="s">
        <v>796</v>
      </c>
      <c r="J584" s="51">
        <v>2.6018518518518517E-2</v>
      </c>
      <c r="K584" t="s">
        <v>140</v>
      </c>
      <c r="L584" t="s">
        <v>799</v>
      </c>
      <c r="M584" t="s">
        <v>800</v>
      </c>
      <c r="N584" t="s">
        <v>163</v>
      </c>
      <c r="O584" t="s">
        <v>144</v>
      </c>
      <c r="P584" t="s">
        <v>801</v>
      </c>
      <c r="Q584" t="s">
        <v>166</v>
      </c>
      <c r="R584" t="s">
        <v>147</v>
      </c>
      <c r="S584" t="s">
        <v>148</v>
      </c>
      <c r="T584" t="s">
        <v>643</v>
      </c>
      <c r="U584" t="s">
        <v>229</v>
      </c>
      <c r="V584">
        <v>2</v>
      </c>
      <c r="W584" t="s">
        <v>269</v>
      </c>
      <c r="X584" t="s">
        <v>3526</v>
      </c>
      <c r="Y584" t="s">
        <v>153</v>
      </c>
      <c r="Z584" s="53" t="s">
        <v>3527</v>
      </c>
      <c r="AA584"/>
      <c r="AB584"/>
      <c r="AC584"/>
      <c r="AD584"/>
      <c r="AE584">
        <v>1</v>
      </c>
      <c r="AF584"/>
      <c r="AM584" s="7">
        <v>1</v>
      </c>
      <c r="AU584" s="21">
        <v>1</v>
      </c>
      <c r="BD584" s="3">
        <v>1</v>
      </c>
      <c r="BG584" t="str">
        <f t="shared" si="10"/>
        <v>Interazionale &amp; Metatestuale</v>
      </c>
      <c r="BH584" s="3" t="str" cm="1">
        <f t="array" ref="BH584">IF(AE584=1, _xlfn.TEXTJOIN(" &amp; ", TRUE, _xlfn._xlws.FILTER($AG$2:$BC$2, AG584:BC584=1)), "")</f>
        <v>Marcatura della conoscenza condivisa &amp; Esemplificazione</v>
      </c>
    </row>
    <row r="585" spans="1:60" x14ac:dyDescent="0.3">
      <c r="A585" t="s">
        <v>3528</v>
      </c>
      <c r="B585" t="s">
        <v>3529</v>
      </c>
      <c r="C585" t="s">
        <v>3530</v>
      </c>
      <c r="D585">
        <v>2023</v>
      </c>
      <c r="E585" s="52" t="s">
        <v>3531</v>
      </c>
      <c r="F585">
        <v>309080</v>
      </c>
      <c r="G585">
        <v>315210</v>
      </c>
      <c r="H585" t="s">
        <v>3532</v>
      </c>
      <c r="I585" t="s">
        <v>3528</v>
      </c>
      <c r="J585" s="51">
        <v>2.1678240740740741E-2</v>
      </c>
      <c r="K585" t="s">
        <v>160</v>
      </c>
      <c r="L585" t="s">
        <v>3533</v>
      </c>
      <c r="M585" t="s">
        <v>3534</v>
      </c>
      <c r="N585" t="s">
        <v>363</v>
      </c>
      <c r="O585" t="s">
        <v>164</v>
      </c>
      <c r="P585" t="s">
        <v>165</v>
      </c>
      <c r="Q585" t="s">
        <v>166</v>
      </c>
      <c r="R585" t="s">
        <v>167</v>
      </c>
      <c r="S585" t="s">
        <v>168</v>
      </c>
      <c r="T585" t="s">
        <v>169</v>
      </c>
      <c r="U585" t="s">
        <v>318</v>
      </c>
      <c r="V585">
        <v>3</v>
      </c>
      <c r="W585" t="s">
        <v>170</v>
      </c>
      <c r="X585" t="s">
        <v>3535</v>
      </c>
      <c r="Y585" t="s">
        <v>153</v>
      </c>
      <c r="Z585" s="53" t="s">
        <v>3536</v>
      </c>
      <c r="AA585">
        <v>1</v>
      </c>
      <c r="AB585"/>
      <c r="AC585">
        <v>1</v>
      </c>
      <c r="AD585"/>
      <c r="AE585"/>
      <c r="AF585"/>
      <c r="BG585" t="str">
        <f t="shared" si="10"/>
        <v/>
      </c>
      <c r="BH585" s="3" t="str" cm="1">
        <f t="array" ref="BH585">IF(AE585=1, _xlfn.TEXTJOIN(" &amp; ", TRUE, _xlfn._xlws.FILTER($AG$2:$BC$2, AG585:BC585=1)), "")</f>
        <v/>
      </c>
    </row>
    <row r="586" spans="1:60" x14ac:dyDescent="0.3">
      <c r="A586" t="s">
        <v>3528</v>
      </c>
      <c r="B586" t="s">
        <v>3537</v>
      </c>
      <c r="C586" t="s">
        <v>3530</v>
      </c>
      <c r="D586">
        <v>2023</v>
      </c>
      <c r="E586" s="52" t="s">
        <v>3531</v>
      </c>
      <c r="F586">
        <v>309080</v>
      </c>
      <c r="G586">
        <v>315210</v>
      </c>
      <c r="H586" t="s">
        <v>3532</v>
      </c>
      <c r="I586" t="s">
        <v>3528</v>
      </c>
      <c r="J586" s="51">
        <v>2.1678240740740741E-2</v>
      </c>
      <c r="K586" t="s">
        <v>160</v>
      </c>
      <c r="L586" t="s">
        <v>3533</v>
      </c>
      <c r="M586" t="s">
        <v>3534</v>
      </c>
      <c r="N586" t="s">
        <v>363</v>
      </c>
      <c r="O586" t="s">
        <v>164</v>
      </c>
      <c r="P586" t="s">
        <v>165</v>
      </c>
      <c r="Q586" t="s">
        <v>166</v>
      </c>
      <c r="R586" t="s">
        <v>167</v>
      </c>
      <c r="S586" t="s">
        <v>168</v>
      </c>
      <c r="T586" t="s">
        <v>169</v>
      </c>
      <c r="U586" t="s">
        <v>318</v>
      </c>
      <c r="V586">
        <v>3</v>
      </c>
      <c r="W586" t="s">
        <v>170</v>
      </c>
      <c r="X586" t="s">
        <v>3538</v>
      </c>
      <c r="Y586" t="s">
        <v>153</v>
      </c>
      <c r="Z586" s="53" t="s">
        <v>3539</v>
      </c>
      <c r="AA586">
        <v>1</v>
      </c>
      <c r="AB586"/>
      <c r="AC586">
        <v>1</v>
      </c>
      <c r="AD586"/>
      <c r="AE586"/>
      <c r="AF586"/>
      <c r="BG586" t="str">
        <f t="shared" si="10"/>
        <v/>
      </c>
      <c r="BH586" s="3" t="str" cm="1">
        <f t="array" ref="BH586">IF(AE586=1, _xlfn.TEXTJOIN(" &amp; ", TRUE, _xlfn._xlws.FILTER($AG$2:$BC$2, AG586:BC586=1)), "")</f>
        <v/>
      </c>
    </row>
    <row r="587" spans="1:60" x14ac:dyDescent="0.3">
      <c r="A587" t="s">
        <v>3528</v>
      </c>
      <c r="B587" t="s">
        <v>3540</v>
      </c>
      <c r="C587" t="s">
        <v>3530</v>
      </c>
      <c r="D587">
        <v>2023</v>
      </c>
      <c r="E587" s="52" t="s">
        <v>3541</v>
      </c>
      <c r="F587">
        <v>702580</v>
      </c>
      <c r="G587">
        <v>708640</v>
      </c>
      <c r="H587" t="s">
        <v>3532</v>
      </c>
      <c r="I587" t="s">
        <v>3528</v>
      </c>
      <c r="J587" s="51">
        <v>2.1678240740740741E-2</v>
      </c>
      <c r="K587" t="s">
        <v>160</v>
      </c>
      <c r="L587" t="s">
        <v>3533</v>
      </c>
      <c r="M587" t="s">
        <v>3534</v>
      </c>
      <c r="N587" t="s">
        <v>363</v>
      </c>
      <c r="O587" t="s">
        <v>164</v>
      </c>
      <c r="P587" t="s">
        <v>165</v>
      </c>
      <c r="Q587" t="s">
        <v>166</v>
      </c>
      <c r="R587" t="s">
        <v>167</v>
      </c>
      <c r="S587" t="s">
        <v>168</v>
      </c>
      <c r="T587" t="s">
        <v>169</v>
      </c>
      <c r="U587" t="s">
        <v>318</v>
      </c>
      <c r="V587">
        <v>3</v>
      </c>
      <c r="W587" t="s">
        <v>170</v>
      </c>
      <c r="X587" t="s">
        <v>3542</v>
      </c>
      <c r="Y587" t="s">
        <v>153</v>
      </c>
      <c r="Z587" s="53" t="s">
        <v>3543</v>
      </c>
      <c r="AA587">
        <v>1</v>
      </c>
      <c r="AB587">
        <v>1</v>
      </c>
      <c r="AC587"/>
      <c r="AD587"/>
      <c r="AE587"/>
      <c r="AF587"/>
      <c r="BG587" t="str">
        <f t="shared" si="10"/>
        <v/>
      </c>
      <c r="BH587" s="3" t="str" cm="1">
        <f t="array" ref="BH587">IF(AE587=1, _xlfn.TEXTJOIN(" &amp; ", TRUE, _xlfn._xlws.FILTER($AG$2:$BC$2, AG587:BC587=1)), "")</f>
        <v/>
      </c>
    </row>
    <row r="588" spans="1:60" x14ac:dyDescent="0.3">
      <c r="A588" t="s">
        <v>802</v>
      </c>
      <c r="B588" t="s">
        <v>3544</v>
      </c>
      <c r="C588" t="s">
        <v>803</v>
      </c>
      <c r="D588">
        <v>2020</v>
      </c>
      <c r="E588" s="52" t="s">
        <v>3545</v>
      </c>
      <c r="F588">
        <v>260880</v>
      </c>
      <c r="G588">
        <v>262245</v>
      </c>
      <c r="H588" t="s">
        <v>804</v>
      </c>
      <c r="I588" t="s">
        <v>802</v>
      </c>
      <c r="J588" s="51">
        <v>3.7731481481481484E-2</v>
      </c>
      <c r="K588" t="s">
        <v>140</v>
      </c>
      <c r="L588" t="s">
        <v>805</v>
      </c>
      <c r="M588" t="s">
        <v>806</v>
      </c>
      <c r="N588" t="s">
        <v>336</v>
      </c>
      <c r="O588" t="s">
        <v>164</v>
      </c>
      <c r="P588" t="s">
        <v>287</v>
      </c>
      <c r="Q588" t="s">
        <v>467</v>
      </c>
      <c r="R588" t="s">
        <v>147</v>
      </c>
      <c r="S588" t="s">
        <v>148</v>
      </c>
      <c r="T588" t="s">
        <v>288</v>
      </c>
      <c r="U588" t="s">
        <v>229</v>
      </c>
      <c r="V588">
        <v>3</v>
      </c>
      <c r="W588" t="s">
        <v>269</v>
      </c>
      <c r="X588" t="s">
        <v>3546</v>
      </c>
      <c r="Y588" t="s">
        <v>153</v>
      </c>
      <c r="Z588" s="53" t="s">
        <v>3547</v>
      </c>
      <c r="AA588">
        <v>1</v>
      </c>
      <c r="AB588"/>
      <c r="AC588"/>
      <c r="AD588">
        <v>1</v>
      </c>
      <c r="AE588"/>
      <c r="AF588"/>
      <c r="BG588" t="str">
        <f t="shared" si="10"/>
        <v/>
      </c>
      <c r="BH588" s="3" t="str" cm="1">
        <f t="array" ref="BH588">IF(AE588=1, _xlfn.TEXTJOIN(" &amp; ", TRUE, _xlfn._xlws.FILTER($AG$2:$BC$2, AG588:BC588=1)), "")</f>
        <v/>
      </c>
    </row>
    <row r="589" spans="1:60" x14ac:dyDescent="0.3">
      <c r="A589" t="s">
        <v>802</v>
      </c>
      <c r="B589" t="s">
        <v>3548</v>
      </c>
      <c r="C589" t="s">
        <v>803</v>
      </c>
      <c r="D589">
        <v>2020</v>
      </c>
      <c r="E589" s="52" t="s">
        <v>3549</v>
      </c>
      <c r="F589">
        <v>488630</v>
      </c>
      <c r="G589">
        <v>489187</v>
      </c>
      <c r="H589" t="s">
        <v>804</v>
      </c>
      <c r="I589" t="s">
        <v>802</v>
      </c>
      <c r="J589" s="51">
        <v>3.7731481481481484E-2</v>
      </c>
      <c r="K589" t="s">
        <v>140</v>
      </c>
      <c r="L589" t="s">
        <v>805</v>
      </c>
      <c r="M589" t="s">
        <v>806</v>
      </c>
      <c r="N589" t="s">
        <v>336</v>
      </c>
      <c r="O589" t="s">
        <v>164</v>
      </c>
      <c r="P589" t="s">
        <v>287</v>
      </c>
      <c r="Q589" t="s">
        <v>467</v>
      </c>
      <c r="R589" t="s">
        <v>147</v>
      </c>
      <c r="S589" t="s">
        <v>148</v>
      </c>
      <c r="T589" t="s">
        <v>288</v>
      </c>
      <c r="U589" t="s">
        <v>229</v>
      </c>
      <c r="V589">
        <v>3</v>
      </c>
      <c r="W589" t="s">
        <v>269</v>
      </c>
      <c r="X589" t="s">
        <v>3550</v>
      </c>
      <c r="Y589" t="s">
        <v>153</v>
      </c>
      <c r="Z589" s="53" t="s">
        <v>3551</v>
      </c>
      <c r="AA589"/>
      <c r="AB589"/>
      <c r="AC589"/>
      <c r="AD589"/>
      <c r="AE589">
        <v>1</v>
      </c>
      <c r="AF589"/>
      <c r="AY589" s="10">
        <v>1</v>
      </c>
      <c r="BG589" t="str">
        <f t="shared" si="10"/>
        <v>Cognitiva</v>
      </c>
      <c r="BH589" s="3" t="str" cm="1">
        <f t="array" ref="BH589">IF(AE589=1, _xlfn.TEXTJOIN(" &amp; ", TRUE, _xlfn._xlws.FILTER($AG$2:$BC$2, AG589:BC589=1)), "")</f>
        <v>Modulazione del grado di confidenza del parlante</v>
      </c>
    </row>
    <row r="590" spans="1:60" x14ac:dyDescent="0.3">
      <c r="A590" t="s">
        <v>802</v>
      </c>
      <c r="B590" t="s">
        <v>3552</v>
      </c>
      <c r="C590" t="s">
        <v>803</v>
      </c>
      <c r="D590">
        <v>2020</v>
      </c>
      <c r="E590" s="52" t="s">
        <v>3553</v>
      </c>
      <c r="F590">
        <v>1245073</v>
      </c>
      <c r="G590">
        <v>1247359</v>
      </c>
      <c r="H590" t="s">
        <v>804</v>
      </c>
      <c r="I590" t="s">
        <v>802</v>
      </c>
      <c r="J590" s="51">
        <v>3.7731481481481484E-2</v>
      </c>
      <c r="K590" t="s">
        <v>140</v>
      </c>
      <c r="L590" t="s">
        <v>805</v>
      </c>
      <c r="M590" t="s">
        <v>806</v>
      </c>
      <c r="N590" t="s">
        <v>336</v>
      </c>
      <c r="O590" t="s">
        <v>164</v>
      </c>
      <c r="P590" t="s">
        <v>287</v>
      </c>
      <c r="Q590" t="s">
        <v>467</v>
      </c>
      <c r="R590" t="s">
        <v>147</v>
      </c>
      <c r="S590" t="s">
        <v>148</v>
      </c>
      <c r="T590" t="s">
        <v>288</v>
      </c>
      <c r="U590" t="s">
        <v>229</v>
      </c>
      <c r="V590">
        <v>3</v>
      </c>
      <c r="W590" t="s">
        <v>269</v>
      </c>
      <c r="X590" t="s">
        <v>3554</v>
      </c>
      <c r="Y590" t="s">
        <v>153</v>
      </c>
      <c r="Z590" s="53" t="s">
        <v>3555</v>
      </c>
      <c r="AA590">
        <v>1</v>
      </c>
      <c r="AB590"/>
      <c r="AC590"/>
      <c r="AD590">
        <v>1</v>
      </c>
      <c r="AE590"/>
      <c r="AF590"/>
      <c r="BG590" t="str">
        <f t="shared" si="10"/>
        <v/>
      </c>
      <c r="BH590" s="3" t="str" cm="1">
        <f t="array" ref="BH590">IF(AE590=1, _xlfn.TEXTJOIN(" &amp; ", TRUE, _xlfn._xlws.FILTER($AG$2:$BC$2, AG590:BC590=1)), "")</f>
        <v/>
      </c>
    </row>
    <row r="591" spans="1:60" x14ac:dyDescent="0.3">
      <c r="A591" t="s">
        <v>802</v>
      </c>
      <c r="B591" t="s">
        <v>3556</v>
      </c>
      <c r="C591" t="s">
        <v>803</v>
      </c>
      <c r="D591">
        <v>2020</v>
      </c>
      <c r="E591" s="52" t="s">
        <v>3557</v>
      </c>
      <c r="F591">
        <v>1528372</v>
      </c>
      <c r="G591">
        <v>1531738</v>
      </c>
      <c r="H591" t="s">
        <v>804</v>
      </c>
      <c r="I591" t="s">
        <v>802</v>
      </c>
      <c r="J591" s="51">
        <v>3.7731481481481484E-2</v>
      </c>
      <c r="K591" t="s">
        <v>140</v>
      </c>
      <c r="L591" t="s">
        <v>805</v>
      </c>
      <c r="M591" t="s">
        <v>806</v>
      </c>
      <c r="N591" t="s">
        <v>336</v>
      </c>
      <c r="O591" t="s">
        <v>164</v>
      </c>
      <c r="P591" t="s">
        <v>287</v>
      </c>
      <c r="Q591" t="s">
        <v>467</v>
      </c>
      <c r="R591" t="s">
        <v>147</v>
      </c>
      <c r="S591" t="s">
        <v>148</v>
      </c>
      <c r="T591" t="s">
        <v>288</v>
      </c>
      <c r="U591" t="s">
        <v>229</v>
      </c>
      <c r="V591">
        <v>3</v>
      </c>
      <c r="W591" t="s">
        <v>269</v>
      </c>
      <c r="X591" t="s">
        <v>3558</v>
      </c>
      <c r="Y591" t="s">
        <v>153</v>
      </c>
      <c r="Z591" s="53" t="s">
        <v>3559</v>
      </c>
      <c r="AA591"/>
      <c r="AB591"/>
      <c r="AC591"/>
      <c r="AD591"/>
      <c r="AE591">
        <v>1</v>
      </c>
      <c r="AF591"/>
      <c r="AM591" s="7">
        <v>1</v>
      </c>
      <c r="BG591" t="str">
        <f t="shared" si="10"/>
        <v>Interazionale</v>
      </c>
      <c r="BH591" s="3" t="str" cm="1">
        <f t="array" ref="BH591">IF(AE591=1, _xlfn.TEXTJOIN(" &amp; ", TRUE, _xlfn._xlws.FILTER($AG$2:$BC$2, AG591:BC591=1)), "")</f>
        <v>Marcatura della conoscenza condivisa</v>
      </c>
    </row>
    <row r="592" spans="1:60" x14ac:dyDescent="0.3">
      <c r="A592" t="s">
        <v>802</v>
      </c>
      <c r="B592" t="s">
        <v>3560</v>
      </c>
      <c r="C592" t="s">
        <v>803</v>
      </c>
      <c r="D592">
        <v>2020</v>
      </c>
      <c r="E592" s="52" t="s">
        <v>3561</v>
      </c>
      <c r="F592">
        <v>1733778</v>
      </c>
      <c r="G592">
        <v>1735496</v>
      </c>
      <c r="H592" t="s">
        <v>804</v>
      </c>
      <c r="I592" t="s">
        <v>802</v>
      </c>
      <c r="J592" s="51">
        <v>3.7731481481481484E-2</v>
      </c>
      <c r="K592" t="s">
        <v>140</v>
      </c>
      <c r="L592" t="s">
        <v>805</v>
      </c>
      <c r="M592" t="s">
        <v>806</v>
      </c>
      <c r="N592" t="s">
        <v>336</v>
      </c>
      <c r="O592" t="s">
        <v>164</v>
      </c>
      <c r="P592" t="s">
        <v>287</v>
      </c>
      <c r="Q592" t="s">
        <v>467</v>
      </c>
      <c r="R592" t="s">
        <v>147</v>
      </c>
      <c r="S592" t="s">
        <v>148</v>
      </c>
      <c r="T592" t="s">
        <v>288</v>
      </c>
      <c r="U592" t="s">
        <v>229</v>
      </c>
      <c r="V592">
        <v>3</v>
      </c>
      <c r="W592" t="s">
        <v>269</v>
      </c>
      <c r="X592" t="s">
        <v>3562</v>
      </c>
      <c r="Y592" t="s">
        <v>153</v>
      </c>
      <c r="Z592" s="53" t="s">
        <v>3563</v>
      </c>
      <c r="AA592">
        <v>1</v>
      </c>
      <c r="AB592"/>
      <c r="AC592">
        <v>1</v>
      </c>
      <c r="AD592"/>
      <c r="AE592"/>
      <c r="AF592"/>
      <c r="BG592" t="str">
        <f t="shared" si="10"/>
        <v/>
      </c>
      <c r="BH592" s="3" t="str" cm="1">
        <f t="array" ref="BH592">IF(AE592=1, _xlfn.TEXTJOIN(" &amp; ", TRUE, _xlfn._xlws.FILTER($AG$2:$BC$2, AG592:BC592=1)), "")</f>
        <v/>
      </c>
    </row>
    <row r="593" spans="1:60" x14ac:dyDescent="0.3">
      <c r="A593" t="s">
        <v>802</v>
      </c>
      <c r="B593" t="s">
        <v>3564</v>
      </c>
      <c r="C593" t="s">
        <v>803</v>
      </c>
      <c r="D593">
        <v>2020</v>
      </c>
      <c r="E593" s="52" t="s">
        <v>3565</v>
      </c>
      <c r="F593">
        <v>1884758</v>
      </c>
      <c r="G593">
        <v>1888033</v>
      </c>
      <c r="H593" t="s">
        <v>804</v>
      </c>
      <c r="I593" t="s">
        <v>802</v>
      </c>
      <c r="J593" s="51">
        <v>3.7731481481481484E-2</v>
      </c>
      <c r="K593" t="s">
        <v>140</v>
      </c>
      <c r="L593" t="s">
        <v>805</v>
      </c>
      <c r="M593" t="s">
        <v>806</v>
      </c>
      <c r="N593" t="s">
        <v>336</v>
      </c>
      <c r="O593" t="s">
        <v>164</v>
      </c>
      <c r="P593" t="s">
        <v>287</v>
      </c>
      <c r="Q593" t="s">
        <v>467</v>
      </c>
      <c r="R593" t="s">
        <v>147</v>
      </c>
      <c r="S593" t="s">
        <v>148</v>
      </c>
      <c r="T593" t="s">
        <v>288</v>
      </c>
      <c r="U593" t="s">
        <v>229</v>
      </c>
      <c r="V593">
        <v>3</v>
      </c>
      <c r="W593" t="s">
        <v>269</v>
      </c>
      <c r="X593" t="s">
        <v>3566</v>
      </c>
      <c r="Y593" t="s">
        <v>153</v>
      </c>
      <c r="Z593" s="53" t="s">
        <v>3567</v>
      </c>
      <c r="AA593">
        <v>1</v>
      </c>
      <c r="AB593"/>
      <c r="AC593"/>
      <c r="AD593">
        <v>1</v>
      </c>
      <c r="AE593"/>
      <c r="AF593"/>
      <c r="BG593" t="str">
        <f t="shared" si="10"/>
        <v/>
      </c>
      <c r="BH593" s="3" t="str" cm="1">
        <f t="array" ref="BH593">IF(AE593=1, _xlfn.TEXTJOIN(" &amp; ", TRUE, _xlfn._xlws.FILTER($AG$2:$BC$2, AG593:BC593=1)), "")</f>
        <v/>
      </c>
    </row>
    <row r="594" spans="1:60" x14ac:dyDescent="0.3">
      <c r="A594" t="s">
        <v>802</v>
      </c>
      <c r="B594" t="s">
        <v>3568</v>
      </c>
      <c r="C594" t="s">
        <v>803</v>
      </c>
      <c r="D594">
        <v>2020</v>
      </c>
      <c r="E594" s="52" t="s">
        <v>3569</v>
      </c>
      <c r="F594">
        <v>2260917</v>
      </c>
      <c r="G594">
        <v>2268515</v>
      </c>
      <c r="H594" t="s">
        <v>3159</v>
      </c>
      <c r="I594" t="s">
        <v>802</v>
      </c>
      <c r="J594" s="51">
        <v>3.7731481481481484E-2</v>
      </c>
      <c r="K594" t="s">
        <v>140</v>
      </c>
      <c r="L594" t="s">
        <v>805</v>
      </c>
      <c r="M594" t="s">
        <v>806</v>
      </c>
      <c r="N594" t="s">
        <v>336</v>
      </c>
      <c r="O594" t="s">
        <v>164</v>
      </c>
      <c r="P594" t="s">
        <v>287</v>
      </c>
      <c r="Q594" t="s">
        <v>146</v>
      </c>
      <c r="R594" t="s">
        <v>147</v>
      </c>
      <c r="S594" t="s">
        <v>148</v>
      </c>
      <c r="T594" t="s">
        <v>288</v>
      </c>
      <c r="U594" t="s">
        <v>151</v>
      </c>
      <c r="V594">
        <v>3</v>
      </c>
      <c r="W594" t="s">
        <v>269</v>
      </c>
      <c r="X594" t="s">
        <v>3570</v>
      </c>
      <c r="Y594" t="s">
        <v>153</v>
      </c>
      <c r="Z594" s="53" t="s">
        <v>3571</v>
      </c>
      <c r="AA594">
        <v>1</v>
      </c>
      <c r="AB594">
        <v>1</v>
      </c>
      <c r="AC594"/>
      <c r="AD594"/>
      <c r="AE594"/>
      <c r="AF594"/>
      <c r="BG594" t="str">
        <f t="shared" si="10"/>
        <v/>
      </c>
      <c r="BH594" s="3" t="str" cm="1">
        <f t="array" ref="BH594">IF(AE594=1, _xlfn.TEXTJOIN(" &amp; ", TRUE, _xlfn._xlws.FILTER($AG$2:$BC$2, AG594:BC594=1)), "")</f>
        <v/>
      </c>
    </row>
    <row r="595" spans="1:60" x14ac:dyDescent="0.3">
      <c r="A595" t="s">
        <v>802</v>
      </c>
      <c r="B595" t="s">
        <v>3572</v>
      </c>
      <c r="C595" t="s">
        <v>803</v>
      </c>
      <c r="D595">
        <v>2020</v>
      </c>
      <c r="E595" s="52" t="s">
        <v>3573</v>
      </c>
      <c r="F595">
        <v>2700526</v>
      </c>
      <c r="G595">
        <v>2704213</v>
      </c>
      <c r="H595" t="s">
        <v>3574</v>
      </c>
      <c r="I595" t="s">
        <v>802</v>
      </c>
      <c r="J595" s="51">
        <v>3.7731481481481484E-2</v>
      </c>
      <c r="K595" t="s">
        <v>140</v>
      </c>
      <c r="L595" t="s">
        <v>805</v>
      </c>
      <c r="M595" t="s">
        <v>806</v>
      </c>
      <c r="N595" t="s">
        <v>336</v>
      </c>
      <c r="O595" t="s">
        <v>144</v>
      </c>
      <c r="P595" t="s">
        <v>287</v>
      </c>
      <c r="Q595" t="s">
        <v>146</v>
      </c>
      <c r="R595" t="s">
        <v>147</v>
      </c>
      <c r="S595" t="s">
        <v>148</v>
      </c>
      <c r="T595" t="s">
        <v>288</v>
      </c>
      <c r="U595" t="s">
        <v>151</v>
      </c>
      <c r="V595">
        <v>3</v>
      </c>
      <c r="W595" t="s">
        <v>269</v>
      </c>
      <c r="X595" t="s">
        <v>3575</v>
      </c>
      <c r="Y595" t="s">
        <v>153</v>
      </c>
      <c r="Z595" s="53" t="s">
        <v>3576</v>
      </c>
      <c r="AA595">
        <v>1</v>
      </c>
      <c r="AB595">
        <v>1</v>
      </c>
      <c r="AC595"/>
      <c r="AD595"/>
      <c r="AE595"/>
      <c r="AF595"/>
      <c r="BG595" t="str">
        <f t="shared" si="10"/>
        <v/>
      </c>
      <c r="BH595" s="3" t="str" cm="1">
        <f t="array" ref="BH595">IF(AE595=1, _xlfn.TEXTJOIN(" &amp; ", TRUE, _xlfn._xlws.FILTER($AG$2:$BC$2, AG595:BC595=1)), "")</f>
        <v/>
      </c>
    </row>
    <row r="596" spans="1:60" x14ac:dyDescent="0.3">
      <c r="A596" t="s">
        <v>802</v>
      </c>
      <c r="B596" t="s">
        <v>3577</v>
      </c>
      <c r="C596" t="s">
        <v>803</v>
      </c>
      <c r="D596">
        <v>2020</v>
      </c>
      <c r="E596" s="52" t="s">
        <v>3578</v>
      </c>
      <c r="F596">
        <v>2992760</v>
      </c>
      <c r="G596">
        <v>2997607</v>
      </c>
      <c r="H596" t="s">
        <v>3574</v>
      </c>
      <c r="I596" t="s">
        <v>802</v>
      </c>
      <c r="J596" s="51">
        <v>3.7731481481481484E-2</v>
      </c>
      <c r="K596" t="s">
        <v>140</v>
      </c>
      <c r="L596" t="s">
        <v>805</v>
      </c>
      <c r="M596" t="s">
        <v>806</v>
      </c>
      <c r="N596" t="s">
        <v>336</v>
      </c>
      <c r="O596" t="s">
        <v>144</v>
      </c>
      <c r="P596" t="s">
        <v>287</v>
      </c>
      <c r="Q596" t="s">
        <v>146</v>
      </c>
      <c r="R596" t="s">
        <v>147</v>
      </c>
      <c r="S596" t="s">
        <v>148</v>
      </c>
      <c r="T596" t="s">
        <v>288</v>
      </c>
      <c r="U596" t="s">
        <v>151</v>
      </c>
      <c r="V596">
        <v>3</v>
      </c>
      <c r="W596" t="s">
        <v>269</v>
      </c>
      <c r="X596" t="s">
        <v>3579</v>
      </c>
      <c r="Y596" t="s">
        <v>153</v>
      </c>
      <c r="Z596" s="53" t="s">
        <v>3580</v>
      </c>
      <c r="AA596">
        <v>1</v>
      </c>
      <c r="AB596">
        <v>1</v>
      </c>
      <c r="AC596"/>
      <c r="AD596"/>
      <c r="AE596"/>
      <c r="AF596"/>
      <c r="BG596" t="str">
        <f t="shared" si="10"/>
        <v/>
      </c>
      <c r="BH596" s="3" t="str" cm="1">
        <f t="array" ref="BH596">IF(AE596=1, _xlfn.TEXTJOIN(" &amp; ", TRUE, _xlfn._xlws.FILTER($AG$2:$BC$2, AG596:BC596=1)), "")</f>
        <v/>
      </c>
    </row>
    <row r="597" spans="1:60" x14ac:dyDescent="0.3">
      <c r="A597" t="s">
        <v>807</v>
      </c>
      <c r="B597" t="s">
        <v>3581</v>
      </c>
      <c r="C597" t="s">
        <v>808</v>
      </c>
      <c r="D597">
        <v>2019</v>
      </c>
      <c r="E597" s="52" t="s">
        <v>3582</v>
      </c>
      <c r="F597">
        <v>178438</v>
      </c>
      <c r="G597">
        <v>184069</v>
      </c>
      <c r="H597" t="s">
        <v>3583</v>
      </c>
      <c r="I597" t="s">
        <v>807</v>
      </c>
      <c r="J597" s="51">
        <v>6.3530092592592596E-2</v>
      </c>
      <c r="K597" t="s">
        <v>160</v>
      </c>
      <c r="L597" t="s">
        <v>809</v>
      </c>
      <c r="M597" t="s">
        <v>810</v>
      </c>
      <c r="N597" t="s">
        <v>286</v>
      </c>
      <c r="O597" t="s">
        <v>164</v>
      </c>
      <c r="P597" t="s">
        <v>145</v>
      </c>
      <c r="Q597" t="s">
        <v>337</v>
      </c>
      <c r="R597" t="s">
        <v>167</v>
      </c>
      <c r="S597" t="s">
        <v>168</v>
      </c>
      <c r="T597" t="s">
        <v>149</v>
      </c>
      <c r="U597" t="s">
        <v>171</v>
      </c>
      <c r="V597">
        <v>5</v>
      </c>
      <c r="W597" t="s">
        <v>170</v>
      </c>
      <c r="X597" t="s">
        <v>3584</v>
      </c>
      <c r="Y597" t="s">
        <v>153</v>
      </c>
      <c r="Z597" s="53" t="s">
        <v>3585</v>
      </c>
      <c r="AA597">
        <v>1</v>
      </c>
      <c r="AB597">
        <v>1</v>
      </c>
      <c r="AC597"/>
      <c r="AD597"/>
      <c r="AE597"/>
      <c r="AF597"/>
      <c r="BG597" t="str">
        <f t="shared" si="10"/>
        <v/>
      </c>
      <c r="BH597" s="3" t="str" cm="1">
        <f t="array" ref="BH597">IF(AE597=1, _xlfn.TEXTJOIN(" &amp; ", TRUE, _xlfn._xlws.FILTER($AG$2:$BC$2, AG597:BC597=1)), "")</f>
        <v/>
      </c>
    </row>
    <row r="598" spans="1:60" x14ac:dyDescent="0.3">
      <c r="A598" t="s">
        <v>807</v>
      </c>
      <c r="B598" t="s">
        <v>3586</v>
      </c>
      <c r="C598" t="s">
        <v>808</v>
      </c>
      <c r="D598">
        <v>2019</v>
      </c>
      <c r="E598" s="52" t="s">
        <v>3587</v>
      </c>
      <c r="F598">
        <v>2455650</v>
      </c>
      <c r="G598">
        <v>2458899</v>
      </c>
      <c r="H598" t="s">
        <v>3583</v>
      </c>
      <c r="I598" t="s">
        <v>807</v>
      </c>
      <c r="J598" s="51">
        <v>6.3530092592592596E-2</v>
      </c>
      <c r="K598" t="s">
        <v>160</v>
      </c>
      <c r="L598" t="s">
        <v>809</v>
      </c>
      <c r="M598" t="s">
        <v>810</v>
      </c>
      <c r="N598" t="s">
        <v>286</v>
      </c>
      <c r="O598" t="s">
        <v>164</v>
      </c>
      <c r="P598" t="s">
        <v>145</v>
      </c>
      <c r="Q598" t="s">
        <v>337</v>
      </c>
      <c r="R598" t="s">
        <v>167</v>
      </c>
      <c r="S598" t="s">
        <v>168</v>
      </c>
      <c r="T598" t="s">
        <v>149</v>
      </c>
      <c r="U598" t="s">
        <v>171</v>
      </c>
      <c r="V598">
        <v>5</v>
      </c>
      <c r="W598" t="s">
        <v>170</v>
      </c>
      <c r="X598" t="s">
        <v>3588</v>
      </c>
      <c r="Y598" t="s">
        <v>153</v>
      </c>
      <c r="Z598" s="53" t="s">
        <v>3589</v>
      </c>
      <c r="AA598">
        <v>1</v>
      </c>
      <c r="AB598"/>
      <c r="AC598">
        <v>1</v>
      </c>
      <c r="AD598"/>
      <c r="AE598"/>
      <c r="AF598"/>
      <c r="BG598" t="str">
        <f t="shared" si="10"/>
        <v/>
      </c>
      <c r="BH598" s="3" t="str" cm="1">
        <f t="array" ref="BH598">IF(AE598=1, _xlfn.TEXTJOIN(" &amp; ", TRUE, _xlfn._xlws.FILTER($AG$2:$BC$2, AG598:BC598=1)), "")</f>
        <v/>
      </c>
    </row>
    <row r="599" spans="1:60" x14ac:dyDescent="0.3">
      <c r="A599" t="s">
        <v>807</v>
      </c>
      <c r="B599" t="s">
        <v>3590</v>
      </c>
      <c r="C599" t="s">
        <v>808</v>
      </c>
      <c r="D599">
        <v>2019</v>
      </c>
      <c r="E599" s="52" t="s">
        <v>3591</v>
      </c>
      <c r="F599">
        <v>3235902</v>
      </c>
      <c r="G599">
        <v>3237724</v>
      </c>
      <c r="H599" t="s">
        <v>360</v>
      </c>
      <c r="I599" t="s">
        <v>807</v>
      </c>
      <c r="J599" s="51">
        <v>6.3530092592592596E-2</v>
      </c>
      <c r="K599" t="s">
        <v>160</v>
      </c>
      <c r="L599" t="s">
        <v>809</v>
      </c>
      <c r="M599" t="s">
        <v>810</v>
      </c>
      <c r="N599" t="s">
        <v>360</v>
      </c>
      <c r="O599" t="s">
        <v>360</v>
      </c>
      <c r="P599" t="s">
        <v>145</v>
      </c>
      <c r="Q599" t="s">
        <v>360</v>
      </c>
      <c r="R599" t="s">
        <v>167</v>
      </c>
      <c r="S599" t="s">
        <v>168</v>
      </c>
      <c r="T599" t="s">
        <v>360</v>
      </c>
      <c r="U599" t="s">
        <v>360</v>
      </c>
      <c r="V599">
        <v>5</v>
      </c>
      <c r="W599" t="s">
        <v>170</v>
      </c>
      <c r="X599" t="s">
        <v>3592</v>
      </c>
      <c r="Y599" t="s">
        <v>153</v>
      </c>
      <c r="Z599" s="53" t="s">
        <v>3593</v>
      </c>
      <c r="AA599">
        <v>1</v>
      </c>
      <c r="AB599"/>
      <c r="AC599"/>
      <c r="AD599">
        <v>1</v>
      </c>
      <c r="AE599"/>
      <c r="AF599"/>
      <c r="BG599" t="str">
        <f t="shared" si="10"/>
        <v/>
      </c>
      <c r="BH599" s="3" t="str" cm="1">
        <f t="array" ref="BH599">IF(AE599=1, _xlfn.TEXTJOIN(" &amp; ", TRUE, _xlfn._xlws.FILTER($AG$2:$BC$2, AG599:BC599=1)), "")</f>
        <v/>
      </c>
    </row>
    <row r="600" spans="1:60" x14ac:dyDescent="0.3">
      <c r="A600" t="s">
        <v>807</v>
      </c>
      <c r="B600" t="s">
        <v>3594</v>
      </c>
      <c r="C600" t="s">
        <v>808</v>
      </c>
      <c r="D600">
        <v>2019</v>
      </c>
      <c r="E600" s="52" t="s">
        <v>3595</v>
      </c>
      <c r="F600">
        <v>4417553</v>
      </c>
      <c r="G600">
        <v>4421239</v>
      </c>
      <c r="H600" t="s">
        <v>593</v>
      </c>
      <c r="I600" t="s">
        <v>807</v>
      </c>
      <c r="J600" s="51">
        <v>6.3530092592592596E-2</v>
      </c>
      <c r="K600" t="s">
        <v>160</v>
      </c>
      <c r="L600" t="s">
        <v>809</v>
      </c>
      <c r="M600" t="s">
        <v>810</v>
      </c>
      <c r="N600" t="s">
        <v>336</v>
      </c>
      <c r="O600" t="s">
        <v>164</v>
      </c>
      <c r="P600" t="s">
        <v>145</v>
      </c>
      <c r="Q600" t="s">
        <v>228</v>
      </c>
      <c r="R600" t="s">
        <v>167</v>
      </c>
      <c r="S600" t="s">
        <v>168</v>
      </c>
      <c r="T600" t="s">
        <v>149</v>
      </c>
      <c r="U600" t="s">
        <v>349</v>
      </c>
      <c r="V600">
        <v>5</v>
      </c>
      <c r="W600" t="s">
        <v>170</v>
      </c>
      <c r="X600" t="s">
        <v>3596</v>
      </c>
      <c r="Y600" t="s">
        <v>153</v>
      </c>
      <c r="Z600" s="53" t="s">
        <v>3597</v>
      </c>
      <c r="AA600">
        <v>1</v>
      </c>
      <c r="AB600"/>
      <c r="AC600">
        <v>1</v>
      </c>
      <c r="AD600"/>
      <c r="AE600"/>
      <c r="AF600"/>
      <c r="BG600" t="str">
        <f t="shared" si="10"/>
        <v/>
      </c>
      <c r="BH600" s="3" t="str" cm="1">
        <f t="array" ref="BH600">IF(AE600=1, _xlfn.TEXTJOIN(" &amp; ", TRUE, _xlfn._xlws.FILTER($AG$2:$BC$2, AG600:BC600=1)), "")</f>
        <v/>
      </c>
    </row>
    <row r="601" spans="1:60" x14ac:dyDescent="0.3">
      <c r="A601" t="s">
        <v>3598</v>
      </c>
      <c r="B601" t="s">
        <v>3599</v>
      </c>
      <c r="C601" t="s">
        <v>3600</v>
      </c>
      <c r="D601" t="s">
        <v>204</v>
      </c>
      <c r="E601" s="52" t="s">
        <v>3601</v>
      </c>
      <c r="F601">
        <v>400526</v>
      </c>
      <c r="G601">
        <v>403475</v>
      </c>
      <c r="H601" t="s">
        <v>2147</v>
      </c>
      <c r="I601" t="s">
        <v>3598</v>
      </c>
      <c r="J601" s="51">
        <v>1.2106481481481482E-2</v>
      </c>
      <c r="K601" t="s">
        <v>140</v>
      </c>
      <c r="L601" t="s">
        <v>3602</v>
      </c>
      <c r="M601" t="s">
        <v>3603</v>
      </c>
      <c r="N601" t="s">
        <v>143</v>
      </c>
      <c r="O601" t="s">
        <v>144</v>
      </c>
      <c r="P601" t="s">
        <v>165</v>
      </c>
      <c r="Q601" t="s">
        <v>146</v>
      </c>
      <c r="R601" t="s">
        <v>147</v>
      </c>
      <c r="S601" t="s">
        <v>148</v>
      </c>
      <c r="T601" t="s">
        <v>666</v>
      </c>
      <c r="U601" t="s">
        <v>151</v>
      </c>
      <c r="V601">
        <v>2</v>
      </c>
      <c r="W601" t="s">
        <v>150</v>
      </c>
      <c r="X601" t="s">
        <v>3604</v>
      </c>
      <c r="Y601" t="s">
        <v>153</v>
      </c>
      <c r="Z601" s="53" t="s">
        <v>3605</v>
      </c>
      <c r="AA601">
        <v>1</v>
      </c>
      <c r="AB601"/>
      <c r="AC601">
        <v>1</v>
      </c>
      <c r="AD601"/>
      <c r="AE601"/>
      <c r="AF601"/>
      <c r="BG601" t="str">
        <f t="shared" si="10"/>
        <v/>
      </c>
      <c r="BH601" s="3" t="str" cm="1">
        <f t="array" ref="BH601">IF(AE601=1, _xlfn.TEXTJOIN(" &amp; ", TRUE, _xlfn._xlws.FILTER($AG$2:$BC$2, AG601:BC601=1)), "")</f>
        <v/>
      </c>
    </row>
    <row r="602" spans="1:60" x14ac:dyDescent="0.3">
      <c r="A602" t="s">
        <v>3606</v>
      </c>
      <c r="B602" t="s">
        <v>3607</v>
      </c>
      <c r="C602" t="s">
        <v>3608</v>
      </c>
      <c r="D602">
        <v>2022</v>
      </c>
      <c r="E602" s="52" t="s">
        <v>3609</v>
      </c>
      <c r="F602">
        <v>2865527</v>
      </c>
      <c r="G602">
        <v>2870501</v>
      </c>
      <c r="H602" t="s">
        <v>3610</v>
      </c>
      <c r="I602" t="s">
        <v>3606</v>
      </c>
      <c r="J602" s="51">
        <v>5.0439814814814812E-2</v>
      </c>
      <c r="K602" t="s">
        <v>160</v>
      </c>
      <c r="L602" t="s">
        <v>3611</v>
      </c>
      <c r="M602" t="s">
        <v>3612</v>
      </c>
      <c r="N602" t="s">
        <v>227</v>
      </c>
      <c r="O602" t="s">
        <v>144</v>
      </c>
      <c r="P602" t="s">
        <v>165</v>
      </c>
      <c r="Q602" t="s">
        <v>228</v>
      </c>
      <c r="R602" t="s">
        <v>167</v>
      </c>
      <c r="S602" t="s">
        <v>168</v>
      </c>
      <c r="T602" t="s">
        <v>3613</v>
      </c>
      <c r="U602" t="s">
        <v>229</v>
      </c>
      <c r="V602">
        <v>3</v>
      </c>
      <c r="W602" t="s">
        <v>170</v>
      </c>
      <c r="X602" t="s">
        <v>3614</v>
      </c>
      <c r="Y602" t="s">
        <v>153</v>
      </c>
      <c r="Z602" s="53" t="s">
        <v>3615</v>
      </c>
      <c r="AA602"/>
      <c r="AB602"/>
      <c r="AC602"/>
      <c r="AD602"/>
      <c r="AE602">
        <v>1</v>
      </c>
      <c r="AF602"/>
      <c r="AM602" s="7">
        <v>1</v>
      </c>
      <c r="AX602" s="23">
        <v>1</v>
      </c>
      <c r="BD602" s="3">
        <v>1</v>
      </c>
      <c r="BG602" t="str">
        <f t="shared" si="10"/>
        <v>Interazionale &amp; Cognitiva</v>
      </c>
      <c r="BH602" s="3" t="str" cm="1">
        <f t="array" ref="BH602">IF(AE602=1, _xlfn.TEXTJOIN(" &amp; ", TRUE, _xlfn._xlws.FILTER($AG$2:$BC$2, AG602:BC602=1)), "")</f>
        <v>Marcatura della conoscenza condivisa &amp; Marcatura dell'inferenza</v>
      </c>
    </row>
    <row r="603" spans="1:60" x14ac:dyDescent="0.3">
      <c r="A603" t="s">
        <v>3606</v>
      </c>
      <c r="B603" t="s">
        <v>3616</v>
      </c>
      <c r="C603" t="s">
        <v>3608</v>
      </c>
      <c r="D603">
        <v>2022</v>
      </c>
      <c r="E603" s="52" t="s">
        <v>3617</v>
      </c>
      <c r="F603">
        <v>3235956</v>
      </c>
      <c r="G603">
        <v>3243457</v>
      </c>
      <c r="H603" t="s">
        <v>3610</v>
      </c>
      <c r="I603" t="s">
        <v>3606</v>
      </c>
      <c r="J603" s="51">
        <v>5.0439814814814812E-2</v>
      </c>
      <c r="K603" t="s">
        <v>160</v>
      </c>
      <c r="L603" t="s">
        <v>3611</v>
      </c>
      <c r="M603" t="s">
        <v>3612</v>
      </c>
      <c r="N603" t="s">
        <v>227</v>
      </c>
      <c r="O603" t="s">
        <v>144</v>
      </c>
      <c r="P603" t="s">
        <v>165</v>
      </c>
      <c r="Q603" t="s">
        <v>228</v>
      </c>
      <c r="R603" t="s">
        <v>167</v>
      </c>
      <c r="S603" t="s">
        <v>168</v>
      </c>
      <c r="T603" t="s">
        <v>3613</v>
      </c>
      <c r="U603" t="s">
        <v>229</v>
      </c>
      <c r="V603">
        <v>3</v>
      </c>
      <c r="W603" t="s">
        <v>170</v>
      </c>
      <c r="X603" t="s">
        <v>3618</v>
      </c>
      <c r="Y603" t="s">
        <v>153</v>
      </c>
      <c r="Z603" s="53" t="s">
        <v>3619</v>
      </c>
      <c r="AA603">
        <v>1</v>
      </c>
      <c r="AB603">
        <v>1</v>
      </c>
      <c r="AC603"/>
      <c r="AD603"/>
      <c r="AE603"/>
      <c r="AF603"/>
      <c r="BC603" s="10">
        <v>1</v>
      </c>
      <c r="BG603" t="str">
        <f t="shared" si="10"/>
        <v/>
      </c>
      <c r="BH603" s="3" t="str" cm="1">
        <f t="array" ref="BH603">IF(AE603=1, _xlfn.TEXTJOIN(" &amp; ", TRUE, _xlfn._xlws.FILTER($AG$2:$BC$2, AG603:BC603=1)), "")</f>
        <v/>
      </c>
    </row>
    <row r="604" spans="1:60" x14ac:dyDescent="0.3">
      <c r="A604" t="s">
        <v>3606</v>
      </c>
      <c r="B604" t="s">
        <v>3620</v>
      </c>
      <c r="C604" t="s">
        <v>3608</v>
      </c>
      <c r="D604">
        <v>2022</v>
      </c>
      <c r="E604" s="52" t="s">
        <v>3621</v>
      </c>
      <c r="F604">
        <v>3807214</v>
      </c>
      <c r="G604">
        <v>3811980</v>
      </c>
      <c r="H604" t="s">
        <v>3622</v>
      </c>
      <c r="I604" t="s">
        <v>3606</v>
      </c>
      <c r="J604" s="51">
        <v>5.0439814814814812E-2</v>
      </c>
      <c r="K604" t="s">
        <v>160</v>
      </c>
      <c r="L604" t="s">
        <v>3611</v>
      </c>
      <c r="M604" t="s">
        <v>3612</v>
      </c>
      <c r="N604" t="s">
        <v>286</v>
      </c>
      <c r="O604" t="s">
        <v>164</v>
      </c>
      <c r="P604" t="s">
        <v>165</v>
      </c>
      <c r="Q604" t="s">
        <v>228</v>
      </c>
      <c r="R604" t="s">
        <v>167</v>
      </c>
      <c r="S604" t="s">
        <v>168</v>
      </c>
      <c r="T604" t="s">
        <v>189</v>
      </c>
      <c r="U604" t="s">
        <v>229</v>
      </c>
      <c r="V604">
        <v>3</v>
      </c>
      <c r="W604" t="s">
        <v>170</v>
      </c>
      <c r="X604" t="s">
        <v>3623</v>
      </c>
      <c r="Y604" t="s">
        <v>153</v>
      </c>
      <c r="Z604" s="53" t="s">
        <v>3624</v>
      </c>
      <c r="AA604"/>
      <c r="AB604"/>
      <c r="AC604"/>
      <c r="AD604"/>
      <c r="AE604">
        <v>1</v>
      </c>
      <c r="AF604"/>
      <c r="BG604" t="str">
        <f t="shared" si="10"/>
        <v/>
      </c>
      <c r="BH604" s="3" t="e" cm="1" vm="1">
        <f t="array" ref="BH604">IF(AE604=1, _xlfn.TEXTJOIN(" &amp; ", TRUE, _xlfn._xlws.FILTER($AG$2:$BC$2, AG604:BC604=1)), "")</f>
        <v>#VALUE!</v>
      </c>
    </row>
    <row r="605" spans="1:60" x14ac:dyDescent="0.3">
      <c r="A605" t="s">
        <v>3606</v>
      </c>
      <c r="B605" t="s">
        <v>3625</v>
      </c>
      <c r="C605" t="s">
        <v>3608</v>
      </c>
      <c r="D605">
        <v>2022</v>
      </c>
      <c r="E605" s="52" t="s">
        <v>3626</v>
      </c>
      <c r="F605">
        <v>3883193</v>
      </c>
      <c r="G605">
        <v>3892391</v>
      </c>
      <c r="H605" t="s">
        <v>3610</v>
      </c>
      <c r="I605" t="s">
        <v>3606</v>
      </c>
      <c r="J605" s="51">
        <v>5.0439814814814812E-2</v>
      </c>
      <c r="K605" t="s">
        <v>160</v>
      </c>
      <c r="L605" t="s">
        <v>3611</v>
      </c>
      <c r="M605" t="s">
        <v>3612</v>
      </c>
      <c r="N605" t="s">
        <v>227</v>
      </c>
      <c r="O605" t="s">
        <v>144</v>
      </c>
      <c r="P605" t="s">
        <v>165</v>
      </c>
      <c r="Q605" t="s">
        <v>228</v>
      </c>
      <c r="R605" t="s">
        <v>167</v>
      </c>
      <c r="S605" t="s">
        <v>168</v>
      </c>
      <c r="T605" t="s">
        <v>3613</v>
      </c>
      <c r="U605" t="s">
        <v>229</v>
      </c>
      <c r="V605">
        <v>3</v>
      </c>
      <c r="W605" t="s">
        <v>170</v>
      </c>
      <c r="X605" t="s">
        <v>3627</v>
      </c>
      <c r="Y605" t="s">
        <v>153</v>
      </c>
      <c r="Z605" s="53" t="s">
        <v>3628</v>
      </c>
      <c r="AA605"/>
      <c r="AB605"/>
      <c r="AC605"/>
      <c r="AD605"/>
      <c r="AE605">
        <v>1</v>
      </c>
      <c r="AF605"/>
      <c r="AH605" s="8">
        <v>1</v>
      </c>
      <c r="AM605" s="7">
        <v>1</v>
      </c>
      <c r="BD605" s="3">
        <v>1</v>
      </c>
      <c r="BG605" t="str">
        <f t="shared" si="10"/>
        <v>Interazionale</v>
      </c>
      <c r="BH605" s="3" t="str" cm="1">
        <f t="array" ref="BH605">IF(AE605=1, _xlfn.TEXTJOIN(" &amp; ", TRUE, _xlfn._xlws.FILTER($AG$2:$BC$2, AG605:BC605=1)), "")</f>
        <v>Richiesta di accordo/conferma &amp; Marcatura della conoscenza condivisa</v>
      </c>
    </row>
    <row r="606" spans="1:60" x14ac:dyDescent="0.3">
      <c r="A606" t="s">
        <v>3606</v>
      </c>
      <c r="B606" t="s">
        <v>3629</v>
      </c>
      <c r="C606" t="s">
        <v>3608</v>
      </c>
      <c r="D606">
        <v>2022</v>
      </c>
      <c r="E606" s="52" t="s">
        <v>3630</v>
      </c>
      <c r="F606">
        <v>3954224</v>
      </c>
      <c r="G606">
        <v>3958945</v>
      </c>
      <c r="H606" t="s">
        <v>3610</v>
      </c>
      <c r="I606" t="s">
        <v>3606</v>
      </c>
      <c r="J606" s="51">
        <v>5.0439814814814812E-2</v>
      </c>
      <c r="K606" t="s">
        <v>160</v>
      </c>
      <c r="L606" t="s">
        <v>3611</v>
      </c>
      <c r="M606" t="s">
        <v>3612</v>
      </c>
      <c r="N606" t="s">
        <v>227</v>
      </c>
      <c r="O606" t="s">
        <v>144</v>
      </c>
      <c r="P606" t="s">
        <v>165</v>
      </c>
      <c r="Q606" t="s">
        <v>228</v>
      </c>
      <c r="R606" t="s">
        <v>167</v>
      </c>
      <c r="S606" t="s">
        <v>168</v>
      </c>
      <c r="T606" t="s">
        <v>3613</v>
      </c>
      <c r="U606" t="s">
        <v>229</v>
      </c>
      <c r="V606">
        <v>3</v>
      </c>
      <c r="W606" t="s">
        <v>170</v>
      </c>
      <c r="X606" t="s">
        <v>3631</v>
      </c>
      <c r="Y606" t="s">
        <v>153</v>
      </c>
      <c r="Z606" s="53" t="s">
        <v>3632</v>
      </c>
      <c r="AA606">
        <v>1</v>
      </c>
      <c r="AB606">
        <v>1</v>
      </c>
      <c r="AC606">
        <v>1</v>
      </c>
      <c r="AD606"/>
      <c r="AE606"/>
      <c r="AF606"/>
      <c r="BG606" t="str">
        <f t="shared" si="10"/>
        <v/>
      </c>
      <c r="BH606" s="3" t="str" cm="1">
        <f t="array" ref="BH606">IF(AE606=1, _xlfn.TEXTJOIN(" &amp; ", TRUE, _xlfn._xlws.FILTER($AG$2:$BC$2, AG606:BC606=1)), "")</f>
        <v/>
      </c>
    </row>
    <row r="607" spans="1:60" x14ac:dyDescent="0.3">
      <c r="A607" t="s">
        <v>812</v>
      </c>
      <c r="B607" t="s">
        <v>3633</v>
      </c>
      <c r="C607" t="s">
        <v>813</v>
      </c>
      <c r="D607">
        <v>2021</v>
      </c>
      <c r="E607" s="52" t="s">
        <v>3634</v>
      </c>
      <c r="F607">
        <v>340370</v>
      </c>
      <c r="G607">
        <v>341860</v>
      </c>
      <c r="H607" t="s">
        <v>3635</v>
      </c>
      <c r="I607" t="s">
        <v>812</v>
      </c>
      <c r="J607" s="51">
        <v>2.2442129629629631E-2</v>
      </c>
      <c r="K607" t="s">
        <v>160</v>
      </c>
      <c r="L607" t="s">
        <v>814</v>
      </c>
      <c r="M607" t="s">
        <v>815</v>
      </c>
      <c r="N607" t="s">
        <v>227</v>
      </c>
      <c r="O607" t="s">
        <v>144</v>
      </c>
      <c r="P607" t="s">
        <v>165</v>
      </c>
      <c r="Q607" t="s">
        <v>699</v>
      </c>
      <c r="R607" t="s">
        <v>167</v>
      </c>
      <c r="S607" t="s">
        <v>168</v>
      </c>
      <c r="T607" t="s">
        <v>169</v>
      </c>
      <c r="U607" t="s">
        <v>318</v>
      </c>
      <c r="V607">
        <v>3</v>
      </c>
      <c r="W607" t="s">
        <v>170</v>
      </c>
      <c r="X607" t="s">
        <v>3636</v>
      </c>
      <c r="Y607" t="s">
        <v>153</v>
      </c>
      <c r="Z607" s="53" t="s">
        <v>3637</v>
      </c>
      <c r="AA607"/>
      <c r="AB607"/>
      <c r="AC607"/>
      <c r="AD607"/>
      <c r="AE607">
        <v>1</v>
      </c>
      <c r="AF607"/>
      <c r="AG607" s="7">
        <v>1</v>
      </c>
      <c r="BG607" t="str">
        <f t="shared" si="10"/>
        <v>Interazionale</v>
      </c>
      <c r="BH607" s="3" t="str" cm="1">
        <f t="array" ref="BH607">IF(AE607=1, _xlfn.TEXTJOIN(" &amp; ", TRUE, _xlfn._xlws.FILTER($AG$2:$BC$2, AG607:BC607=1)), "")</f>
        <v>Presa di turno</v>
      </c>
    </row>
    <row r="608" spans="1:60" x14ac:dyDescent="0.3">
      <c r="A608" t="s">
        <v>812</v>
      </c>
      <c r="B608" t="s">
        <v>3638</v>
      </c>
      <c r="C608" t="s">
        <v>813</v>
      </c>
      <c r="D608">
        <v>2021</v>
      </c>
      <c r="E608" s="52" t="s">
        <v>3639</v>
      </c>
      <c r="F608">
        <v>1207610</v>
      </c>
      <c r="G608">
        <v>1211840</v>
      </c>
      <c r="H608" t="s">
        <v>3635</v>
      </c>
      <c r="I608" t="s">
        <v>812</v>
      </c>
      <c r="J608" s="51">
        <v>2.2442129629629631E-2</v>
      </c>
      <c r="K608" t="s">
        <v>160</v>
      </c>
      <c r="L608" t="s">
        <v>814</v>
      </c>
      <c r="M608" t="s">
        <v>815</v>
      </c>
      <c r="N608" t="s">
        <v>227</v>
      </c>
      <c r="O608" t="s">
        <v>144</v>
      </c>
      <c r="P608" t="s">
        <v>165</v>
      </c>
      <c r="Q608" t="s">
        <v>699</v>
      </c>
      <c r="R608" t="s">
        <v>167</v>
      </c>
      <c r="S608" t="s">
        <v>168</v>
      </c>
      <c r="T608" t="s">
        <v>169</v>
      </c>
      <c r="U608" t="s">
        <v>318</v>
      </c>
      <c r="V608">
        <v>3</v>
      </c>
      <c r="W608" t="s">
        <v>170</v>
      </c>
      <c r="X608" t="s">
        <v>3640</v>
      </c>
      <c r="Y608" t="s">
        <v>153</v>
      </c>
      <c r="Z608" s="53" t="s">
        <v>3641</v>
      </c>
      <c r="AA608">
        <v>1</v>
      </c>
      <c r="AB608">
        <v>1</v>
      </c>
      <c r="AC608"/>
      <c r="AD608"/>
      <c r="AE608"/>
      <c r="AF608"/>
      <c r="BG608" t="str">
        <f t="shared" si="10"/>
        <v/>
      </c>
      <c r="BH608" s="3" t="str" cm="1">
        <f t="array" ref="BH608">IF(AE608=1, _xlfn.TEXTJOIN(" &amp; ", TRUE, _xlfn._xlws.FILTER($AG$2:$BC$2, AG608:BC608=1)), "")</f>
        <v/>
      </c>
    </row>
    <row r="609" spans="1:60" x14ac:dyDescent="0.3">
      <c r="A609" t="s">
        <v>3642</v>
      </c>
      <c r="B609" t="s">
        <v>3643</v>
      </c>
      <c r="C609" t="s">
        <v>3644</v>
      </c>
      <c r="D609">
        <v>2021</v>
      </c>
      <c r="E609" s="52" t="s">
        <v>3645</v>
      </c>
      <c r="F609">
        <v>314815</v>
      </c>
      <c r="G609">
        <v>315685</v>
      </c>
      <c r="H609" t="s">
        <v>3646</v>
      </c>
      <c r="I609" t="s">
        <v>3642</v>
      </c>
      <c r="J609" s="51">
        <v>2.4930555555555556E-2</v>
      </c>
      <c r="K609" t="s">
        <v>160</v>
      </c>
      <c r="L609" t="s">
        <v>3647</v>
      </c>
      <c r="M609" t="s">
        <v>3648</v>
      </c>
      <c r="N609" t="s">
        <v>381</v>
      </c>
      <c r="O609" t="s">
        <v>144</v>
      </c>
      <c r="P609" t="s">
        <v>165</v>
      </c>
      <c r="Q609" t="s">
        <v>699</v>
      </c>
      <c r="R609" t="s">
        <v>167</v>
      </c>
      <c r="S609" t="s">
        <v>168</v>
      </c>
      <c r="T609" t="s">
        <v>189</v>
      </c>
      <c r="U609" t="s">
        <v>171</v>
      </c>
      <c r="V609">
        <v>3</v>
      </c>
      <c r="W609" t="s">
        <v>170</v>
      </c>
      <c r="X609" t="s">
        <v>3649</v>
      </c>
      <c r="Y609" t="s">
        <v>153</v>
      </c>
      <c r="Z609" s="53" t="s">
        <v>3650</v>
      </c>
      <c r="AA609">
        <v>1</v>
      </c>
      <c r="AB609"/>
      <c r="AC609"/>
      <c r="AD609">
        <v>1</v>
      </c>
      <c r="AE609"/>
      <c r="AF609"/>
      <c r="BG609" t="str">
        <f t="shared" si="10"/>
        <v/>
      </c>
      <c r="BH609" s="3" t="str" cm="1">
        <f t="array" ref="BH609">IF(AE609=1, _xlfn.TEXTJOIN(" &amp; ", TRUE, _xlfn._xlws.FILTER($AG$2:$BC$2, AG609:BC609=1)), "")</f>
        <v/>
      </c>
    </row>
    <row r="610" spans="1:60" x14ac:dyDescent="0.3">
      <c r="A610" t="s">
        <v>3642</v>
      </c>
      <c r="B610" t="s">
        <v>3651</v>
      </c>
      <c r="C610" t="s">
        <v>3644</v>
      </c>
      <c r="D610">
        <v>2021</v>
      </c>
      <c r="E610" s="52" t="s">
        <v>3652</v>
      </c>
      <c r="F610">
        <v>434960</v>
      </c>
      <c r="G610">
        <v>439460</v>
      </c>
      <c r="H610" t="s">
        <v>3653</v>
      </c>
      <c r="I610" t="s">
        <v>3642</v>
      </c>
      <c r="J610" s="51">
        <v>2.4930555555555556E-2</v>
      </c>
      <c r="K610" t="s">
        <v>160</v>
      </c>
      <c r="L610" t="s">
        <v>3647</v>
      </c>
      <c r="M610" t="s">
        <v>3648</v>
      </c>
      <c r="N610" t="s">
        <v>381</v>
      </c>
      <c r="O610" t="s">
        <v>164</v>
      </c>
      <c r="P610" t="s">
        <v>165</v>
      </c>
      <c r="Q610" t="s">
        <v>337</v>
      </c>
      <c r="R610" t="s">
        <v>167</v>
      </c>
      <c r="S610" t="s">
        <v>168</v>
      </c>
      <c r="T610" t="s">
        <v>169</v>
      </c>
      <c r="U610" t="s">
        <v>171</v>
      </c>
      <c r="V610">
        <v>3</v>
      </c>
      <c r="W610" t="s">
        <v>170</v>
      </c>
      <c r="X610" t="s">
        <v>3654</v>
      </c>
      <c r="Y610" t="s">
        <v>153</v>
      </c>
      <c r="Z610" s="53" t="s">
        <v>3655</v>
      </c>
      <c r="AA610"/>
      <c r="AB610"/>
      <c r="AC610"/>
      <c r="AD610"/>
      <c r="AE610">
        <v>1</v>
      </c>
      <c r="AF610"/>
      <c r="AV610" s="9">
        <v>1</v>
      </c>
      <c r="BG610" t="str">
        <f t="shared" si="10"/>
        <v>Metatestuale</v>
      </c>
      <c r="BH610" s="3" t="str" cm="1">
        <f t="array" ref="BH610">IF(AE610=1, _xlfn.TEXTJOIN(" &amp; ", TRUE, _xlfn._xlws.FILTER($AG$2:$BC$2, AG610:BC610=1)), "")</f>
        <v>Filler, riempimento dei tempi di formulazione</v>
      </c>
    </row>
    <row r="611" spans="1:60" x14ac:dyDescent="0.3">
      <c r="A611" t="s">
        <v>3656</v>
      </c>
      <c r="B611" t="s">
        <v>3657</v>
      </c>
      <c r="C611" t="s">
        <v>3658</v>
      </c>
      <c r="D611">
        <v>2020</v>
      </c>
      <c r="E611" s="52" t="s">
        <v>3659</v>
      </c>
      <c r="F611">
        <v>1338870</v>
      </c>
      <c r="G611">
        <v>1346450</v>
      </c>
      <c r="H611" t="s">
        <v>3660</v>
      </c>
      <c r="I611" t="s">
        <v>3656</v>
      </c>
      <c r="J611" s="51">
        <v>3.2650462962962964E-2</v>
      </c>
      <c r="K611" t="s">
        <v>140</v>
      </c>
      <c r="L611" t="s">
        <v>3661</v>
      </c>
      <c r="M611" t="s">
        <v>3662</v>
      </c>
      <c r="N611" t="s">
        <v>336</v>
      </c>
      <c r="O611" t="s">
        <v>144</v>
      </c>
      <c r="P611" t="s">
        <v>287</v>
      </c>
      <c r="Q611" t="s">
        <v>527</v>
      </c>
      <c r="R611" t="s">
        <v>147</v>
      </c>
      <c r="S611" t="s">
        <v>148</v>
      </c>
      <c r="T611" t="s">
        <v>288</v>
      </c>
      <c r="U611" t="s">
        <v>171</v>
      </c>
      <c r="V611">
        <v>3</v>
      </c>
      <c r="W611" t="s">
        <v>269</v>
      </c>
      <c r="X611" t="s">
        <v>3663</v>
      </c>
      <c r="Y611" t="s">
        <v>153</v>
      </c>
      <c r="Z611" s="53" t="s">
        <v>3664</v>
      </c>
      <c r="AA611">
        <v>1</v>
      </c>
      <c r="AB611">
        <v>1</v>
      </c>
      <c r="AC611"/>
      <c r="AD611"/>
      <c r="AE611"/>
      <c r="AF611"/>
      <c r="BG611" t="str">
        <f t="shared" si="10"/>
        <v/>
      </c>
      <c r="BH611" s="3" t="str" cm="1">
        <f t="array" ref="BH611">IF(AE611=1, _xlfn.TEXTJOIN(" &amp; ", TRUE, _xlfn._xlws.FILTER($AG$2:$BC$2, AG611:BC611=1)), "")</f>
        <v/>
      </c>
    </row>
    <row r="612" spans="1:60" x14ac:dyDescent="0.3">
      <c r="A612" t="s">
        <v>3656</v>
      </c>
      <c r="B612" t="s">
        <v>3665</v>
      </c>
      <c r="C612" t="s">
        <v>3658</v>
      </c>
      <c r="D612">
        <v>2020</v>
      </c>
      <c r="E612" s="52" t="s">
        <v>3666</v>
      </c>
      <c r="F612">
        <v>1534105</v>
      </c>
      <c r="G612">
        <v>1542170</v>
      </c>
      <c r="H612" t="s">
        <v>3660</v>
      </c>
      <c r="I612" t="s">
        <v>3656</v>
      </c>
      <c r="J612" s="51">
        <v>3.2650462962962964E-2</v>
      </c>
      <c r="K612" t="s">
        <v>140</v>
      </c>
      <c r="L612" t="s">
        <v>3661</v>
      </c>
      <c r="M612" t="s">
        <v>3662</v>
      </c>
      <c r="N612" t="s">
        <v>336</v>
      </c>
      <c r="O612" t="s">
        <v>144</v>
      </c>
      <c r="P612" t="s">
        <v>287</v>
      </c>
      <c r="Q612" t="s">
        <v>527</v>
      </c>
      <c r="R612" t="s">
        <v>147</v>
      </c>
      <c r="S612" t="s">
        <v>148</v>
      </c>
      <c r="T612" t="s">
        <v>288</v>
      </c>
      <c r="U612" t="s">
        <v>171</v>
      </c>
      <c r="V612">
        <v>3</v>
      </c>
      <c r="W612" t="s">
        <v>269</v>
      </c>
      <c r="X612" t="s">
        <v>3667</v>
      </c>
      <c r="Y612" t="s">
        <v>153</v>
      </c>
      <c r="Z612" s="53" t="s">
        <v>3668</v>
      </c>
      <c r="AA612"/>
      <c r="AB612"/>
      <c r="AC612"/>
      <c r="AD612"/>
      <c r="AE612">
        <v>1</v>
      </c>
      <c r="AF612"/>
      <c r="AH612" s="8">
        <v>1</v>
      </c>
      <c r="AM612" s="7">
        <v>1</v>
      </c>
      <c r="AP612" s="9">
        <v>1</v>
      </c>
      <c r="BD612" s="3">
        <v>1</v>
      </c>
      <c r="BG612" t="str">
        <f t="shared" si="10"/>
        <v>Interazionale &amp; Metatestuale</v>
      </c>
      <c r="BH612" s="3" t="str" cm="1">
        <f t="array" ref="BH612">IF(AE612=1, _xlfn.TEXTJOIN(" &amp; ", TRUE, _xlfn._xlws.FILTER($AG$2:$BC$2, AG612:BC612=1)), "")</f>
        <v>Richiesta di accordo/conferma &amp; Marcatura della conoscenza condivisa &amp; Gestione del topic: introduzione o ripresa di topic</v>
      </c>
    </row>
    <row r="613" spans="1:60" x14ac:dyDescent="0.3">
      <c r="A613" t="s">
        <v>3656</v>
      </c>
      <c r="B613" t="s">
        <v>3669</v>
      </c>
      <c r="C613" t="s">
        <v>3658</v>
      </c>
      <c r="D613">
        <v>2020</v>
      </c>
      <c r="E613" s="52" t="s">
        <v>3670</v>
      </c>
      <c r="F613">
        <v>1794510</v>
      </c>
      <c r="G613">
        <v>1797540</v>
      </c>
      <c r="H613" t="s">
        <v>3671</v>
      </c>
      <c r="I613" t="s">
        <v>3656</v>
      </c>
      <c r="J613" s="51">
        <v>3.2650462962962964E-2</v>
      </c>
      <c r="K613" t="s">
        <v>140</v>
      </c>
      <c r="L613" t="s">
        <v>3661</v>
      </c>
      <c r="M613" t="s">
        <v>3662</v>
      </c>
      <c r="N613" t="s">
        <v>336</v>
      </c>
      <c r="O613" t="s">
        <v>144</v>
      </c>
      <c r="P613" t="s">
        <v>287</v>
      </c>
      <c r="Q613" t="s">
        <v>527</v>
      </c>
      <c r="R613" t="s">
        <v>147</v>
      </c>
      <c r="S613" t="s">
        <v>148</v>
      </c>
      <c r="T613" t="s">
        <v>288</v>
      </c>
      <c r="U613" t="s">
        <v>171</v>
      </c>
      <c r="V613">
        <v>3</v>
      </c>
      <c r="W613" t="s">
        <v>269</v>
      </c>
      <c r="X613" t="s">
        <v>3672</v>
      </c>
      <c r="Y613" t="s">
        <v>153</v>
      </c>
      <c r="Z613" s="53" t="s">
        <v>3673</v>
      </c>
      <c r="AA613">
        <v>1</v>
      </c>
      <c r="AB613"/>
      <c r="AC613"/>
      <c r="AD613">
        <v>1</v>
      </c>
      <c r="AE613"/>
      <c r="AF613"/>
      <c r="BG613" t="str">
        <f t="shared" si="10"/>
        <v/>
      </c>
      <c r="BH613" s="3" t="str" cm="1">
        <f t="array" ref="BH613">IF(AE613=1, _xlfn.TEXTJOIN(" &amp; ", TRUE, _xlfn._xlws.FILTER($AG$2:$BC$2, AG613:BC613=1)), "")</f>
        <v/>
      </c>
    </row>
    <row r="614" spans="1:60" x14ac:dyDescent="0.3">
      <c r="A614" t="s">
        <v>3656</v>
      </c>
      <c r="B614" t="s">
        <v>3674</v>
      </c>
      <c r="C614" t="s">
        <v>3658</v>
      </c>
      <c r="D614">
        <v>2020</v>
      </c>
      <c r="E614" s="52" t="s">
        <v>3675</v>
      </c>
      <c r="F614">
        <v>1817221</v>
      </c>
      <c r="G614">
        <v>1820810</v>
      </c>
      <c r="H614" t="s">
        <v>3671</v>
      </c>
      <c r="I614" t="s">
        <v>3656</v>
      </c>
      <c r="J614" s="51">
        <v>3.2650462962962964E-2</v>
      </c>
      <c r="K614" t="s">
        <v>140</v>
      </c>
      <c r="L614" t="s">
        <v>3661</v>
      </c>
      <c r="M614" t="s">
        <v>3662</v>
      </c>
      <c r="N614" t="s">
        <v>336</v>
      </c>
      <c r="O614" t="s">
        <v>144</v>
      </c>
      <c r="P614" t="s">
        <v>287</v>
      </c>
      <c r="Q614" t="s">
        <v>527</v>
      </c>
      <c r="R614" t="s">
        <v>147</v>
      </c>
      <c r="S614" t="s">
        <v>148</v>
      </c>
      <c r="T614" t="s">
        <v>288</v>
      </c>
      <c r="U614" t="s">
        <v>171</v>
      </c>
      <c r="V614">
        <v>3</v>
      </c>
      <c r="W614" t="s">
        <v>269</v>
      </c>
      <c r="X614" t="s">
        <v>3676</v>
      </c>
      <c r="Y614" t="s">
        <v>153</v>
      </c>
      <c r="Z614" s="53" t="s">
        <v>3677</v>
      </c>
      <c r="AA614">
        <v>1</v>
      </c>
      <c r="AB614">
        <v>1</v>
      </c>
      <c r="AC614"/>
      <c r="AD614"/>
      <c r="AE614"/>
      <c r="AF614"/>
      <c r="BG614" t="str">
        <f t="shared" si="10"/>
        <v/>
      </c>
      <c r="BH614" s="3" t="str" cm="1">
        <f t="array" ref="BH614">IF(AE614=1, _xlfn.TEXTJOIN(" &amp; ", TRUE, _xlfn._xlws.FILTER($AG$2:$BC$2, AG614:BC614=1)), "")</f>
        <v/>
      </c>
    </row>
    <row r="615" spans="1:60" x14ac:dyDescent="0.3">
      <c r="A615" t="s">
        <v>3656</v>
      </c>
      <c r="B615" t="s">
        <v>3678</v>
      </c>
      <c r="C615" t="s">
        <v>3658</v>
      </c>
      <c r="D615">
        <v>2020</v>
      </c>
      <c r="E615" s="52" t="s">
        <v>3679</v>
      </c>
      <c r="F615">
        <v>1861920</v>
      </c>
      <c r="G615">
        <v>1865658</v>
      </c>
      <c r="H615" t="s">
        <v>3671</v>
      </c>
      <c r="I615" t="s">
        <v>3656</v>
      </c>
      <c r="J615" s="51">
        <v>3.2650462962962964E-2</v>
      </c>
      <c r="K615" t="s">
        <v>140</v>
      </c>
      <c r="L615" t="s">
        <v>3661</v>
      </c>
      <c r="M615" t="s">
        <v>3662</v>
      </c>
      <c r="N615" t="s">
        <v>336</v>
      </c>
      <c r="O615" t="s">
        <v>144</v>
      </c>
      <c r="P615" t="s">
        <v>287</v>
      </c>
      <c r="Q615" t="s">
        <v>527</v>
      </c>
      <c r="R615" t="s">
        <v>147</v>
      </c>
      <c r="S615" t="s">
        <v>148</v>
      </c>
      <c r="T615" t="s">
        <v>288</v>
      </c>
      <c r="U615" t="s">
        <v>171</v>
      </c>
      <c r="V615">
        <v>3</v>
      </c>
      <c r="W615" t="s">
        <v>269</v>
      </c>
      <c r="X615" t="s">
        <v>3680</v>
      </c>
      <c r="Y615" t="s">
        <v>153</v>
      </c>
      <c r="Z615" s="53" t="s">
        <v>3681</v>
      </c>
      <c r="AA615">
        <v>1</v>
      </c>
      <c r="AB615">
        <v>1</v>
      </c>
      <c r="AC615"/>
      <c r="AD615"/>
      <c r="AE615"/>
      <c r="AF615"/>
      <c r="BG615" t="str">
        <f t="shared" si="10"/>
        <v/>
      </c>
      <c r="BH615" s="3" t="str" cm="1">
        <f t="array" ref="BH615">IF(AE615=1, _xlfn.TEXTJOIN(" &amp; ", TRUE, _xlfn._xlws.FILTER($AG$2:$BC$2, AG615:BC615=1)), "")</f>
        <v/>
      </c>
    </row>
    <row r="616" spans="1:60" x14ac:dyDescent="0.3">
      <c r="A616" t="s">
        <v>3656</v>
      </c>
      <c r="B616" t="s">
        <v>3682</v>
      </c>
      <c r="C616" t="s">
        <v>3658</v>
      </c>
      <c r="D616">
        <v>2020</v>
      </c>
      <c r="E616" s="52" t="s">
        <v>3683</v>
      </c>
      <c r="F616">
        <v>2119053</v>
      </c>
      <c r="G616">
        <v>2120340</v>
      </c>
      <c r="H616" t="s">
        <v>3671</v>
      </c>
      <c r="I616" t="s">
        <v>3656</v>
      </c>
      <c r="J616" s="51">
        <v>3.2650462962962964E-2</v>
      </c>
      <c r="K616" t="s">
        <v>140</v>
      </c>
      <c r="L616" t="s">
        <v>3661</v>
      </c>
      <c r="M616" t="s">
        <v>3662</v>
      </c>
      <c r="N616" t="s">
        <v>336</v>
      </c>
      <c r="O616" t="s">
        <v>144</v>
      </c>
      <c r="P616" t="s">
        <v>287</v>
      </c>
      <c r="Q616" t="s">
        <v>527</v>
      </c>
      <c r="R616" t="s">
        <v>147</v>
      </c>
      <c r="S616" t="s">
        <v>148</v>
      </c>
      <c r="T616" t="s">
        <v>288</v>
      </c>
      <c r="U616" t="s">
        <v>171</v>
      </c>
      <c r="V616">
        <v>3</v>
      </c>
      <c r="W616" t="s">
        <v>269</v>
      </c>
      <c r="X616" t="s">
        <v>3684</v>
      </c>
      <c r="Y616" t="s">
        <v>153</v>
      </c>
      <c r="Z616" s="53" t="s">
        <v>3685</v>
      </c>
      <c r="AA616">
        <v>1</v>
      </c>
      <c r="AB616"/>
      <c r="AC616">
        <v>1</v>
      </c>
      <c r="AD616"/>
      <c r="AE616"/>
      <c r="AF616"/>
      <c r="BG616" t="str">
        <f t="shared" si="10"/>
        <v/>
      </c>
      <c r="BH616" s="3" t="str" cm="1">
        <f t="array" ref="BH616">IF(AE616=1, _xlfn.TEXTJOIN(" &amp; ", TRUE, _xlfn._xlws.FILTER($AG$2:$BC$2, AG616:BC616=1)), "")</f>
        <v/>
      </c>
    </row>
    <row r="617" spans="1:60" x14ac:dyDescent="0.3">
      <c r="A617" t="s">
        <v>3686</v>
      </c>
      <c r="B617" t="s">
        <v>3687</v>
      </c>
      <c r="C617" t="s">
        <v>3688</v>
      </c>
      <c r="D617">
        <v>2024</v>
      </c>
      <c r="E617" s="52" t="s">
        <v>3689</v>
      </c>
      <c r="F617">
        <v>231041</v>
      </c>
      <c r="G617">
        <v>233052</v>
      </c>
      <c r="H617" t="s">
        <v>3690</v>
      </c>
      <c r="I617" t="s">
        <v>3686</v>
      </c>
      <c r="J617" s="51">
        <v>3.6354166666666667E-2</v>
      </c>
      <c r="K617" t="s">
        <v>160</v>
      </c>
      <c r="L617" t="s">
        <v>3691</v>
      </c>
      <c r="M617" t="s">
        <v>3692</v>
      </c>
      <c r="N617" t="s">
        <v>336</v>
      </c>
      <c r="O617" t="s">
        <v>164</v>
      </c>
      <c r="P617" t="s">
        <v>165</v>
      </c>
      <c r="Q617" t="s">
        <v>699</v>
      </c>
      <c r="R617" t="s">
        <v>167</v>
      </c>
      <c r="S617" t="s">
        <v>168</v>
      </c>
      <c r="T617" t="s">
        <v>169</v>
      </c>
      <c r="U617" t="s">
        <v>171</v>
      </c>
      <c r="V617">
        <v>3</v>
      </c>
      <c r="W617" t="s">
        <v>170</v>
      </c>
      <c r="X617" t="s">
        <v>3693</v>
      </c>
      <c r="Y617" t="s">
        <v>153</v>
      </c>
      <c r="Z617" s="53" t="s">
        <v>3694</v>
      </c>
      <c r="AA617"/>
      <c r="AB617"/>
      <c r="AC617"/>
      <c r="AD617"/>
      <c r="AE617">
        <v>1</v>
      </c>
      <c r="AF617"/>
      <c r="AM617" s="7">
        <v>1</v>
      </c>
      <c r="BG617" t="str">
        <f t="shared" si="10"/>
        <v>Interazionale</v>
      </c>
      <c r="BH617" s="3" t="str" cm="1">
        <f t="array" ref="BH617">IF(AE617=1, _xlfn.TEXTJOIN(" &amp; ", TRUE, _xlfn._xlws.FILTER($AG$2:$BC$2, AG617:BC617=1)), "")</f>
        <v>Marcatura della conoscenza condivisa</v>
      </c>
    </row>
    <row r="618" spans="1:60" x14ac:dyDescent="0.3">
      <c r="A618" t="s">
        <v>3686</v>
      </c>
      <c r="B618" t="s">
        <v>3695</v>
      </c>
      <c r="C618" t="s">
        <v>3688</v>
      </c>
      <c r="D618">
        <v>2024</v>
      </c>
      <c r="E618" s="52" t="s">
        <v>3696</v>
      </c>
      <c r="F618">
        <v>3075210</v>
      </c>
      <c r="G618">
        <v>3076970</v>
      </c>
      <c r="H618" t="s">
        <v>1187</v>
      </c>
      <c r="I618" t="s">
        <v>3686</v>
      </c>
      <c r="J618" s="51">
        <v>3.6354166666666667E-2</v>
      </c>
      <c r="K618" t="s">
        <v>160</v>
      </c>
      <c r="L618" t="s">
        <v>3691</v>
      </c>
      <c r="M618" t="s">
        <v>3692</v>
      </c>
      <c r="N618" t="s">
        <v>286</v>
      </c>
      <c r="O618" t="s">
        <v>144</v>
      </c>
      <c r="P618" t="s">
        <v>165</v>
      </c>
      <c r="Q618" t="s">
        <v>228</v>
      </c>
      <c r="R618" t="s">
        <v>167</v>
      </c>
      <c r="S618" t="s">
        <v>168</v>
      </c>
      <c r="T618" t="s">
        <v>169</v>
      </c>
      <c r="U618" t="s">
        <v>349</v>
      </c>
      <c r="V618">
        <v>3</v>
      </c>
      <c r="W618" t="s">
        <v>170</v>
      </c>
      <c r="X618" t="s">
        <v>3697</v>
      </c>
      <c r="Y618" t="s">
        <v>153</v>
      </c>
      <c r="Z618" s="53" t="s">
        <v>3698</v>
      </c>
      <c r="AA618">
        <v>1</v>
      </c>
      <c r="AB618">
        <v>1</v>
      </c>
      <c r="AC618"/>
      <c r="AD618"/>
      <c r="AE618"/>
      <c r="AF618"/>
      <c r="BG618" t="str">
        <f t="shared" si="10"/>
        <v/>
      </c>
      <c r="BH618" s="3" t="str" cm="1">
        <f t="array" ref="BH618">IF(AE618=1, _xlfn.TEXTJOIN(" &amp; ", TRUE, _xlfn._xlws.FILTER($AG$2:$BC$2, AG618:BC618=1)), "")</f>
        <v/>
      </c>
    </row>
    <row r="619" spans="1:60" x14ac:dyDescent="0.3">
      <c r="A619" t="s">
        <v>3699</v>
      </c>
      <c r="B619" t="s">
        <v>3700</v>
      </c>
      <c r="C619" t="s">
        <v>3701</v>
      </c>
      <c r="D619">
        <v>2023</v>
      </c>
      <c r="E619" s="52" t="s">
        <v>3702</v>
      </c>
      <c r="F619">
        <v>44590</v>
      </c>
      <c r="G619">
        <v>45060</v>
      </c>
      <c r="H619" t="s">
        <v>186</v>
      </c>
      <c r="I619" t="s">
        <v>3699</v>
      </c>
      <c r="J619" s="51">
        <v>2.8136574074074074E-2</v>
      </c>
      <c r="K619" t="s">
        <v>160</v>
      </c>
      <c r="L619" t="s">
        <v>3703</v>
      </c>
      <c r="M619" t="s">
        <v>3704</v>
      </c>
      <c r="N619" t="s">
        <v>143</v>
      </c>
      <c r="O619" t="s">
        <v>144</v>
      </c>
      <c r="P619" t="s">
        <v>165</v>
      </c>
      <c r="Q619" t="s">
        <v>146</v>
      </c>
      <c r="R619" t="s">
        <v>167</v>
      </c>
      <c r="S619" t="s">
        <v>168</v>
      </c>
      <c r="T619" t="s">
        <v>189</v>
      </c>
      <c r="U619" t="s">
        <v>151</v>
      </c>
      <c r="V619">
        <v>3</v>
      </c>
      <c r="W619" t="s">
        <v>170</v>
      </c>
      <c r="X619" t="s">
        <v>3705</v>
      </c>
      <c r="Y619" t="s">
        <v>153</v>
      </c>
      <c r="Z619" s="53" t="s">
        <v>3706</v>
      </c>
      <c r="AA619">
        <v>1</v>
      </c>
      <c r="AB619"/>
      <c r="AC619">
        <v>1</v>
      </c>
      <c r="AD619"/>
      <c r="AE619"/>
      <c r="AF619"/>
      <c r="BG619" t="str">
        <f t="shared" si="10"/>
        <v/>
      </c>
      <c r="BH619" s="3" t="str" cm="1">
        <f t="array" ref="BH619">IF(AE619=1, _xlfn.TEXTJOIN(" &amp; ", TRUE, _xlfn._xlws.FILTER($AG$2:$BC$2, AG619:BC619=1)), "")</f>
        <v/>
      </c>
    </row>
    <row r="620" spans="1:60" x14ac:dyDescent="0.3">
      <c r="A620" t="s">
        <v>3707</v>
      </c>
      <c r="B620" t="s">
        <v>3708</v>
      </c>
      <c r="C620" t="s">
        <v>3709</v>
      </c>
      <c r="D620">
        <v>2022</v>
      </c>
      <c r="E620" s="52" t="s">
        <v>3710</v>
      </c>
      <c r="F620">
        <v>1854917</v>
      </c>
      <c r="G620">
        <v>1856340</v>
      </c>
      <c r="H620" t="s">
        <v>360</v>
      </c>
      <c r="I620" t="s">
        <v>3707</v>
      </c>
      <c r="J620" s="51">
        <v>4.0960648148148149E-2</v>
      </c>
      <c r="K620" t="s">
        <v>160</v>
      </c>
      <c r="L620" t="s">
        <v>3711</v>
      </c>
      <c r="M620" t="s">
        <v>3712</v>
      </c>
      <c r="N620" t="s">
        <v>360</v>
      </c>
      <c r="O620" t="s">
        <v>360</v>
      </c>
      <c r="P620" t="s">
        <v>165</v>
      </c>
      <c r="Q620" t="s">
        <v>360</v>
      </c>
      <c r="R620" t="s">
        <v>167</v>
      </c>
      <c r="S620" t="s">
        <v>168</v>
      </c>
      <c r="T620" t="s">
        <v>360</v>
      </c>
      <c r="U620" t="s">
        <v>360</v>
      </c>
      <c r="V620">
        <v>3</v>
      </c>
      <c r="W620" t="s">
        <v>170</v>
      </c>
      <c r="X620" t="s">
        <v>3713</v>
      </c>
      <c r="Y620" t="s">
        <v>153</v>
      </c>
      <c r="Z620" s="53" t="s">
        <v>3714</v>
      </c>
      <c r="AA620"/>
      <c r="AB620"/>
      <c r="AC620"/>
      <c r="AD620"/>
      <c r="AE620">
        <v>1</v>
      </c>
      <c r="AF620"/>
      <c r="AH620" s="8">
        <v>1</v>
      </c>
      <c r="AS620" s="21">
        <v>1</v>
      </c>
      <c r="BD620" s="3">
        <v>1</v>
      </c>
      <c r="BG620" t="str">
        <f t="shared" si="10"/>
        <v>Interazionale &amp; Metatestuale</v>
      </c>
      <c r="BH620" s="3" t="str" cm="1">
        <f t="array" ref="BH620">IF(AE620=1, _xlfn.TEXTJOIN(" &amp; ", TRUE, _xlfn._xlws.FILTER($AG$2:$BC$2, AG620:BC620=1)), "")</f>
        <v>Richiesta di accordo/conferma &amp; Riformulazione</v>
      </c>
    </row>
    <row r="621" spans="1:60" x14ac:dyDescent="0.3">
      <c r="A621" t="s">
        <v>816</v>
      </c>
      <c r="B621" t="s">
        <v>817</v>
      </c>
      <c r="C621" t="s">
        <v>818</v>
      </c>
      <c r="D621">
        <v>2022</v>
      </c>
      <c r="E621" s="52" t="s">
        <v>819</v>
      </c>
      <c r="F621">
        <v>1350788</v>
      </c>
      <c r="G621">
        <v>1353233</v>
      </c>
      <c r="H621" t="s">
        <v>820</v>
      </c>
      <c r="I621" t="s">
        <v>816</v>
      </c>
      <c r="J621" s="51">
        <v>2.5439814814814814E-2</v>
      </c>
      <c r="K621" t="s">
        <v>160</v>
      </c>
      <c r="L621" t="s">
        <v>821</v>
      </c>
      <c r="M621" t="s">
        <v>822</v>
      </c>
      <c r="N621" t="s">
        <v>143</v>
      </c>
      <c r="O621" t="s">
        <v>144</v>
      </c>
      <c r="P621" t="s">
        <v>165</v>
      </c>
      <c r="Q621" t="s">
        <v>146</v>
      </c>
      <c r="R621" t="s">
        <v>167</v>
      </c>
      <c r="S621" t="s">
        <v>168</v>
      </c>
      <c r="T621" t="s">
        <v>169</v>
      </c>
      <c r="U621" t="s">
        <v>229</v>
      </c>
      <c r="V621">
        <v>2</v>
      </c>
      <c r="W621" t="s">
        <v>170</v>
      </c>
      <c r="X621" t="s">
        <v>823</v>
      </c>
      <c r="Y621" t="s">
        <v>153</v>
      </c>
      <c r="Z621" s="53" t="s">
        <v>824</v>
      </c>
      <c r="AA621">
        <v>1</v>
      </c>
      <c r="AB621"/>
      <c r="AC621"/>
      <c r="AD621">
        <v>1</v>
      </c>
      <c r="AE621"/>
      <c r="AF621"/>
      <c r="AM621" s="7">
        <v>1</v>
      </c>
      <c r="BG621" t="str">
        <f t="shared" si="10"/>
        <v/>
      </c>
      <c r="BH621" s="3" t="str" cm="1">
        <f t="array" ref="BH621">IF(AE621=1, _xlfn.TEXTJOIN(" &amp; ", TRUE, _xlfn._xlws.FILTER($AG$2:$BC$2, AG621:BC621=1)), "")</f>
        <v/>
      </c>
    </row>
    <row r="622" spans="1:60" x14ac:dyDescent="0.3">
      <c r="A622" t="s">
        <v>816</v>
      </c>
      <c r="B622" t="s">
        <v>3715</v>
      </c>
      <c r="C622" t="s">
        <v>818</v>
      </c>
      <c r="D622">
        <v>2022</v>
      </c>
      <c r="E622" s="52" t="s">
        <v>3716</v>
      </c>
      <c r="F622">
        <v>1353286</v>
      </c>
      <c r="G622">
        <v>1356664</v>
      </c>
      <c r="H622" t="s">
        <v>820</v>
      </c>
      <c r="I622" t="s">
        <v>816</v>
      </c>
      <c r="J622" s="51">
        <v>2.5439814814814814E-2</v>
      </c>
      <c r="K622" t="s">
        <v>160</v>
      </c>
      <c r="L622" t="s">
        <v>821</v>
      </c>
      <c r="M622" t="s">
        <v>822</v>
      </c>
      <c r="N622" t="s">
        <v>143</v>
      </c>
      <c r="O622" t="s">
        <v>144</v>
      </c>
      <c r="P622" t="s">
        <v>165</v>
      </c>
      <c r="Q622" t="s">
        <v>146</v>
      </c>
      <c r="R622" t="s">
        <v>167</v>
      </c>
      <c r="S622" t="s">
        <v>168</v>
      </c>
      <c r="T622" t="s">
        <v>169</v>
      </c>
      <c r="U622" t="s">
        <v>229</v>
      </c>
      <c r="V622">
        <v>2</v>
      </c>
      <c r="W622" t="s">
        <v>170</v>
      </c>
      <c r="X622" t="s">
        <v>3717</v>
      </c>
      <c r="Y622" t="s">
        <v>153</v>
      </c>
      <c r="Z622" s="53" t="s">
        <v>3718</v>
      </c>
      <c r="AA622">
        <v>1</v>
      </c>
      <c r="AB622"/>
      <c r="AC622"/>
      <c r="AD622">
        <v>1</v>
      </c>
      <c r="AE622"/>
      <c r="AF622"/>
      <c r="BG622" t="str">
        <f t="shared" si="10"/>
        <v/>
      </c>
      <c r="BH622" s="3" t="str" cm="1">
        <f t="array" ref="BH622">IF(AE622=1, _xlfn.TEXTJOIN(" &amp; ", TRUE, _xlfn._xlws.FILTER($AG$2:$BC$2, AG622:BC622=1)), "")</f>
        <v/>
      </c>
    </row>
    <row r="623" spans="1:60" x14ac:dyDescent="0.3">
      <c r="A623" t="s">
        <v>825</v>
      </c>
      <c r="B623" t="s">
        <v>3719</v>
      </c>
      <c r="C623" t="s">
        <v>826</v>
      </c>
      <c r="D623" t="s">
        <v>204</v>
      </c>
      <c r="E623" s="52" t="s">
        <v>3720</v>
      </c>
      <c r="F623">
        <v>2877330</v>
      </c>
      <c r="G623">
        <v>2879510</v>
      </c>
      <c r="H623" t="s">
        <v>827</v>
      </c>
      <c r="I623" t="s">
        <v>825</v>
      </c>
      <c r="J623" s="51">
        <v>6.3726851851851854E-2</v>
      </c>
      <c r="K623" t="s">
        <v>140</v>
      </c>
      <c r="L623" t="s">
        <v>828</v>
      </c>
      <c r="M623" t="s">
        <v>829</v>
      </c>
      <c r="N623" t="s">
        <v>336</v>
      </c>
      <c r="O623" t="s">
        <v>164</v>
      </c>
      <c r="P623" t="s">
        <v>145</v>
      </c>
      <c r="Q623" t="s">
        <v>146</v>
      </c>
      <c r="R623" t="s">
        <v>147</v>
      </c>
      <c r="S623" t="s">
        <v>148</v>
      </c>
      <c r="T623" t="s">
        <v>364</v>
      </c>
      <c r="U623" t="s">
        <v>151</v>
      </c>
      <c r="V623">
        <v>4</v>
      </c>
      <c r="W623" t="s">
        <v>150</v>
      </c>
      <c r="X623" t="s">
        <v>3721</v>
      </c>
      <c r="Y623" t="s">
        <v>153</v>
      </c>
      <c r="Z623" s="53" t="s">
        <v>3722</v>
      </c>
      <c r="AA623">
        <v>1</v>
      </c>
      <c r="AB623"/>
      <c r="AC623">
        <v>1</v>
      </c>
      <c r="AD623"/>
      <c r="AE623"/>
      <c r="AF623"/>
      <c r="BG623" t="str">
        <f t="shared" si="10"/>
        <v/>
      </c>
      <c r="BH623" s="3" t="str" cm="1">
        <f t="array" ref="BH623">IF(AE623=1, _xlfn.TEXTJOIN(" &amp; ", TRUE, _xlfn._xlws.FILTER($AG$2:$BC$2, AG623:BC623=1)), "")</f>
        <v/>
      </c>
    </row>
    <row r="624" spans="1:60" x14ac:dyDescent="0.3">
      <c r="A624" t="s">
        <v>825</v>
      </c>
      <c r="B624" t="s">
        <v>3723</v>
      </c>
      <c r="C624" t="s">
        <v>826</v>
      </c>
      <c r="D624" t="s">
        <v>204</v>
      </c>
      <c r="E624" s="52" t="s">
        <v>3724</v>
      </c>
      <c r="F624">
        <v>3822045</v>
      </c>
      <c r="G624">
        <v>3823783</v>
      </c>
      <c r="H624" t="s">
        <v>827</v>
      </c>
      <c r="I624" t="s">
        <v>825</v>
      </c>
      <c r="J624" s="51">
        <v>6.3726851851851854E-2</v>
      </c>
      <c r="K624" t="s">
        <v>140</v>
      </c>
      <c r="L624" t="s">
        <v>828</v>
      </c>
      <c r="M624" t="s">
        <v>829</v>
      </c>
      <c r="N624" t="s">
        <v>336</v>
      </c>
      <c r="O624" t="s">
        <v>164</v>
      </c>
      <c r="P624" t="s">
        <v>145</v>
      </c>
      <c r="Q624" t="s">
        <v>146</v>
      </c>
      <c r="R624" t="s">
        <v>147</v>
      </c>
      <c r="S624" t="s">
        <v>148</v>
      </c>
      <c r="T624" t="s">
        <v>364</v>
      </c>
      <c r="U624" t="s">
        <v>151</v>
      </c>
      <c r="V624">
        <v>4</v>
      </c>
      <c r="W624" t="s">
        <v>150</v>
      </c>
      <c r="X624" t="s">
        <v>3725</v>
      </c>
      <c r="Y624" t="s">
        <v>153</v>
      </c>
      <c r="Z624" s="53" t="s">
        <v>3726</v>
      </c>
      <c r="AA624">
        <v>1</v>
      </c>
      <c r="AB624"/>
      <c r="AC624">
        <v>1</v>
      </c>
      <c r="AD624"/>
      <c r="AE624"/>
      <c r="AF624"/>
      <c r="BG624" t="str">
        <f t="shared" si="10"/>
        <v/>
      </c>
      <c r="BH624" s="3" t="str" cm="1">
        <f t="array" ref="BH624">IF(AE624=1, _xlfn.TEXTJOIN(" &amp; ", TRUE, _xlfn._xlws.FILTER($AG$2:$BC$2, AG624:BC624=1)), "")</f>
        <v/>
      </c>
    </row>
    <row r="625" spans="1:60" x14ac:dyDescent="0.3">
      <c r="A625" t="s">
        <v>830</v>
      </c>
      <c r="B625" t="s">
        <v>3727</v>
      </c>
      <c r="C625" t="s">
        <v>831</v>
      </c>
      <c r="D625">
        <v>2022</v>
      </c>
      <c r="E625" s="52" t="s">
        <v>3728</v>
      </c>
      <c r="F625">
        <v>732457</v>
      </c>
      <c r="G625">
        <v>737252</v>
      </c>
      <c r="H625" t="s">
        <v>832</v>
      </c>
      <c r="I625" t="s">
        <v>830</v>
      </c>
      <c r="J625" s="51">
        <v>3.366898148148148E-2</v>
      </c>
      <c r="K625" t="s">
        <v>160</v>
      </c>
      <c r="L625" t="s">
        <v>833</v>
      </c>
      <c r="M625" t="s">
        <v>834</v>
      </c>
      <c r="N625" t="s">
        <v>324</v>
      </c>
      <c r="O625" t="s">
        <v>144</v>
      </c>
      <c r="P625" t="s">
        <v>165</v>
      </c>
      <c r="Q625" t="s">
        <v>179</v>
      </c>
      <c r="R625" t="s">
        <v>167</v>
      </c>
      <c r="S625" t="s">
        <v>168</v>
      </c>
      <c r="T625" t="s">
        <v>169</v>
      </c>
      <c r="U625" t="s">
        <v>318</v>
      </c>
      <c r="V625">
        <v>3</v>
      </c>
      <c r="W625" t="s">
        <v>170</v>
      </c>
      <c r="X625" t="s">
        <v>3729</v>
      </c>
      <c r="Y625" t="s">
        <v>153</v>
      </c>
      <c r="Z625" s="53" t="s">
        <v>3730</v>
      </c>
      <c r="AA625"/>
      <c r="AB625"/>
      <c r="AC625"/>
      <c r="AD625"/>
      <c r="AE625">
        <v>1</v>
      </c>
      <c r="AF625"/>
      <c r="AM625" s="7">
        <v>1</v>
      </c>
      <c r="BG625" t="str">
        <f t="shared" si="10"/>
        <v>Interazionale</v>
      </c>
      <c r="BH625" s="3" t="str" cm="1">
        <f t="array" ref="BH625">IF(AE625=1, _xlfn.TEXTJOIN(" &amp; ", TRUE, _xlfn._xlws.FILTER($AG$2:$BC$2, AG625:BC625=1)), "")</f>
        <v>Marcatura della conoscenza condivisa</v>
      </c>
    </row>
    <row r="626" spans="1:60" x14ac:dyDescent="0.3">
      <c r="A626" t="s">
        <v>830</v>
      </c>
      <c r="B626" t="s">
        <v>3731</v>
      </c>
      <c r="C626" t="s">
        <v>831</v>
      </c>
      <c r="D626">
        <v>2022</v>
      </c>
      <c r="E626" s="52" t="s">
        <v>3732</v>
      </c>
      <c r="F626">
        <v>1020018</v>
      </c>
      <c r="G626">
        <v>1025775</v>
      </c>
      <c r="H626" t="s">
        <v>832</v>
      </c>
      <c r="I626" t="s">
        <v>830</v>
      </c>
      <c r="J626" s="51">
        <v>3.366898148148148E-2</v>
      </c>
      <c r="K626" t="s">
        <v>160</v>
      </c>
      <c r="L626" t="s">
        <v>833</v>
      </c>
      <c r="M626" t="s">
        <v>834</v>
      </c>
      <c r="N626" t="s">
        <v>324</v>
      </c>
      <c r="O626" t="s">
        <v>144</v>
      </c>
      <c r="P626" t="s">
        <v>165</v>
      </c>
      <c r="Q626" t="s">
        <v>179</v>
      </c>
      <c r="R626" t="s">
        <v>167</v>
      </c>
      <c r="S626" t="s">
        <v>168</v>
      </c>
      <c r="T626" t="s">
        <v>169</v>
      </c>
      <c r="U626" t="s">
        <v>318</v>
      </c>
      <c r="V626">
        <v>3</v>
      </c>
      <c r="W626" t="s">
        <v>170</v>
      </c>
      <c r="X626" t="s">
        <v>3733</v>
      </c>
      <c r="Y626" t="s">
        <v>153</v>
      </c>
      <c r="Z626" s="53" t="s">
        <v>3734</v>
      </c>
      <c r="AA626"/>
      <c r="AB626"/>
      <c r="AC626"/>
      <c r="AD626"/>
      <c r="AE626">
        <v>1</v>
      </c>
      <c r="AF626"/>
      <c r="AM626" s="7">
        <v>1</v>
      </c>
      <c r="BG626" t="str">
        <f t="shared" si="10"/>
        <v>Interazionale</v>
      </c>
      <c r="BH626" s="3" t="str" cm="1">
        <f t="array" ref="BH626">IF(AE626=1, _xlfn.TEXTJOIN(" &amp; ", TRUE, _xlfn._xlws.FILTER($AG$2:$BC$2, AG626:BC626=1)), "")</f>
        <v>Marcatura della conoscenza condivisa</v>
      </c>
    </row>
    <row r="627" spans="1:60" x14ac:dyDescent="0.3">
      <c r="A627" t="s">
        <v>830</v>
      </c>
      <c r="B627" t="s">
        <v>3735</v>
      </c>
      <c r="C627" t="s">
        <v>831</v>
      </c>
      <c r="D627">
        <v>2022</v>
      </c>
      <c r="E627" s="52" t="s">
        <v>3736</v>
      </c>
      <c r="F627">
        <v>1250033</v>
      </c>
      <c r="G627">
        <v>1254999</v>
      </c>
      <c r="H627" t="s">
        <v>832</v>
      </c>
      <c r="I627" t="s">
        <v>830</v>
      </c>
      <c r="J627" s="51">
        <v>3.366898148148148E-2</v>
      </c>
      <c r="K627" t="s">
        <v>160</v>
      </c>
      <c r="L627" t="s">
        <v>833</v>
      </c>
      <c r="M627" t="s">
        <v>834</v>
      </c>
      <c r="N627" t="s">
        <v>324</v>
      </c>
      <c r="O627" t="s">
        <v>144</v>
      </c>
      <c r="P627" t="s">
        <v>165</v>
      </c>
      <c r="Q627" t="s">
        <v>179</v>
      </c>
      <c r="R627" t="s">
        <v>167</v>
      </c>
      <c r="S627" t="s">
        <v>168</v>
      </c>
      <c r="T627" t="s">
        <v>169</v>
      </c>
      <c r="U627" t="s">
        <v>318</v>
      </c>
      <c r="V627">
        <v>3</v>
      </c>
      <c r="W627" t="s">
        <v>170</v>
      </c>
      <c r="X627" t="s">
        <v>3737</v>
      </c>
      <c r="Y627" t="s">
        <v>153</v>
      </c>
      <c r="Z627" s="53" t="s">
        <v>3738</v>
      </c>
      <c r="AA627"/>
      <c r="AB627"/>
      <c r="AC627"/>
      <c r="AD627"/>
      <c r="AE627">
        <v>1</v>
      </c>
      <c r="AF627"/>
      <c r="AM627" s="7">
        <v>1</v>
      </c>
      <c r="BG627" t="str">
        <f t="shared" si="10"/>
        <v>Interazionale</v>
      </c>
      <c r="BH627" s="3" t="str" cm="1">
        <f t="array" ref="BH627">IF(AE627=1, _xlfn.TEXTJOIN(" &amp; ", TRUE, _xlfn._xlws.FILTER($AG$2:$BC$2, AG627:BC627=1)), "")</f>
        <v>Marcatura della conoscenza condivisa</v>
      </c>
    </row>
    <row r="628" spans="1:60" x14ac:dyDescent="0.3">
      <c r="A628" t="s">
        <v>830</v>
      </c>
      <c r="B628" t="s">
        <v>3739</v>
      </c>
      <c r="C628" t="s">
        <v>831</v>
      </c>
      <c r="D628">
        <v>2022</v>
      </c>
      <c r="E628" s="52" t="s">
        <v>3740</v>
      </c>
      <c r="F628">
        <v>1579721</v>
      </c>
      <c r="G628">
        <v>1582500</v>
      </c>
      <c r="H628" t="s">
        <v>832</v>
      </c>
      <c r="I628" t="s">
        <v>830</v>
      </c>
      <c r="J628" s="51">
        <v>3.366898148148148E-2</v>
      </c>
      <c r="K628" t="s">
        <v>160</v>
      </c>
      <c r="L628" t="s">
        <v>833</v>
      </c>
      <c r="M628" t="s">
        <v>834</v>
      </c>
      <c r="N628" t="s">
        <v>324</v>
      </c>
      <c r="O628" t="s">
        <v>144</v>
      </c>
      <c r="P628" t="s">
        <v>165</v>
      </c>
      <c r="Q628" t="s">
        <v>179</v>
      </c>
      <c r="R628" t="s">
        <v>167</v>
      </c>
      <c r="S628" t="s">
        <v>168</v>
      </c>
      <c r="T628" t="s">
        <v>169</v>
      </c>
      <c r="U628" t="s">
        <v>318</v>
      </c>
      <c r="V628">
        <v>3</v>
      </c>
      <c r="W628" t="s">
        <v>170</v>
      </c>
      <c r="X628" t="s">
        <v>3741</v>
      </c>
      <c r="Y628" t="s">
        <v>153</v>
      </c>
      <c r="Z628" s="53" t="s">
        <v>3742</v>
      </c>
      <c r="AA628"/>
      <c r="AB628"/>
      <c r="AC628"/>
      <c r="AD628"/>
      <c r="AE628">
        <v>1</v>
      </c>
      <c r="AF628"/>
      <c r="AM628" s="7">
        <v>1</v>
      </c>
      <c r="AW628" s="21">
        <v>1</v>
      </c>
      <c r="BD628" s="3">
        <v>1</v>
      </c>
      <c r="BG628" t="str">
        <f t="shared" si="10"/>
        <v>Interazionale &amp; Metatestuale</v>
      </c>
      <c r="BH628" s="3" t="str" cm="1">
        <f t="array" ref="BH628">IF(AE628=1, _xlfn.TEXTJOIN(" &amp; ", TRUE, _xlfn._xlws.FILTER($AG$2:$BC$2, AG628:BC628=1)), "")</f>
        <v>Marcatura della conoscenza condivisa &amp; General extenders e marche di generalizzazione</v>
      </c>
    </row>
    <row r="629" spans="1:60" x14ac:dyDescent="0.3">
      <c r="A629" t="s">
        <v>830</v>
      </c>
      <c r="B629" t="s">
        <v>3743</v>
      </c>
      <c r="C629" t="s">
        <v>831</v>
      </c>
      <c r="D629">
        <v>2022</v>
      </c>
      <c r="E629" s="52" t="s">
        <v>3744</v>
      </c>
      <c r="F629">
        <v>1894934</v>
      </c>
      <c r="G629">
        <v>1903038</v>
      </c>
      <c r="H629" t="s">
        <v>3745</v>
      </c>
      <c r="I629" t="s">
        <v>830</v>
      </c>
      <c r="J629" s="51">
        <v>3.366898148148148E-2</v>
      </c>
      <c r="K629" t="s">
        <v>160</v>
      </c>
      <c r="L629" t="s">
        <v>833</v>
      </c>
      <c r="M629" t="s">
        <v>834</v>
      </c>
      <c r="N629" t="s">
        <v>197</v>
      </c>
      <c r="O629" t="s">
        <v>164</v>
      </c>
      <c r="P629" t="s">
        <v>165</v>
      </c>
      <c r="Q629" t="s">
        <v>179</v>
      </c>
      <c r="R629" t="s">
        <v>167</v>
      </c>
      <c r="S629" t="s">
        <v>168</v>
      </c>
      <c r="T629" t="s">
        <v>169</v>
      </c>
      <c r="U629" t="s">
        <v>198</v>
      </c>
      <c r="V629">
        <v>3</v>
      </c>
      <c r="W629" t="s">
        <v>170</v>
      </c>
      <c r="X629" t="s">
        <v>3746</v>
      </c>
      <c r="Y629" t="s">
        <v>153</v>
      </c>
      <c r="Z629" s="53" t="s">
        <v>3747</v>
      </c>
      <c r="AA629">
        <v>1</v>
      </c>
      <c r="AB629">
        <v>1</v>
      </c>
      <c r="AC629"/>
      <c r="AD629"/>
      <c r="AE629"/>
      <c r="AF629"/>
      <c r="BG629" t="str">
        <f t="shared" si="10"/>
        <v/>
      </c>
      <c r="BH629" s="3" t="str" cm="1">
        <f t="array" ref="BH629">IF(AE629=1, _xlfn.TEXTJOIN(" &amp; ", TRUE, _xlfn._xlws.FILTER($AG$2:$BC$2, AG629:BC629=1)), "")</f>
        <v/>
      </c>
    </row>
    <row r="630" spans="1:60" x14ac:dyDescent="0.3">
      <c r="A630" t="s">
        <v>830</v>
      </c>
      <c r="B630" t="s">
        <v>3748</v>
      </c>
      <c r="C630" t="s">
        <v>831</v>
      </c>
      <c r="D630">
        <v>2022</v>
      </c>
      <c r="E630" s="52" t="s">
        <v>3749</v>
      </c>
      <c r="F630">
        <v>1908726</v>
      </c>
      <c r="G630">
        <v>1917197</v>
      </c>
      <c r="H630" t="s">
        <v>3745</v>
      </c>
      <c r="I630" t="s">
        <v>830</v>
      </c>
      <c r="J630" s="51">
        <v>3.366898148148148E-2</v>
      </c>
      <c r="K630" t="s">
        <v>160</v>
      </c>
      <c r="L630" t="s">
        <v>833</v>
      </c>
      <c r="M630" t="s">
        <v>834</v>
      </c>
      <c r="N630" t="s">
        <v>197</v>
      </c>
      <c r="O630" t="s">
        <v>164</v>
      </c>
      <c r="P630" t="s">
        <v>165</v>
      </c>
      <c r="Q630" t="s">
        <v>179</v>
      </c>
      <c r="R630" t="s">
        <v>167</v>
      </c>
      <c r="S630" t="s">
        <v>168</v>
      </c>
      <c r="T630" t="s">
        <v>169</v>
      </c>
      <c r="U630" t="s">
        <v>198</v>
      </c>
      <c r="V630">
        <v>3</v>
      </c>
      <c r="W630" t="s">
        <v>170</v>
      </c>
      <c r="X630" t="s">
        <v>3750</v>
      </c>
      <c r="Y630" t="s">
        <v>153</v>
      </c>
      <c r="Z630" s="53" t="s">
        <v>3751</v>
      </c>
      <c r="AA630"/>
      <c r="AB630"/>
      <c r="AC630"/>
      <c r="AD630"/>
      <c r="AE630">
        <v>1</v>
      </c>
      <c r="AF630"/>
      <c r="AS630" s="21">
        <v>1</v>
      </c>
      <c r="BG630" t="str">
        <f t="shared" si="10"/>
        <v>Metatestuale</v>
      </c>
      <c r="BH630" s="3" t="str" cm="1">
        <f t="array" ref="BH630">IF(AE630=1, _xlfn.TEXTJOIN(" &amp; ", TRUE, _xlfn._xlws.FILTER($AG$2:$BC$2, AG630:BC630=1)), "")</f>
        <v>Riformulazione</v>
      </c>
    </row>
    <row r="631" spans="1:60" x14ac:dyDescent="0.3">
      <c r="A631" t="s">
        <v>830</v>
      </c>
      <c r="B631" t="s">
        <v>3752</v>
      </c>
      <c r="C631" t="s">
        <v>831</v>
      </c>
      <c r="D631">
        <v>2022</v>
      </c>
      <c r="E631" s="52" t="s">
        <v>3753</v>
      </c>
      <c r="F631">
        <v>2052959</v>
      </c>
      <c r="G631">
        <v>2057236</v>
      </c>
      <c r="H631" t="s">
        <v>832</v>
      </c>
      <c r="I631" t="s">
        <v>830</v>
      </c>
      <c r="J631" s="51">
        <v>3.366898148148148E-2</v>
      </c>
      <c r="K631" t="s">
        <v>160</v>
      </c>
      <c r="L631" t="s">
        <v>833</v>
      </c>
      <c r="M631" t="s">
        <v>834</v>
      </c>
      <c r="N631" t="s">
        <v>324</v>
      </c>
      <c r="O631" t="s">
        <v>144</v>
      </c>
      <c r="P631" t="s">
        <v>165</v>
      </c>
      <c r="Q631" t="s">
        <v>179</v>
      </c>
      <c r="R631" t="s">
        <v>167</v>
      </c>
      <c r="S631" t="s">
        <v>168</v>
      </c>
      <c r="T631" t="s">
        <v>169</v>
      </c>
      <c r="U631" t="s">
        <v>318</v>
      </c>
      <c r="V631">
        <v>3</v>
      </c>
      <c r="W631" t="s">
        <v>170</v>
      </c>
      <c r="X631" t="s">
        <v>3754</v>
      </c>
      <c r="Y631" t="s">
        <v>153</v>
      </c>
      <c r="Z631" s="53" t="s">
        <v>3755</v>
      </c>
      <c r="AA631"/>
      <c r="AB631"/>
      <c r="AC631"/>
      <c r="AD631"/>
      <c r="AE631">
        <v>1</v>
      </c>
      <c r="AF631">
        <v>1</v>
      </c>
      <c r="AM631" s="7">
        <v>1</v>
      </c>
      <c r="BG631" t="str">
        <f t="shared" si="10"/>
        <v>Interazionale</v>
      </c>
      <c r="BH631" s="3" t="str" cm="1">
        <f t="array" ref="BH631">IF(AE631=1, _xlfn.TEXTJOIN(" &amp; ", TRUE, _xlfn._xlws.FILTER($AG$2:$BC$2, AG631:BC631=1)), "")</f>
        <v>Marcatura della conoscenza condivisa</v>
      </c>
    </row>
    <row r="632" spans="1:60" x14ac:dyDescent="0.3">
      <c r="A632" t="s">
        <v>830</v>
      </c>
      <c r="B632" t="s">
        <v>3756</v>
      </c>
      <c r="C632" t="s">
        <v>831</v>
      </c>
      <c r="D632">
        <v>2022</v>
      </c>
      <c r="E632" s="52" t="s">
        <v>3757</v>
      </c>
      <c r="F632">
        <v>2521302</v>
      </c>
      <c r="G632">
        <v>2522302</v>
      </c>
      <c r="H632" t="s">
        <v>832</v>
      </c>
      <c r="I632" t="s">
        <v>830</v>
      </c>
      <c r="J632" s="51">
        <v>3.366898148148148E-2</v>
      </c>
      <c r="K632" t="s">
        <v>160</v>
      </c>
      <c r="L632" t="s">
        <v>833</v>
      </c>
      <c r="M632" t="s">
        <v>834</v>
      </c>
      <c r="N632" t="s">
        <v>324</v>
      </c>
      <c r="O632" t="s">
        <v>144</v>
      </c>
      <c r="P632" t="s">
        <v>165</v>
      </c>
      <c r="Q632" t="s">
        <v>179</v>
      </c>
      <c r="R632" t="s">
        <v>167</v>
      </c>
      <c r="S632" t="s">
        <v>168</v>
      </c>
      <c r="T632" t="s">
        <v>169</v>
      </c>
      <c r="U632" t="s">
        <v>318</v>
      </c>
      <c r="V632">
        <v>3</v>
      </c>
      <c r="W632" t="s">
        <v>170</v>
      </c>
      <c r="X632" t="s">
        <v>3758</v>
      </c>
      <c r="Y632" t="s">
        <v>153</v>
      </c>
      <c r="Z632" s="53" t="s">
        <v>3759</v>
      </c>
      <c r="AA632"/>
      <c r="AB632"/>
      <c r="AC632"/>
      <c r="AD632"/>
      <c r="AE632">
        <v>1</v>
      </c>
      <c r="AF632">
        <v>1</v>
      </c>
      <c r="AG632" s="7">
        <v>1</v>
      </c>
      <c r="AP632" s="9">
        <v>1</v>
      </c>
      <c r="BD632" s="3">
        <v>1</v>
      </c>
      <c r="BG632" t="str">
        <f t="shared" si="10"/>
        <v>Interazionale &amp; Metatestuale</v>
      </c>
      <c r="BH632" s="3" t="str" cm="1">
        <f t="array" ref="BH632">IF(AE632=1, _xlfn.TEXTJOIN(" &amp; ", TRUE, _xlfn._xlws.FILTER($AG$2:$BC$2, AG632:BC632=1)), "")</f>
        <v>Presa di turno &amp; Gestione del topic: introduzione o ripresa di topic</v>
      </c>
    </row>
    <row r="633" spans="1:60" x14ac:dyDescent="0.3">
      <c r="A633" t="s">
        <v>830</v>
      </c>
      <c r="B633" t="s">
        <v>3760</v>
      </c>
      <c r="C633" t="s">
        <v>831</v>
      </c>
      <c r="D633">
        <v>2022</v>
      </c>
      <c r="E633" s="52" t="s">
        <v>3761</v>
      </c>
      <c r="F633">
        <v>2551918</v>
      </c>
      <c r="G633">
        <v>2555741</v>
      </c>
      <c r="H633" t="s">
        <v>832</v>
      </c>
      <c r="I633" t="s">
        <v>830</v>
      </c>
      <c r="J633" s="51">
        <v>3.366898148148148E-2</v>
      </c>
      <c r="K633" t="s">
        <v>160</v>
      </c>
      <c r="L633" t="s">
        <v>833</v>
      </c>
      <c r="M633" t="s">
        <v>834</v>
      </c>
      <c r="N633" t="s">
        <v>324</v>
      </c>
      <c r="O633" t="s">
        <v>144</v>
      </c>
      <c r="P633" t="s">
        <v>165</v>
      </c>
      <c r="Q633" t="s">
        <v>179</v>
      </c>
      <c r="R633" t="s">
        <v>167</v>
      </c>
      <c r="S633" t="s">
        <v>168</v>
      </c>
      <c r="T633" t="s">
        <v>169</v>
      </c>
      <c r="U633" t="s">
        <v>318</v>
      </c>
      <c r="V633">
        <v>3</v>
      </c>
      <c r="W633" t="s">
        <v>170</v>
      </c>
      <c r="X633" t="s">
        <v>3762</v>
      </c>
      <c r="Y633" t="s">
        <v>153</v>
      </c>
      <c r="Z633" s="53" t="s">
        <v>3763</v>
      </c>
      <c r="AA633">
        <v>1</v>
      </c>
      <c r="AB633">
        <v>1</v>
      </c>
      <c r="AC633"/>
      <c r="AD633"/>
      <c r="AE633"/>
      <c r="AF633"/>
      <c r="BG633" t="str">
        <f t="shared" si="10"/>
        <v/>
      </c>
      <c r="BH633" s="3" t="str" cm="1">
        <f t="array" ref="BH633">IF(AE633=1, _xlfn.TEXTJOIN(" &amp; ", TRUE, _xlfn._xlws.FILTER($AG$2:$BC$2, AG633:BC633=1)), "")</f>
        <v/>
      </c>
    </row>
    <row r="634" spans="1:60" x14ac:dyDescent="0.3">
      <c r="A634" t="s">
        <v>830</v>
      </c>
      <c r="B634" t="s">
        <v>835</v>
      </c>
      <c r="C634" t="s">
        <v>831</v>
      </c>
      <c r="D634">
        <v>2022</v>
      </c>
      <c r="E634" s="52" t="s">
        <v>836</v>
      </c>
      <c r="F634">
        <v>2607651</v>
      </c>
      <c r="G634">
        <v>2609998</v>
      </c>
      <c r="H634" t="s">
        <v>832</v>
      </c>
      <c r="I634" t="s">
        <v>830</v>
      </c>
      <c r="J634" s="51">
        <v>3.366898148148148E-2</v>
      </c>
      <c r="K634" t="s">
        <v>160</v>
      </c>
      <c r="L634" t="s">
        <v>833</v>
      </c>
      <c r="M634" t="s">
        <v>834</v>
      </c>
      <c r="N634" t="s">
        <v>324</v>
      </c>
      <c r="O634" t="s">
        <v>144</v>
      </c>
      <c r="P634" t="s">
        <v>165</v>
      </c>
      <c r="Q634" t="s">
        <v>179</v>
      </c>
      <c r="R634" t="s">
        <v>167</v>
      </c>
      <c r="S634" t="s">
        <v>168</v>
      </c>
      <c r="T634" t="s">
        <v>169</v>
      </c>
      <c r="U634" t="s">
        <v>318</v>
      </c>
      <c r="V634">
        <v>3</v>
      </c>
      <c r="W634" t="s">
        <v>170</v>
      </c>
      <c r="X634" t="s">
        <v>837</v>
      </c>
      <c r="Y634" t="s">
        <v>153</v>
      </c>
      <c r="Z634" s="53" t="s">
        <v>838</v>
      </c>
      <c r="AA634"/>
      <c r="AB634"/>
      <c r="AC634"/>
      <c r="AD634"/>
      <c r="AE634">
        <v>1</v>
      </c>
      <c r="AF634"/>
      <c r="AV634" s="9">
        <v>1</v>
      </c>
      <c r="BG634" t="str">
        <f t="shared" si="10"/>
        <v>Metatestuale</v>
      </c>
      <c r="BH634" s="3" t="str" cm="1">
        <f t="array" ref="BH634">IF(AE634=1, _xlfn.TEXTJOIN(" &amp; ", TRUE, _xlfn._xlws.FILTER($AG$2:$BC$2, AG634:BC634=1)), "")</f>
        <v>Filler, riempimento dei tempi di formulazione</v>
      </c>
    </row>
    <row r="635" spans="1:60" x14ac:dyDescent="0.3">
      <c r="A635" t="s">
        <v>830</v>
      </c>
      <c r="B635" t="s">
        <v>3764</v>
      </c>
      <c r="C635" t="s">
        <v>831</v>
      </c>
      <c r="D635">
        <v>2022</v>
      </c>
      <c r="E635" s="52" t="s">
        <v>3765</v>
      </c>
      <c r="F635">
        <v>2610938</v>
      </c>
      <c r="G635">
        <v>2614953</v>
      </c>
      <c r="H635" t="s">
        <v>832</v>
      </c>
      <c r="I635" t="s">
        <v>830</v>
      </c>
      <c r="J635" s="51">
        <v>3.366898148148148E-2</v>
      </c>
      <c r="K635" t="s">
        <v>160</v>
      </c>
      <c r="L635" t="s">
        <v>833</v>
      </c>
      <c r="M635" t="s">
        <v>834</v>
      </c>
      <c r="N635" t="s">
        <v>324</v>
      </c>
      <c r="O635" t="s">
        <v>144</v>
      </c>
      <c r="P635" t="s">
        <v>165</v>
      </c>
      <c r="Q635" t="s">
        <v>179</v>
      </c>
      <c r="R635" t="s">
        <v>167</v>
      </c>
      <c r="S635" t="s">
        <v>168</v>
      </c>
      <c r="T635" t="s">
        <v>169</v>
      </c>
      <c r="U635" t="s">
        <v>318</v>
      </c>
      <c r="V635">
        <v>3</v>
      </c>
      <c r="W635" t="s">
        <v>170</v>
      </c>
      <c r="X635" t="s">
        <v>3766</v>
      </c>
      <c r="Y635" t="s">
        <v>153</v>
      </c>
      <c r="Z635" s="53" t="s">
        <v>3767</v>
      </c>
      <c r="AA635"/>
      <c r="AB635"/>
      <c r="AC635"/>
      <c r="AD635"/>
      <c r="AE635">
        <v>1</v>
      </c>
      <c r="AF635"/>
      <c r="AP635" s="9">
        <v>1</v>
      </c>
      <c r="AS635" s="21">
        <v>1</v>
      </c>
      <c r="BD635" s="3">
        <v>1</v>
      </c>
      <c r="BG635" t="str">
        <f t="shared" si="10"/>
        <v>Metatestuale</v>
      </c>
      <c r="BH635" s="3" t="str" cm="1">
        <f t="array" ref="BH635">IF(AE635=1, _xlfn.TEXTJOIN(" &amp; ", TRUE, _xlfn._xlws.FILTER($AG$2:$BC$2, AG635:BC635=1)), "")</f>
        <v>Gestione del topic: introduzione o ripresa di topic &amp; Riformulazione</v>
      </c>
    </row>
    <row r="636" spans="1:60" x14ac:dyDescent="0.3">
      <c r="A636" t="s">
        <v>830</v>
      </c>
      <c r="B636" t="s">
        <v>3768</v>
      </c>
      <c r="C636" t="s">
        <v>831</v>
      </c>
      <c r="D636">
        <v>2022</v>
      </c>
      <c r="E636" s="52" t="s">
        <v>3769</v>
      </c>
      <c r="F636">
        <v>2638530</v>
      </c>
      <c r="G636">
        <v>2641446</v>
      </c>
      <c r="H636" t="s">
        <v>3745</v>
      </c>
      <c r="I636" t="s">
        <v>830</v>
      </c>
      <c r="J636" s="51">
        <v>3.366898148148148E-2</v>
      </c>
      <c r="K636" t="s">
        <v>160</v>
      </c>
      <c r="L636" t="s">
        <v>833</v>
      </c>
      <c r="M636" t="s">
        <v>834</v>
      </c>
      <c r="N636" t="s">
        <v>197</v>
      </c>
      <c r="O636" t="s">
        <v>164</v>
      </c>
      <c r="P636" t="s">
        <v>165</v>
      </c>
      <c r="Q636" t="s">
        <v>179</v>
      </c>
      <c r="R636" t="s">
        <v>167</v>
      </c>
      <c r="S636" t="s">
        <v>168</v>
      </c>
      <c r="T636" t="s">
        <v>169</v>
      </c>
      <c r="U636" t="s">
        <v>198</v>
      </c>
      <c r="V636">
        <v>3</v>
      </c>
      <c r="W636" t="s">
        <v>170</v>
      </c>
      <c r="X636" t="s">
        <v>3770</v>
      </c>
      <c r="Y636" t="s">
        <v>153</v>
      </c>
      <c r="Z636" s="53" t="s">
        <v>3771</v>
      </c>
      <c r="AA636"/>
      <c r="AB636"/>
      <c r="AC636"/>
      <c r="AD636"/>
      <c r="AE636">
        <v>1</v>
      </c>
      <c r="AF636">
        <v>1</v>
      </c>
      <c r="AV636" s="9">
        <v>1</v>
      </c>
      <c r="BG636" t="str">
        <f t="shared" si="10"/>
        <v>Metatestuale</v>
      </c>
      <c r="BH636" s="3" t="str" cm="1">
        <f t="array" ref="BH636">IF(AE636=1, _xlfn.TEXTJOIN(" &amp; ", TRUE, _xlfn._xlws.FILTER($AG$2:$BC$2, AG636:BC636=1)), "")</f>
        <v>Filler, riempimento dei tempi di formulazione</v>
      </c>
    </row>
    <row r="637" spans="1:60" x14ac:dyDescent="0.3">
      <c r="A637" t="s">
        <v>830</v>
      </c>
      <c r="B637" t="s">
        <v>3772</v>
      </c>
      <c r="C637" t="s">
        <v>831</v>
      </c>
      <c r="D637">
        <v>2022</v>
      </c>
      <c r="E637" s="52" t="s">
        <v>3773</v>
      </c>
      <c r="F637">
        <v>2772442</v>
      </c>
      <c r="G637">
        <v>2779837</v>
      </c>
      <c r="H637" t="s">
        <v>3745</v>
      </c>
      <c r="I637" t="s">
        <v>830</v>
      </c>
      <c r="J637" s="51">
        <v>3.366898148148148E-2</v>
      </c>
      <c r="K637" t="s">
        <v>160</v>
      </c>
      <c r="L637" t="s">
        <v>833</v>
      </c>
      <c r="M637" t="s">
        <v>834</v>
      </c>
      <c r="N637" t="s">
        <v>197</v>
      </c>
      <c r="O637" t="s">
        <v>164</v>
      </c>
      <c r="P637" t="s">
        <v>165</v>
      </c>
      <c r="Q637" t="s">
        <v>179</v>
      </c>
      <c r="R637" t="s">
        <v>167</v>
      </c>
      <c r="S637" t="s">
        <v>168</v>
      </c>
      <c r="T637" t="s">
        <v>169</v>
      </c>
      <c r="U637" t="s">
        <v>198</v>
      </c>
      <c r="V637">
        <v>3</v>
      </c>
      <c r="W637" t="s">
        <v>170</v>
      </c>
      <c r="X637" t="s">
        <v>3774</v>
      </c>
      <c r="Y637" t="s">
        <v>153</v>
      </c>
      <c r="Z637" s="53" t="s">
        <v>3775</v>
      </c>
      <c r="AA637">
        <v>1</v>
      </c>
      <c r="AB637"/>
      <c r="AC637"/>
      <c r="AD637">
        <v>1</v>
      </c>
      <c r="AE637"/>
      <c r="AF637"/>
      <c r="BG637" t="str">
        <f t="shared" si="10"/>
        <v/>
      </c>
      <c r="BH637" s="3" t="str" cm="1">
        <f t="array" ref="BH637">IF(AE637=1, _xlfn.TEXTJOIN(" &amp; ", TRUE, _xlfn._xlws.FILTER($AG$2:$BC$2, AG637:BC637=1)), "")</f>
        <v/>
      </c>
    </row>
    <row r="638" spans="1:60" x14ac:dyDescent="0.3">
      <c r="A638" t="s">
        <v>830</v>
      </c>
      <c r="B638" t="s">
        <v>839</v>
      </c>
      <c r="C638" t="s">
        <v>831</v>
      </c>
      <c r="D638">
        <v>2022</v>
      </c>
      <c r="E638" s="52" t="s">
        <v>840</v>
      </c>
      <c r="F638">
        <v>2878058</v>
      </c>
      <c r="G638">
        <v>2880047</v>
      </c>
      <c r="H638" t="s">
        <v>832</v>
      </c>
      <c r="I638" t="s">
        <v>830</v>
      </c>
      <c r="J638" s="51">
        <v>3.366898148148148E-2</v>
      </c>
      <c r="K638" t="s">
        <v>160</v>
      </c>
      <c r="L638" t="s">
        <v>833</v>
      </c>
      <c r="M638" t="s">
        <v>834</v>
      </c>
      <c r="N638" t="s">
        <v>324</v>
      </c>
      <c r="O638" t="s">
        <v>144</v>
      </c>
      <c r="P638" t="s">
        <v>165</v>
      </c>
      <c r="Q638" t="s">
        <v>179</v>
      </c>
      <c r="R638" t="s">
        <v>167</v>
      </c>
      <c r="S638" t="s">
        <v>168</v>
      </c>
      <c r="T638" t="s">
        <v>169</v>
      </c>
      <c r="U638" t="s">
        <v>318</v>
      </c>
      <c r="V638">
        <v>3</v>
      </c>
      <c r="W638" t="s">
        <v>170</v>
      </c>
      <c r="X638" t="s">
        <v>841</v>
      </c>
      <c r="Y638" t="s">
        <v>153</v>
      </c>
      <c r="Z638" s="53" t="s">
        <v>842</v>
      </c>
      <c r="AA638"/>
      <c r="AB638"/>
      <c r="AC638"/>
      <c r="AD638"/>
      <c r="AE638">
        <v>1</v>
      </c>
      <c r="AF638">
        <v>1</v>
      </c>
      <c r="AM638" s="7">
        <v>1</v>
      </c>
      <c r="BG638" t="str">
        <f t="shared" si="10"/>
        <v>Interazionale</v>
      </c>
      <c r="BH638" s="3" t="str" cm="1">
        <f t="array" ref="BH638">IF(AE638=1, _xlfn.TEXTJOIN(" &amp; ", TRUE, _xlfn._xlws.FILTER($AG$2:$BC$2, AG638:BC638=1)), "")</f>
        <v>Marcatura della conoscenza condivisa</v>
      </c>
    </row>
    <row r="639" spans="1:60" x14ac:dyDescent="0.3">
      <c r="A639" t="s">
        <v>843</v>
      </c>
      <c r="B639" t="s">
        <v>3776</v>
      </c>
      <c r="C639" t="s">
        <v>845</v>
      </c>
      <c r="D639" t="s">
        <v>204</v>
      </c>
      <c r="E639" s="52" t="s">
        <v>3777</v>
      </c>
      <c r="F639">
        <v>233503</v>
      </c>
      <c r="G639">
        <v>237613</v>
      </c>
      <c r="H639" t="s">
        <v>3778</v>
      </c>
      <c r="I639" t="s">
        <v>843</v>
      </c>
      <c r="J639" s="51">
        <v>1.8530092592592591E-2</v>
      </c>
      <c r="K639" t="s">
        <v>140</v>
      </c>
      <c r="L639" t="s">
        <v>848</v>
      </c>
      <c r="M639" t="s">
        <v>849</v>
      </c>
      <c r="N639" t="s">
        <v>143</v>
      </c>
      <c r="O639" t="s">
        <v>144</v>
      </c>
      <c r="P639" t="s">
        <v>145</v>
      </c>
      <c r="Q639" t="s">
        <v>146</v>
      </c>
      <c r="R639" t="s">
        <v>147</v>
      </c>
      <c r="S639" t="s">
        <v>148</v>
      </c>
      <c r="T639" t="s">
        <v>666</v>
      </c>
      <c r="U639" t="s">
        <v>151</v>
      </c>
      <c r="V639">
        <v>3</v>
      </c>
      <c r="W639" t="s">
        <v>150</v>
      </c>
      <c r="X639" t="s">
        <v>3779</v>
      </c>
      <c r="Y639" t="s">
        <v>153</v>
      </c>
      <c r="Z639" s="53" t="s">
        <v>3780</v>
      </c>
      <c r="AA639">
        <v>1</v>
      </c>
      <c r="AB639"/>
      <c r="AC639">
        <v>1</v>
      </c>
      <c r="AD639"/>
      <c r="AE639"/>
      <c r="AF639"/>
      <c r="BG639" t="str">
        <f t="shared" si="10"/>
        <v/>
      </c>
      <c r="BH639" s="3" t="str" cm="1">
        <f t="array" ref="BH639">IF(AE639=1, _xlfn.TEXTJOIN(" &amp; ", TRUE, _xlfn._xlws.FILTER($AG$2:$BC$2, AG639:BC639=1)), "")</f>
        <v/>
      </c>
    </row>
    <row r="640" spans="1:60" x14ac:dyDescent="0.3">
      <c r="A640" t="s">
        <v>843</v>
      </c>
      <c r="B640" t="s">
        <v>3781</v>
      </c>
      <c r="C640" t="s">
        <v>845</v>
      </c>
      <c r="D640" t="s">
        <v>204</v>
      </c>
      <c r="E640" s="52" t="s">
        <v>3782</v>
      </c>
      <c r="F640">
        <v>711475</v>
      </c>
      <c r="G640">
        <v>714099</v>
      </c>
      <c r="H640" t="s">
        <v>3778</v>
      </c>
      <c r="I640" t="s">
        <v>843</v>
      </c>
      <c r="J640" s="51">
        <v>1.8530092592592591E-2</v>
      </c>
      <c r="K640" t="s">
        <v>140</v>
      </c>
      <c r="L640" t="s">
        <v>848</v>
      </c>
      <c r="M640" t="s">
        <v>849</v>
      </c>
      <c r="N640" t="s">
        <v>143</v>
      </c>
      <c r="O640" t="s">
        <v>144</v>
      </c>
      <c r="P640" t="s">
        <v>145</v>
      </c>
      <c r="Q640" t="s">
        <v>146</v>
      </c>
      <c r="R640" t="s">
        <v>147</v>
      </c>
      <c r="S640" t="s">
        <v>148</v>
      </c>
      <c r="T640" t="s">
        <v>666</v>
      </c>
      <c r="U640" t="s">
        <v>151</v>
      </c>
      <c r="V640">
        <v>3</v>
      </c>
      <c r="W640" t="s">
        <v>150</v>
      </c>
      <c r="X640" t="s">
        <v>3783</v>
      </c>
      <c r="Y640" t="s">
        <v>153</v>
      </c>
      <c r="Z640" s="53" t="s">
        <v>3784</v>
      </c>
      <c r="AA640">
        <v>1</v>
      </c>
      <c r="AB640">
        <v>1</v>
      </c>
      <c r="AC640"/>
      <c r="AD640"/>
      <c r="AE640"/>
      <c r="AF640"/>
      <c r="BG640" t="str">
        <f t="shared" si="10"/>
        <v/>
      </c>
      <c r="BH640" s="3" t="str" cm="1">
        <f t="array" ref="BH640">IF(AE640=1, _xlfn.TEXTJOIN(" &amp; ", TRUE, _xlfn._xlws.FILTER($AG$2:$BC$2, AG640:BC640=1)), "")</f>
        <v/>
      </c>
    </row>
    <row r="641" spans="1:60" x14ac:dyDescent="0.3">
      <c r="A641" t="s">
        <v>843</v>
      </c>
      <c r="B641" t="s">
        <v>3785</v>
      </c>
      <c r="C641" t="s">
        <v>845</v>
      </c>
      <c r="D641" t="s">
        <v>204</v>
      </c>
      <c r="E641" s="52" t="s">
        <v>3786</v>
      </c>
      <c r="F641">
        <v>759205</v>
      </c>
      <c r="G641">
        <v>763211</v>
      </c>
      <c r="H641" t="s">
        <v>847</v>
      </c>
      <c r="I641" t="s">
        <v>843</v>
      </c>
      <c r="J641" s="51">
        <v>1.8530092592592591E-2</v>
      </c>
      <c r="K641" t="s">
        <v>140</v>
      </c>
      <c r="L641" t="s">
        <v>848</v>
      </c>
      <c r="M641" t="s">
        <v>849</v>
      </c>
      <c r="N641" t="s">
        <v>143</v>
      </c>
      <c r="O641" t="s">
        <v>144</v>
      </c>
      <c r="P641" t="s">
        <v>145</v>
      </c>
      <c r="Q641" t="s">
        <v>146</v>
      </c>
      <c r="R641" t="s">
        <v>147</v>
      </c>
      <c r="S641" t="s">
        <v>148</v>
      </c>
      <c r="T641" t="s">
        <v>149</v>
      </c>
      <c r="U641" t="s">
        <v>151</v>
      </c>
      <c r="V641">
        <v>3</v>
      </c>
      <c r="W641" t="s">
        <v>150</v>
      </c>
      <c r="X641" t="s">
        <v>3787</v>
      </c>
      <c r="Y641" t="s">
        <v>153</v>
      </c>
      <c r="Z641" s="53" t="s">
        <v>3788</v>
      </c>
      <c r="AA641">
        <v>1</v>
      </c>
      <c r="AB641">
        <v>1</v>
      </c>
      <c r="AC641"/>
      <c r="AD641"/>
      <c r="AE641"/>
      <c r="AF641"/>
      <c r="BG641" t="str">
        <f t="shared" si="10"/>
        <v/>
      </c>
      <c r="BH641" s="3" t="str" cm="1">
        <f t="array" ref="BH641">IF(AE641=1, _xlfn.TEXTJOIN(" &amp; ", TRUE, _xlfn._xlws.FILTER($AG$2:$BC$2, AG641:BC641=1)), "")</f>
        <v/>
      </c>
    </row>
    <row r="642" spans="1:60" x14ac:dyDescent="0.3">
      <c r="A642" t="s">
        <v>843</v>
      </c>
      <c r="B642" t="s">
        <v>3789</v>
      </c>
      <c r="C642" t="s">
        <v>845</v>
      </c>
      <c r="D642" t="s">
        <v>204</v>
      </c>
      <c r="E642" s="52" t="s">
        <v>3790</v>
      </c>
      <c r="F642">
        <v>1147793</v>
      </c>
      <c r="G642">
        <v>1152893</v>
      </c>
      <c r="H642" t="s">
        <v>3778</v>
      </c>
      <c r="I642" t="s">
        <v>843</v>
      </c>
      <c r="J642" s="51">
        <v>1.8530092592592591E-2</v>
      </c>
      <c r="K642" t="s">
        <v>140</v>
      </c>
      <c r="L642" t="s">
        <v>848</v>
      </c>
      <c r="M642" t="s">
        <v>849</v>
      </c>
      <c r="N642" t="s">
        <v>143</v>
      </c>
      <c r="O642" t="s">
        <v>144</v>
      </c>
      <c r="P642" t="s">
        <v>145</v>
      </c>
      <c r="Q642" t="s">
        <v>146</v>
      </c>
      <c r="R642" t="s">
        <v>147</v>
      </c>
      <c r="S642" t="s">
        <v>148</v>
      </c>
      <c r="T642" t="s">
        <v>666</v>
      </c>
      <c r="U642" t="s">
        <v>151</v>
      </c>
      <c r="V642">
        <v>3</v>
      </c>
      <c r="W642" t="s">
        <v>150</v>
      </c>
      <c r="X642" t="s">
        <v>3791</v>
      </c>
      <c r="Y642" t="s">
        <v>153</v>
      </c>
      <c r="Z642" s="53" t="s">
        <v>3792</v>
      </c>
      <c r="AA642">
        <v>1</v>
      </c>
      <c r="AB642">
        <v>1</v>
      </c>
      <c r="AC642"/>
      <c r="AD642"/>
      <c r="AE642"/>
      <c r="AF642"/>
      <c r="BG642" t="str">
        <f t="shared" si="10"/>
        <v/>
      </c>
      <c r="BH642" s="3" t="str" cm="1">
        <f t="array" ref="BH642">IF(AE642=1, _xlfn.TEXTJOIN(" &amp; ", TRUE, _xlfn._xlws.FILTER($AG$2:$BC$2, AG642:BC642=1)), "")</f>
        <v/>
      </c>
    </row>
    <row r="643" spans="1:60" x14ac:dyDescent="0.3">
      <c r="A643" t="s">
        <v>843</v>
      </c>
      <c r="B643" t="s">
        <v>3793</v>
      </c>
      <c r="C643" t="s">
        <v>845</v>
      </c>
      <c r="D643" t="s">
        <v>204</v>
      </c>
      <c r="E643" s="52" t="s">
        <v>3794</v>
      </c>
      <c r="F643">
        <v>1204947</v>
      </c>
      <c r="G643">
        <v>1208857</v>
      </c>
      <c r="H643" t="s">
        <v>847</v>
      </c>
      <c r="I643" t="s">
        <v>843</v>
      </c>
      <c r="J643" s="51">
        <v>1.8530092592592591E-2</v>
      </c>
      <c r="K643" t="s">
        <v>140</v>
      </c>
      <c r="L643" t="s">
        <v>848</v>
      </c>
      <c r="M643" t="s">
        <v>849</v>
      </c>
      <c r="N643" t="s">
        <v>143</v>
      </c>
      <c r="O643" t="s">
        <v>144</v>
      </c>
      <c r="P643" t="s">
        <v>145</v>
      </c>
      <c r="Q643" t="s">
        <v>146</v>
      </c>
      <c r="R643" t="s">
        <v>147</v>
      </c>
      <c r="S643" t="s">
        <v>148</v>
      </c>
      <c r="T643" t="s">
        <v>149</v>
      </c>
      <c r="U643" t="s">
        <v>151</v>
      </c>
      <c r="V643">
        <v>3</v>
      </c>
      <c r="W643" t="s">
        <v>150</v>
      </c>
      <c r="X643" t="s">
        <v>3795</v>
      </c>
      <c r="Y643" t="s">
        <v>153</v>
      </c>
      <c r="Z643" s="53" t="s">
        <v>3796</v>
      </c>
      <c r="AA643"/>
      <c r="AB643"/>
      <c r="AC643"/>
      <c r="AD643"/>
      <c r="AE643">
        <v>1</v>
      </c>
      <c r="AF643"/>
      <c r="AM643" s="7">
        <v>1</v>
      </c>
      <c r="BD643" s="3">
        <v>1</v>
      </c>
      <c r="BG643" t="str">
        <f t="shared" si="10"/>
        <v>Interazionale</v>
      </c>
      <c r="BH643" s="3" t="str" cm="1">
        <f t="array" ref="BH643">IF(AE643=1, _xlfn.TEXTJOIN(" &amp; ", TRUE, _xlfn._xlws.FILTER($AG$2:$BC$2, AG643:BC643=1)), "")</f>
        <v>Marcatura della conoscenza condivisa</v>
      </c>
    </row>
    <row r="644" spans="1:60" x14ac:dyDescent="0.3">
      <c r="A644" t="s">
        <v>843</v>
      </c>
      <c r="B644" t="s">
        <v>844</v>
      </c>
      <c r="C644" t="s">
        <v>845</v>
      </c>
      <c r="D644" t="s">
        <v>204</v>
      </c>
      <c r="E644" s="52" t="s">
        <v>846</v>
      </c>
      <c r="F644">
        <v>1214986</v>
      </c>
      <c r="G644">
        <v>1220597</v>
      </c>
      <c r="H644" t="s">
        <v>847</v>
      </c>
      <c r="I644" t="s">
        <v>843</v>
      </c>
      <c r="J644" s="51">
        <v>1.8530092592592591E-2</v>
      </c>
      <c r="K644" t="s">
        <v>140</v>
      </c>
      <c r="L644" t="s">
        <v>848</v>
      </c>
      <c r="M644" t="s">
        <v>849</v>
      </c>
      <c r="N644" t="s">
        <v>143</v>
      </c>
      <c r="O644" t="s">
        <v>144</v>
      </c>
      <c r="P644" t="s">
        <v>145</v>
      </c>
      <c r="Q644" t="s">
        <v>146</v>
      </c>
      <c r="R644" t="s">
        <v>147</v>
      </c>
      <c r="S644" t="s">
        <v>148</v>
      </c>
      <c r="T644" t="s">
        <v>149</v>
      </c>
      <c r="U644" t="s">
        <v>151</v>
      </c>
      <c r="V644">
        <v>3</v>
      </c>
      <c r="W644" t="s">
        <v>150</v>
      </c>
      <c r="X644" t="s">
        <v>850</v>
      </c>
      <c r="Y644" t="s">
        <v>153</v>
      </c>
      <c r="Z644" s="53" t="s">
        <v>851</v>
      </c>
      <c r="AA644"/>
      <c r="AB644"/>
      <c r="AC644"/>
      <c r="AD644"/>
      <c r="AE644">
        <v>1</v>
      </c>
      <c r="AF644"/>
      <c r="AM644" s="7">
        <v>1</v>
      </c>
      <c r="AW644" s="21">
        <v>1</v>
      </c>
      <c r="BD644" s="3">
        <v>1</v>
      </c>
      <c r="BG644" t="str">
        <f t="shared" ref="BG644:BG707" si="11">IF(AE644=1,_xlfn.TEXTJOIN(" &amp; ", TRUE,
    IF(COUNTIF(AG644:AO644,1)&gt;0,"Interazionale",""),
    IF(COUNTIF(AP644:AW644,1)&gt;0,"Metatestuale",""),
    IF(COUNTIF(AX644:BC644,1)&gt;0,"Cognitiva","")
),"")</f>
        <v>Interazionale &amp; Metatestuale</v>
      </c>
      <c r="BH644" s="3" t="str" cm="1">
        <f t="array" ref="BH644">IF(AE644=1, _xlfn.TEXTJOIN(" &amp; ", TRUE, _xlfn._xlws.FILTER($AG$2:$BC$2, AG644:BC644=1)), "")</f>
        <v>Marcatura della conoscenza condivisa &amp; General extenders e marche di generalizzazione</v>
      </c>
    </row>
    <row r="645" spans="1:60" x14ac:dyDescent="0.3">
      <c r="A645" t="s">
        <v>852</v>
      </c>
      <c r="B645" t="s">
        <v>3797</v>
      </c>
      <c r="C645" t="s">
        <v>853</v>
      </c>
      <c r="D645">
        <v>2024</v>
      </c>
      <c r="E645" s="52" t="s">
        <v>3798</v>
      </c>
      <c r="F645">
        <v>697000</v>
      </c>
      <c r="G645">
        <v>701699</v>
      </c>
      <c r="H645" t="s">
        <v>854</v>
      </c>
      <c r="I645" t="s">
        <v>852</v>
      </c>
      <c r="J645" s="51">
        <v>3.6319444444444446E-2</v>
      </c>
      <c r="K645" t="s">
        <v>160</v>
      </c>
      <c r="L645" t="s">
        <v>855</v>
      </c>
      <c r="M645" t="s">
        <v>856</v>
      </c>
      <c r="N645" t="s">
        <v>324</v>
      </c>
      <c r="O645" t="s">
        <v>144</v>
      </c>
      <c r="P645" t="s">
        <v>165</v>
      </c>
      <c r="Q645" t="s">
        <v>179</v>
      </c>
      <c r="R645" t="s">
        <v>167</v>
      </c>
      <c r="S645" t="s">
        <v>168</v>
      </c>
      <c r="T645" t="s">
        <v>169</v>
      </c>
      <c r="U645" t="s">
        <v>229</v>
      </c>
      <c r="V645">
        <v>3</v>
      </c>
      <c r="W645" t="s">
        <v>170</v>
      </c>
      <c r="X645" t="s">
        <v>3799</v>
      </c>
      <c r="Y645" t="s">
        <v>153</v>
      </c>
      <c r="Z645" s="53" t="s">
        <v>3800</v>
      </c>
      <c r="AA645"/>
      <c r="AB645"/>
      <c r="AC645"/>
      <c r="AD645"/>
      <c r="AE645">
        <v>1</v>
      </c>
      <c r="AF645"/>
      <c r="AG645" s="7">
        <v>1</v>
      </c>
      <c r="AM645" s="7">
        <v>1</v>
      </c>
      <c r="AP645" s="9">
        <v>1</v>
      </c>
      <c r="BD645" s="3">
        <v>1</v>
      </c>
      <c r="BG645" t="str">
        <f t="shared" si="11"/>
        <v>Interazionale &amp; Metatestuale</v>
      </c>
      <c r="BH645" s="3" t="str" cm="1">
        <f t="array" ref="BH645">IF(AE645=1, _xlfn.TEXTJOIN(" &amp; ", TRUE, _xlfn._xlws.FILTER($AG$2:$BC$2, AG645:BC645=1)), "")</f>
        <v>Presa di turno &amp; Marcatura della conoscenza condivisa &amp; Gestione del topic: introduzione o ripresa di topic</v>
      </c>
    </row>
    <row r="646" spans="1:60" x14ac:dyDescent="0.3">
      <c r="A646" t="s">
        <v>852</v>
      </c>
      <c r="B646" t="s">
        <v>3801</v>
      </c>
      <c r="C646" t="s">
        <v>853</v>
      </c>
      <c r="D646">
        <v>2024</v>
      </c>
      <c r="E646" s="52" t="s">
        <v>3802</v>
      </c>
      <c r="F646">
        <v>805594</v>
      </c>
      <c r="G646">
        <v>806098</v>
      </c>
      <c r="H646" t="s">
        <v>854</v>
      </c>
      <c r="I646" t="s">
        <v>852</v>
      </c>
      <c r="J646" s="51">
        <v>3.6319444444444446E-2</v>
      </c>
      <c r="K646" t="s">
        <v>160</v>
      </c>
      <c r="L646" t="s">
        <v>855</v>
      </c>
      <c r="M646" t="s">
        <v>856</v>
      </c>
      <c r="N646" t="s">
        <v>324</v>
      </c>
      <c r="O646" t="s">
        <v>144</v>
      </c>
      <c r="P646" t="s">
        <v>165</v>
      </c>
      <c r="Q646" t="s">
        <v>179</v>
      </c>
      <c r="R646" t="s">
        <v>167</v>
      </c>
      <c r="S646" t="s">
        <v>168</v>
      </c>
      <c r="T646" t="s">
        <v>169</v>
      </c>
      <c r="U646" t="s">
        <v>229</v>
      </c>
      <c r="V646">
        <v>3</v>
      </c>
      <c r="W646" t="s">
        <v>170</v>
      </c>
      <c r="X646" t="s">
        <v>3803</v>
      </c>
      <c r="Y646" t="s">
        <v>153</v>
      </c>
      <c r="Z646" s="53" t="s">
        <v>3804</v>
      </c>
      <c r="AA646"/>
      <c r="AB646"/>
      <c r="AC646"/>
      <c r="AD646"/>
      <c r="AE646">
        <v>1</v>
      </c>
      <c r="AF646"/>
      <c r="AL646" s="8">
        <v>1</v>
      </c>
      <c r="BG646" t="str">
        <f t="shared" si="11"/>
        <v>Interazionale</v>
      </c>
      <c r="BH646" s="3" t="str" cm="1">
        <f t="array" ref="BH646">IF(AE646=1, _xlfn.TEXTJOIN(" &amp; ", TRUE, _xlfn._xlws.FILTER($AG$2:$BC$2, AG646:BC646=1)), "")</f>
        <v>Cessione del turno</v>
      </c>
    </row>
    <row r="647" spans="1:60" x14ac:dyDescent="0.3">
      <c r="A647" t="s">
        <v>852</v>
      </c>
      <c r="B647" t="s">
        <v>3805</v>
      </c>
      <c r="C647" t="s">
        <v>853</v>
      </c>
      <c r="D647">
        <v>2024</v>
      </c>
      <c r="E647" s="52" t="s">
        <v>3806</v>
      </c>
      <c r="F647">
        <v>1928294</v>
      </c>
      <c r="G647">
        <v>1932421</v>
      </c>
      <c r="H647" t="s">
        <v>854</v>
      </c>
      <c r="I647" t="s">
        <v>852</v>
      </c>
      <c r="J647" s="51">
        <v>3.6319444444444446E-2</v>
      </c>
      <c r="K647" t="s">
        <v>160</v>
      </c>
      <c r="L647" t="s">
        <v>855</v>
      </c>
      <c r="M647" t="s">
        <v>856</v>
      </c>
      <c r="N647" t="s">
        <v>324</v>
      </c>
      <c r="O647" t="s">
        <v>144</v>
      </c>
      <c r="P647" t="s">
        <v>165</v>
      </c>
      <c r="Q647" t="s">
        <v>179</v>
      </c>
      <c r="R647" t="s">
        <v>167</v>
      </c>
      <c r="S647" t="s">
        <v>168</v>
      </c>
      <c r="T647" t="s">
        <v>169</v>
      </c>
      <c r="U647" t="s">
        <v>229</v>
      </c>
      <c r="V647">
        <v>3</v>
      </c>
      <c r="W647" t="s">
        <v>170</v>
      </c>
      <c r="X647" t="s">
        <v>3807</v>
      </c>
      <c r="Y647" t="s">
        <v>153</v>
      </c>
      <c r="Z647" s="53" t="s">
        <v>3808</v>
      </c>
      <c r="AA647"/>
      <c r="AB647"/>
      <c r="AC647"/>
      <c r="AD647"/>
      <c r="AE647">
        <v>1</v>
      </c>
      <c r="AF647">
        <v>1</v>
      </c>
      <c r="AH647" s="8">
        <v>1</v>
      </c>
      <c r="AM647" s="7">
        <v>1</v>
      </c>
      <c r="BD647" s="3">
        <v>1</v>
      </c>
      <c r="BG647" t="str">
        <f t="shared" si="11"/>
        <v>Interazionale</v>
      </c>
      <c r="BH647" s="3" t="str" cm="1">
        <f t="array" ref="BH647">IF(AE647=1, _xlfn.TEXTJOIN(" &amp; ", TRUE, _xlfn._xlws.FILTER($AG$2:$BC$2, AG647:BC647=1)), "")</f>
        <v>Richiesta di accordo/conferma &amp; Marcatura della conoscenza condivisa</v>
      </c>
    </row>
    <row r="648" spans="1:60" x14ac:dyDescent="0.3">
      <c r="A648" t="s">
        <v>852</v>
      </c>
      <c r="B648" t="s">
        <v>3809</v>
      </c>
      <c r="C648" t="s">
        <v>853</v>
      </c>
      <c r="D648">
        <v>2024</v>
      </c>
      <c r="E648" s="52" t="s">
        <v>3810</v>
      </c>
      <c r="F648">
        <v>2679001</v>
      </c>
      <c r="G648">
        <v>2679993</v>
      </c>
      <c r="H648" t="s">
        <v>854</v>
      </c>
      <c r="I648" t="s">
        <v>852</v>
      </c>
      <c r="J648" s="51">
        <v>3.6319444444444446E-2</v>
      </c>
      <c r="K648" t="s">
        <v>160</v>
      </c>
      <c r="L648" t="s">
        <v>855</v>
      </c>
      <c r="M648" t="s">
        <v>856</v>
      </c>
      <c r="N648" t="s">
        <v>324</v>
      </c>
      <c r="O648" t="s">
        <v>144</v>
      </c>
      <c r="P648" t="s">
        <v>165</v>
      </c>
      <c r="Q648" t="s">
        <v>179</v>
      </c>
      <c r="R648" t="s">
        <v>167</v>
      </c>
      <c r="S648" t="s">
        <v>168</v>
      </c>
      <c r="T648" t="s">
        <v>169</v>
      </c>
      <c r="U648" t="s">
        <v>229</v>
      </c>
      <c r="V648">
        <v>3</v>
      </c>
      <c r="W648" t="s">
        <v>170</v>
      </c>
      <c r="X648" t="s">
        <v>3811</v>
      </c>
      <c r="Y648" t="s">
        <v>153</v>
      </c>
      <c r="Z648" s="53" t="s">
        <v>3812</v>
      </c>
      <c r="AA648"/>
      <c r="AB648"/>
      <c r="AC648"/>
      <c r="AD648"/>
      <c r="AE648">
        <v>1</v>
      </c>
      <c r="AF648"/>
      <c r="AY648" s="10">
        <v>1</v>
      </c>
      <c r="BG648" t="str">
        <f t="shared" si="11"/>
        <v>Cognitiva</v>
      </c>
      <c r="BH648" s="3" t="str" cm="1">
        <f t="array" ref="BH648">IF(AE648=1, _xlfn.TEXTJOIN(" &amp; ", TRUE, _xlfn._xlws.FILTER($AG$2:$BC$2, AG648:BC648=1)), "")</f>
        <v>Modulazione del grado di confidenza del parlante</v>
      </c>
    </row>
    <row r="649" spans="1:60" x14ac:dyDescent="0.3">
      <c r="A649" t="s">
        <v>852</v>
      </c>
      <c r="B649" t="s">
        <v>3813</v>
      </c>
      <c r="C649" t="s">
        <v>853</v>
      </c>
      <c r="D649">
        <v>2024</v>
      </c>
      <c r="E649" s="52" t="s">
        <v>3814</v>
      </c>
      <c r="F649">
        <v>3027897</v>
      </c>
      <c r="G649">
        <v>3030997</v>
      </c>
      <c r="H649" t="s">
        <v>854</v>
      </c>
      <c r="I649" t="s">
        <v>852</v>
      </c>
      <c r="J649" s="51">
        <v>3.6319444444444446E-2</v>
      </c>
      <c r="K649" t="s">
        <v>160</v>
      </c>
      <c r="L649" t="s">
        <v>855</v>
      </c>
      <c r="M649" t="s">
        <v>856</v>
      </c>
      <c r="N649" t="s">
        <v>324</v>
      </c>
      <c r="O649" t="s">
        <v>144</v>
      </c>
      <c r="P649" t="s">
        <v>165</v>
      </c>
      <c r="Q649" t="s">
        <v>179</v>
      </c>
      <c r="R649" t="s">
        <v>167</v>
      </c>
      <c r="S649" t="s">
        <v>168</v>
      </c>
      <c r="T649" t="s">
        <v>169</v>
      </c>
      <c r="U649" t="s">
        <v>229</v>
      </c>
      <c r="V649">
        <v>3</v>
      </c>
      <c r="W649" t="s">
        <v>170</v>
      </c>
      <c r="X649" t="s">
        <v>3815</v>
      </c>
      <c r="Y649" t="s">
        <v>153</v>
      </c>
      <c r="Z649" s="53" t="s">
        <v>3816</v>
      </c>
      <c r="AA649"/>
      <c r="AB649"/>
      <c r="AC649"/>
      <c r="AD649"/>
      <c r="AE649">
        <v>1</v>
      </c>
      <c r="AF649"/>
      <c r="AM649" s="7">
        <v>1</v>
      </c>
      <c r="AS649" s="21">
        <v>1</v>
      </c>
      <c r="BD649" s="3">
        <v>1</v>
      </c>
      <c r="BG649" t="str">
        <f t="shared" si="11"/>
        <v>Interazionale &amp; Metatestuale</v>
      </c>
      <c r="BH649" s="3" t="str" cm="1">
        <f t="array" ref="BH649">IF(AE649=1, _xlfn.TEXTJOIN(" &amp; ", TRUE, _xlfn._xlws.FILTER($AG$2:$BC$2, AG649:BC649=1)), "")</f>
        <v>Marcatura della conoscenza condivisa &amp; Riformulazione</v>
      </c>
    </row>
    <row r="650" spans="1:60" x14ac:dyDescent="0.3">
      <c r="A650" t="s">
        <v>3817</v>
      </c>
      <c r="B650" t="s">
        <v>3818</v>
      </c>
      <c r="C650" t="s">
        <v>3819</v>
      </c>
      <c r="D650">
        <v>2020</v>
      </c>
      <c r="E650" s="52" t="s">
        <v>3820</v>
      </c>
      <c r="F650">
        <v>2375673</v>
      </c>
      <c r="G650">
        <v>2376558</v>
      </c>
      <c r="H650" t="s">
        <v>3821</v>
      </c>
      <c r="I650" t="s">
        <v>3817</v>
      </c>
      <c r="J650" s="51">
        <v>2.9236111111111112E-2</v>
      </c>
      <c r="K650" t="s">
        <v>140</v>
      </c>
      <c r="L650" t="s">
        <v>3822</v>
      </c>
      <c r="M650" t="s">
        <v>3823</v>
      </c>
      <c r="N650" t="s">
        <v>324</v>
      </c>
      <c r="O650" t="s">
        <v>144</v>
      </c>
      <c r="P650" t="s">
        <v>3824</v>
      </c>
      <c r="Q650" t="s">
        <v>467</v>
      </c>
      <c r="R650" t="s">
        <v>147</v>
      </c>
      <c r="S650" t="s">
        <v>148</v>
      </c>
      <c r="T650" t="s">
        <v>603</v>
      </c>
      <c r="U650" t="s">
        <v>171</v>
      </c>
      <c r="V650">
        <v>4</v>
      </c>
      <c r="W650" t="s">
        <v>269</v>
      </c>
      <c r="X650" t="s">
        <v>3825</v>
      </c>
      <c r="Y650" t="s">
        <v>153</v>
      </c>
      <c r="Z650" s="53" t="s">
        <v>3826</v>
      </c>
      <c r="AA650">
        <v>1</v>
      </c>
      <c r="AB650"/>
      <c r="AC650"/>
      <c r="AD650">
        <v>1</v>
      </c>
      <c r="AE650"/>
      <c r="AF650"/>
      <c r="BG650" t="str">
        <f t="shared" si="11"/>
        <v/>
      </c>
      <c r="BH650" s="3" t="str" cm="1">
        <f t="array" ref="BH650">IF(AE650=1, _xlfn.TEXTJOIN(" &amp; ", TRUE, _xlfn._xlws.FILTER($AG$2:$BC$2, AG650:BC650=1)), "")</f>
        <v/>
      </c>
    </row>
    <row r="651" spans="1:60" x14ac:dyDescent="0.3">
      <c r="A651" t="s">
        <v>3817</v>
      </c>
      <c r="B651" t="s">
        <v>3827</v>
      </c>
      <c r="C651" t="s">
        <v>3819</v>
      </c>
      <c r="D651">
        <v>2020</v>
      </c>
      <c r="E651" s="52" t="s">
        <v>3828</v>
      </c>
      <c r="F651">
        <v>2411521</v>
      </c>
      <c r="G651">
        <v>2412062</v>
      </c>
      <c r="H651" t="s">
        <v>3829</v>
      </c>
      <c r="I651" t="s">
        <v>3817</v>
      </c>
      <c r="J651" s="51">
        <v>2.9236111111111112E-2</v>
      </c>
      <c r="K651" t="s">
        <v>140</v>
      </c>
      <c r="L651" t="s">
        <v>3822</v>
      </c>
      <c r="M651" t="s">
        <v>3823</v>
      </c>
      <c r="N651" t="s">
        <v>286</v>
      </c>
      <c r="O651" t="s">
        <v>164</v>
      </c>
      <c r="P651" t="s">
        <v>3824</v>
      </c>
      <c r="Q651" t="s">
        <v>146</v>
      </c>
      <c r="R651" t="s">
        <v>147</v>
      </c>
      <c r="S651" t="s">
        <v>148</v>
      </c>
      <c r="T651" t="s">
        <v>169</v>
      </c>
      <c r="U651" t="s">
        <v>151</v>
      </c>
      <c r="V651">
        <v>4</v>
      </c>
      <c r="W651" t="s">
        <v>269</v>
      </c>
      <c r="X651" t="s">
        <v>3830</v>
      </c>
      <c r="Y651" t="s">
        <v>153</v>
      </c>
      <c r="Z651" s="53" t="s">
        <v>3831</v>
      </c>
      <c r="AA651">
        <v>1</v>
      </c>
      <c r="AB651"/>
      <c r="AC651"/>
      <c r="AD651">
        <v>1</v>
      </c>
      <c r="AE651"/>
      <c r="AF651"/>
      <c r="BG651" t="str">
        <f t="shared" si="11"/>
        <v/>
      </c>
      <c r="BH651" s="3" t="str" cm="1">
        <f t="array" ref="BH651">IF(AE651=1, _xlfn.TEXTJOIN(" &amp; ", TRUE, _xlfn._xlws.FILTER($AG$2:$BC$2, AG651:BC651=1)), "")</f>
        <v/>
      </c>
    </row>
    <row r="652" spans="1:60" x14ac:dyDescent="0.3">
      <c r="A652" t="s">
        <v>3817</v>
      </c>
      <c r="B652" t="s">
        <v>3832</v>
      </c>
      <c r="C652" t="s">
        <v>3819</v>
      </c>
      <c r="D652">
        <v>2020</v>
      </c>
      <c r="E652" s="52" t="s">
        <v>3833</v>
      </c>
      <c r="F652">
        <v>2422243</v>
      </c>
      <c r="G652">
        <v>2423396</v>
      </c>
      <c r="H652" t="s">
        <v>3829</v>
      </c>
      <c r="I652" t="s">
        <v>3817</v>
      </c>
      <c r="J652" s="51">
        <v>2.9236111111111112E-2</v>
      </c>
      <c r="K652" t="s">
        <v>140</v>
      </c>
      <c r="L652" t="s">
        <v>3822</v>
      </c>
      <c r="M652" t="s">
        <v>3823</v>
      </c>
      <c r="N652" t="s">
        <v>286</v>
      </c>
      <c r="O652" t="s">
        <v>164</v>
      </c>
      <c r="P652" t="s">
        <v>3824</v>
      </c>
      <c r="Q652" t="s">
        <v>146</v>
      </c>
      <c r="R652" t="s">
        <v>147</v>
      </c>
      <c r="S652" t="s">
        <v>148</v>
      </c>
      <c r="T652" t="s">
        <v>169</v>
      </c>
      <c r="U652" t="s">
        <v>151</v>
      </c>
      <c r="V652">
        <v>4</v>
      </c>
      <c r="W652" t="s">
        <v>269</v>
      </c>
      <c r="X652" t="s">
        <v>3834</v>
      </c>
      <c r="Y652" t="s">
        <v>153</v>
      </c>
      <c r="Z652" s="53" t="s">
        <v>3835</v>
      </c>
      <c r="AA652">
        <v>1</v>
      </c>
      <c r="AB652"/>
      <c r="AC652"/>
      <c r="AD652">
        <v>1</v>
      </c>
      <c r="AE652"/>
      <c r="AF652"/>
      <c r="BG652" t="str">
        <f t="shared" si="11"/>
        <v/>
      </c>
      <c r="BH652" s="3" t="str" cm="1">
        <f t="array" ref="BH652">IF(AE652=1, _xlfn.TEXTJOIN(" &amp; ", TRUE, _xlfn._xlws.FILTER($AG$2:$BC$2, AG652:BC652=1)), "")</f>
        <v/>
      </c>
    </row>
    <row r="653" spans="1:60" x14ac:dyDescent="0.3">
      <c r="A653" t="s">
        <v>3817</v>
      </c>
      <c r="B653" t="s">
        <v>3836</v>
      </c>
      <c r="C653" t="s">
        <v>3819</v>
      </c>
      <c r="D653">
        <v>2020</v>
      </c>
      <c r="E653" s="52" t="s">
        <v>3837</v>
      </c>
      <c r="F653">
        <v>2431990</v>
      </c>
      <c r="G653">
        <v>2434243</v>
      </c>
      <c r="H653" t="s">
        <v>3829</v>
      </c>
      <c r="I653" t="s">
        <v>3817</v>
      </c>
      <c r="J653" s="51">
        <v>2.9236111111111112E-2</v>
      </c>
      <c r="K653" t="s">
        <v>140</v>
      </c>
      <c r="L653" t="s">
        <v>3822</v>
      </c>
      <c r="M653" t="s">
        <v>3823</v>
      </c>
      <c r="N653" t="s">
        <v>286</v>
      </c>
      <c r="O653" t="s">
        <v>164</v>
      </c>
      <c r="P653" t="s">
        <v>3824</v>
      </c>
      <c r="Q653" t="s">
        <v>146</v>
      </c>
      <c r="R653" t="s">
        <v>147</v>
      </c>
      <c r="S653" t="s">
        <v>148</v>
      </c>
      <c r="T653" t="s">
        <v>169</v>
      </c>
      <c r="U653" t="s">
        <v>151</v>
      </c>
      <c r="V653">
        <v>4</v>
      </c>
      <c r="W653" t="s">
        <v>269</v>
      </c>
      <c r="X653" t="s">
        <v>3838</v>
      </c>
      <c r="Y653" t="s">
        <v>153</v>
      </c>
      <c r="Z653" s="53" t="s">
        <v>3839</v>
      </c>
      <c r="AA653">
        <v>1</v>
      </c>
      <c r="AB653"/>
      <c r="AC653"/>
      <c r="AD653">
        <v>1</v>
      </c>
      <c r="AE653"/>
      <c r="AF653"/>
      <c r="BG653" t="str">
        <f t="shared" si="11"/>
        <v/>
      </c>
      <c r="BH653" s="3" t="str" cm="1">
        <f t="array" ref="BH653">IF(AE653=1, _xlfn.TEXTJOIN(" &amp; ", TRUE, _xlfn._xlws.FILTER($AG$2:$BC$2, AG653:BC653=1)), "")</f>
        <v/>
      </c>
    </row>
    <row r="654" spans="1:60" x14ac:dyDescent="0.3">
      <c r="A654" t="s">
        <v>857</v>
      </c>
      <c r="B654" t="s">
        <v>858</v>
      </c>
      <c r="C654" t="s">
        <v>859</v>
      </c>
      <c r="D654">
        <v>2020</v>
      </c>
      <c r="E654" s="52" t="s">
        <v>860</v>
      </c>
      <c r="F654">
        <v>10740</v>
      </c>
      <c r="G654">
        <v>13605</v>
      </c>
      <c r="H654" t="s">
        <v>861</v>
      </c>
      <c r="I654" t="s">
        <v>857</v>
      </c>
      <c r="J654" s="51">
        <v>2.8935185185185185E-2</v>
      </c>
      <c r="K654" t="s">
        <v>140</v>
      </c>
      <c r="L654" t="s">
        <v>862</v>
      </c>
      <c r="M654" t="s">
        <v>863</v>
      </c>
      <c r="N654" t="s">
        <v>163</v>
      </c>
      <c r="O654" t="s">
        <v>144</v>
      </c>
      <c r="P654" t="s">
        <v>165</v>
      </c>
      <c r="Q654" t="s">
        <v>699</v>
      </c>
      <c r="R654" t="s">
        <v>147</v>
      </c>
      <c r="S654" t="s">
        <v>148</v>
      </c>
      <c r="T654" t="s">
        <v>169</v>
      </c>
      <c r="U654" t="s">
        <v>171</v>
      </c>
      <c r="V654">
        <v>4</v>
      </c>
      <c r="W654" t="s">
        <v>269</v>
      </c>
      <c r="X654" t="s">
        <v>864</v>
      </c>
      <c r="Y654" t="s">
        <v>153</v>
      </c>
      <c r="Z654" s="53" t="s">
        <v>865</v>
      </c>
      <c r="AA654">
        <v>1</v>
      </c>
      <c r="AB654"/>
      <c r="AC654"/>
      <c r="AD654">
        <v>1</v>
      </c>
      <c r="AE654"/>
      <c r="AF654"/>
      <c r="BG654" t="str">
        <f t="shared" si="11"/>
        <v/>
      </c>
      <c r="BH654" s="3" t="str" cm="1">
        <f t="array" ref="BH654">IF(AE654=1, _xlfn.TEXTJOIN(" &amp; ", TRUE, _xlfn._xlws.FILTER($AG$2:$BC$2, AG654:BC654=1)), "")</f>
        <v/>
      </c>
    </row>
    <row r="655" spans="1:60" x14ac:dyDescent="0.3">
      <c r="A655" t="s">
        <v>857</v>
      </c>
      <c r="B655" t="s">
        <v>3840</v>
      </c>
      <c r="C655" t="s">
        <v>859</v>
      </c>
      <c r="D655">
        <v>2020</v>
      </c>
      <c r="E655" s="52" t="s">
        <v>3841</v>
      </c>
      <c r="F655">
        <v>25492</v>
      </c>
      <c r="G655">
        <v>26990</v>
      </c>
      <c r="H655" t="s">
        <v>861</v>
      </c>
      <c r="I655" t="s">
        <v>857</v>
      </c>
      <c r="J655" s="51">
        <v>2.8935185185185185E-2</v>
      </c>
      <c r="K655" t="s">
        <v>140</v>
      </c>
      <c r="L655" t="s">
        <v>862</v>
      </c>
      <c r="M655" t="s">
        <v>863</v>
      </c>
      <c r="N655" t="s">
        <v>163</v>
      </c>
      <c r="O655" t="s">
        <v>144</v>
      </c>
      <c r="P655" t="s">
        <v>165</v>
      </c>
      <c r="Q655" t="s">
        <v>699</v>
      </c>
      <c r="R655" t="s">
        <v>147</v>
      </c>
      <c r="S655" t="s">
        <v>148</v>
      </c>
      <c r="T655" t="s">
        <v>169</v>
      </c>
      <c r="U655" t="s">
        <v>171</v>
      </c>
      <c r="V655">
        <v>4</v>
      </c>
      <c r="W655" t="s">
        <v>269</v>
      </c>
      <c r="X655" t="s">
        <v>3842</v>
      </c>
      <c r="Y655" t="s">
        <v>153</v>
      </c>
      <c r="Z655" s="53" t="s">
        <v>3843</v>
      </c>
      <c r="AA655"/>
      <c r="AB655"/>
      <c r="AC655"/>
      <c r="AD655"/>
      <c r="AE655">
        <v>1</v>
      </c>
      <c r="AF655"/>
      <c r="AL655" s="8">
        <v>1</v>
      </c>
      <c r="BG655" t="str">
        <f t="shared" si="11"/>
        <v>Interazionale</v>
      </c>
      <c r="BH655" s="3" t="str" cm="1">
        <f t="array" ref="BH655">IF(AE655=1, _xlfn.TEXTJOIN(" &amp; ", TRUE, _xlfn._xlws.FILTER($AG$2:$BC$2, AG655:BC655=1)), "")</f>
        <v>Cessione del turno</v>
      </c>
    </row>
    <row r="656" spans="1:60" x14ac:dyDescent="0.3">
      <c r="A656" t="s">
        <v>857</v>
      </c>
      <c r="B656" t="s">
        <v>3844</v>
      </c>
      <c r="C656" t="s">
        <v>859</v>
      </c>
      <c r="D656">
        <v>2020</v>
      </c>
      <c r="E656" s="52" t="s">
        <v>3845</v>
      </c>
      <c r="F656">
        <v>454175</v>
      </c>
      <c r="G656">
        <v>455755</v>
      </c>
      <c r="H656" t="s">
        <v>861</v>
      </c>
      <c r="I656" t="s">
        <v>857</v>
      </c>
      <c r="J656" s="51">
        <v>2.8935185185185185E-2</v>
      </c>
      <c r="K656" t="s">
        <v>140</v>
      </c>
      <c r="L656" t="s">
        <v>862</v>
      </c>
      <c r="M656" t="s">
        <v>863</v>
      </c>
      <c r="N656" t="s">
        <v>163</v>
      </c>
      <c r="O656" t="s">
        <v>144</v>
      </c>
      <c r="P656" t="s">
        <v>165</v>
      </c>
      <c r="Q656" t="s">
        <v>699</v>
      </c>
      <c r="R656" t="s">
        <v>147</v>
      </c>
      <c r="S656" t="s">
        <v>148</v>
      </c>
      <c r="T656" t="s">
        <v>169</v>
      </c>
      <c r="U656" t="s">
        <v>171</v>
      </c>
      <c r="V656">
        <v>4</v>
      </c>
      <c r="W656" t="s">
        <v>269</v>
      </c>
      <c r="X656" t="s">
        <v>3846</v>
      </c>
      <c r="Y656" t="s">
        <v>153</v>
      </c>
      <c r="Z656" s="53" t="s">
        <v>3847</v>
      </c>
      <c r="AA656"/>
      <c r="AB656"/>
      <c r="AC656"/>
      <c r="AD656"/>
      <c r="AE656">
        <v>1</v>
      </c>
      <c r="AF656"/>
      <c r="AH656" s="8">
        <v>1</v>
      </c>
      <c r="BG656" t="str">
        <f t="shared" si="11"/>
        <v>Interazionale</v>
      </c>
      <c r="BH656" s="3" t="str" cm="1">
        <f t="array" ref="BH656">IF(AE656=1, _xlfn.TEXTJOIN(" &amp; ", TRUE, _xlfn._xlws.FILTER($AG$2:$BC$2, AG656:BC656=1)), "")</f>
        <v>Richiesta di accordo/conferma</v>
      </c>
    </row>
    <row r="657" spans="1:60" x14ac:dyDescent="0.3">
      <c r="A657" t="s">
        <v>857</v>
      </c>
      <c r="B657" t="s">
        <v>866</v>
      </c>
      <c r="C657" t="s">
        <v>859</v>
      </c>
      <c r="D657">
        <v>2020</v>
      </c>
      <c r="E657" s="52" t="s">
        <v>867</v>
      </c>
      <c r="F657">
        <v>665716</v>
      </c>
      <c r="G657">
        <v>668566</v>
      </c>
      <c r="H657" t="s">
        <v>861</v>
      </c>
      <c r="I657" t="s">
        <v>857</v>
      </c>
      <c r="J657" s="51">
        <v>2.8935185185185185E-2</v>
      </c>
      <c r="K657" t="s">
        <v>140</v>
      </c>
      <c r="L657" t="s">
        <v>862</v>
      </c>
      <c r="M657" t="s">
        <v>863</v>
      </c>
      <c r="N657" t="s">
        <v>163</v>
      </c>
      <c r="O657" t="s">
        <v>144</v>
      </c>
      <c r="P657" t="s">
        <v>165</v>
      </c>
      <c r="Q657" t="s">
        <v>699</v>
      </c>
      <c r="R657" t="s">
        <v>147</v>
      </c>
      <c r="S657" t="s">
        <v>148</v>
      </c>
      <c r="T657" t="s">
        <v>169</v>
      </c>
      <c r="U657" t="s">
        <v>171</v>
      </c>
      <c r="V657">
        <v>4</v>
      </c>
      <c r="W657" t="s">
        <v>269</v>
      </c>
      <c r="X657" t="s">
        <v>868</v>
      </c>
      <c r="Y657" t="s">
        <v>153</v>
      </c>
      <c r="Z657" s="53" t="s">
        <v>869</v>
      </c>
      <c r="AA657"/>
      <c r="AB657"/>
      <c r="AC657"/>
      <c r="AD657"/>
      <c r="AE657">
        <v>1</v>
      </c>
      <c r="AF657"/>
      <c r="AH657" s="8">
        <v>1</v>
      </c>
      <c r="AQ657" s="21">
        <v>1</v>
      </c>
      <c r="BD657" s="3">
        <v>1</v>
      </c>
      <c r="BG657" t="str">
        <f t="shared" si="11"/>
        <v>Interazionale &amp; Metatestuale</v>
      </c>
      <c r="BH657" s="3" t="str" cm="1">
        <f t="array" ref="BH657">IF(AE657=1, _xlfn.TEXTJOIN(" &amp; ", TRUE, _xlfn._xlws.FILTER($AG$2:$BC$2, AG657:BC657=1)), "")</f>
        <v>Richiesta di accordo/conferma &amp; Chiusura di un topic</v>
      </c>
    </row>
    <row r="658" spans="1:60" x14ac:dyDescent="0.3">
      <c r="A658" t="s">
        <v>857</v>
      </c>
      <c r="B658" t="s">
        <v>3848</v>
      </c>
      <c r="C658" t="s">
        <v>859</v>
      </c>
      <c r="D658">
        <v>2020</v>
      </c>
      <c r="E658" s="52" t="s">
        <v>3849</v>
      </c>
      <c r="F658">
        <v>1922940</v>
      </c>
      <c r="G658">
        <v>1925690</v>
      </c>
      <c r="H658" t="s">
        <v>861</v>
      </c>
      <c r="I658" t="s">
        <v>857</v>
      </c>
      <c r="J658" s="51">
        <v>2.8935185185185185E-2</v>
      </c>
      <c r="K658" t="s">
        <v>140</v>
      </c>
      <c r="L658" t="s">
        <v>862</v>
      </c>
      <c r="M658" t="s">
        <v>863</v>
      </c>
      <c r="N658" t="s">
        <v>163</v>
      </c>
      <c r="O658" t="s">
        <v>144</v>
      </c>
      <c r="P658" t="s">
        <v>165</v>
      </c>
      <c r="Q658" t="s">
        <v>699</v>
      </c>
      <c r="R658" t="s">
        <v>147</v>
      </c>
      <c r="S658" t="s">
        <v>148</v>
      </c>
      <c r="T658" t="s">
        <v>169</v>
      </c>
      <c r="U658" t="s">
        <v>171</v>
      </c>
      <c r="V658">
        <v>4</v>
      </c>
      <c r="W658" t="s">
        <v>269</v>
      </c>
      <c r="X658" t="s">
        <v>3850</v>
      </c>
      <c r="Y658" t="s">
        <v>153</v>
      </c>
      <c r="Z658" s="53" t="s">
        <v>3851</v>
      </c>
      <c r="AA658"/>
      <c r="AB658"/>
      <c r="AC658"/>
      <c r="AD658"/>
      <c r="AE658">
        <v>1</v>
      </c>
      <c r="AF658"/>
      <c r="AM658" s="7">
        <v>1</v>
      </c>
      <c r="BG658" t="str">
        <f t="shared" si="11"/>
        <v>Interazionale</v>
      </c>
      <c r="BH658" s="3" t="str" cm="1">
        <f t="array" ref="BH658">IF(AE658=1, _xlfn.TEXTJOIN(" &amp; ", TRUE, _xlfn._xlws.FILTER($AG$2:$BC$2, AG658:BC658=1)), "")</f>
        <v>Marcatura della conoscenza condivisa</v>
      </c>
    </row>
    <row r="659" spans="1:60" x14ac:dyDescent="0.3">
      <c r="A659" t="s">
        <v>857</v>
      </c>
      <c r="B659" t="s">
        <v>3852</v>
      </c>
      <c r="C659" t="s">
        <v>859</v>
      </c>
      <c r="D659">
        <v>2020</v>
      </c>
      <c r="E659" s="52" t="s">
        <v>3853</v>
      </c>
      <c r="F659">
        <v>2242533</v>
      </c>
      <c r="G659">
        <v>2245604</v>
      </c>
      <c r="H659" t="s">
        <v>861</v>
      </c>
      <c r="I659" t="s">
        <v>857</v>
      </c>
      <c r="J659" s="51">
        <v>2.8935185185185185E-2</v>
      </c>
      <c r="K659" t="s">
        <v>140</v>
      </c>
      <c r="L659" t="s">
        <v>862</v>
      </c>
      <c r="M659" t="s">
        <v>863</v>
      </c>
      <c r="N659" t="s">
        <v>163</v>
      </c>
      <c r="O659" t="s">
        <v>144</v>
      </c>
      <c r="P659" t="s">
        <v>165</v>
      </c>
      <c r="Q659" t="s">
        <v>699</v>
      </c>
      <c r="R659" t="s">
        <v>147</v>
      </c>
      <c r="S659" t="s">
        <v>148</v>
      </c>
      <c r="T659" t="s">
        <v>169</v>
      </c>
      <c r="U659" t="s">
        <v>171</v>
      </c>
      <c r="V659">
        <v>4</v>
      </c>
      <c r="W659" t="s">
        <v>269</v>
      </c>
      <c r="X659" t="s">
        <v>3854</v>
      </c>
      <c r="Y659" t="s">
        <v>153</v>
      </c>
      <c r="Z659" s="53" t="s">
        <v>3855</v>
      </c>
      <c r="AA659"/>
      <c r="AB659"/>
      <c r="AC659"/>
      <c r="AD659"/>
      <c r="AE659">
        <v>1</v>
      </c>
      <c r="AF659"/>
      <c r="AM659" s="7">
        <v>1</v>
      </c>
      <c r="AP659" s="9">
        <v>1</v>
      </c>
      <c r="BD659" s="3">
        <v>1</v>
      </c>
      <c r="BG659" t="str">
        <f t="shared" si="11"/>
        <v>Interazionale &amp; Metatestuale</v>
      </c>
      <c r="BH659" s="3" t="str" cm="1">
        <f t="array" ref="BH659">IF(AE659=1, _xlfn.TEXTJOIN(" &amp; ", TRUE, _xlfn._xlws.FILTER($AG$2:$BC$2, AG659:BC659=1)), "")</f>
        <v>Marcatura della conoscenza condivisa &amp; Gestione del topic: introduzione o ripresa di topic</v>
      </c>
    </row>
    <row r="660" spans="1:60" x14ac:dyDescent="0.3">
      <c r="A660" t="s">
        <v>3856</v>
      </c>
      <c r="B660" t="s">
        <v>3857</v>
      </c>
      <c r="C660" t="s">
        <v>3858</v>
      </c>
      <c r="D660">
        <v>2020</v>
      </c>
      <c r="E660" s="52" t="s">
        <v>3859</v>
      </c>
      <c r="F660">
        <v>410932</v>
      </c>
      <c r="G660">
        <v>412279</v>
      </c>
      <c r="H660" t="s">
        <v>3860</v>
      </c>
      <c r="I660" t="s">
        <v>3856</v>
      </c>
      <c r="J660" s="51">
        <v>1.6620370370370369E-2</v>
      </c>
      <c r="K660" t="s">
        <v>140</v>
      </c>
      <c r="L660" t="s">
        <v>3861</v>
      </c>
      <c r="M660" t="s">
        <v>3862</v>
      </c>
      <c r="N660" t="s">
        <v>178</v>
      </c>
      <c r="O660" t="s">
        <v>144</v>
      </c>
      <c r="P660" t="s">
        <v>489</v>
      </c>
      <c r="Q660" t="s">
        <v>179</v>
      </c>
      <c r="R660" t="s">
        <v>147</v>
      </c>
      <c r="S660" t="s">
        <v>148</v>
      </c>
      <c r="T660" t="s">
        <v>364</v>
      </c>
      <c r="U660" t="s">
        <v>198</v>
      </c>
      <c r="V660">
        <v>2</v>
      </c>
      <c r="W660" t="s">
        <v>269</v>
      </c>
      <c r="X660" t="s">
        <v>3863</v>
      </c>
      <c r="Y660" t="s">
        <v>153</v>
      </c>
      <c r="Z660" s="53" t="s">
        <v>3864</v>
      </c>
      <c r="AA660"/>
      <c r="AB660"/>
      <c r="AC660"/>
      <c r="AD660"/>
      <c r="AE660">
        <v>1</v>
      </c>
      <c r="AF660"/>
      <c r="AL660" s="8">
        <v>1</v>
      </c>
      <c r="AY660" s="10">
        <v>1</v>
      </c>
      <c r="BD660" s="3">
        <v>1</v>
      </c>
      <c r="BG660" t="str">
        <f t="shared" si="11"/>
        <v>Interazionale &amp; Cognitiva</v>
      </c>
      <c r="BH660" s="3" t="str" cm="1">
        <f t="array" ref="BH660">IF(AE660=1, _xlfn.TEXTJOIN(" &amp; ", TRUE, _xlfn._xlws.FILTER($AG$2:$BC$2, AG660:BC660=1)), "")</f>
        <v>Cessione del turno &amp; Modulazione del grado di confidenza del parlante</v>
      </c>
    </row>
    <row r="661" spans="1:60" x14ac:dyDescent="0.3">
      <c r="A661" t="s">
        <v>3856</v>
      </c>
      <c r="B661" t="s">
        <v>3865</v>
      </c>
      <c r="C661" t="s">
        <v>3858</v>
      </c>
      <c r="D661">
        <v>2020</v>
      </c>
      <c r="E661" s="52" t="s">
        <v>3866</v>
      </c>
      <c r="F661">
        <v>617241</v>
      </c>
      <c r="G661">
        <v>619635</v>
      </c>
      <c r="H661" t="s">
        <v>3867</v>
      </c>
      <c r="I661" t="s">
        <v>3856</v>
      </c>
      <c r="J661" s="51">
        <v>1.6620370370370369E-2</v>
      </c>
      <c r="K661" t="s">
        <v>140</v>
      </c>
      <c r="L661" t="s">
        <v>3861</v>
      </c>
      <c r="M661" t="s">
        <v>3862</v>
      </c>
      <c r="N661" t="s">
        <v>317</v>
      </c>
      <c r="O661" t="s">
        <v>144</v>
      </c>
      <c r="P661" t="s">
        <v>489</v>
      </c>
      <c r="Q661" t="s">
        <v>146</v>
      </c>
      <c r="R661" t="s">
        <v>147</v>
      </c>
      <c r="S661" t="s">
        <v>148</v>
      </c>
      <c r="T661" t="s">
        <v>169</v>
      </c>
      <c r="U661" t="s">
        <v>318</v>
      </c>
      <c r="V661">
        <v>2</v>
      </c>
      <c r="W661" t="s">
        <v>269</v>
      </c>
      <c r="X661" t="s">
        <v>3868</v>
      </c>
      <c r="Y661" t="s">
        <v>153</v>
      </c>
      <c r="Z661" s="53" t="s">
        <v>3869</v>
      </c>
      <c r="AA661">
        <v>1</v>
      </c>
      <c r="AB661"/>
      <c r="AC661"/>
      <c r="AD661">
        <v>1</v>
      </c>
      <c r="AE661"/>
      <c r="AF661"/>
      <c r="BG661" t="str">
        <f t="shared" si="11"/>
        <v/>
      </c>
      <c r="BH661" s="3" t="str" cm="1">
        <f t="array" ref="BH661">IF(AE661=1, _xlfn.TEXTJOIN(" &amp; ", TRUE, _xlfn._xlws.FILTER($AG$2:$BC$2, AG661:BC661=1)), "")</f>
        <v/>
      </c>
    </row>
    <row r="662" spans="1:60" x14ac:dyDescent="0.3">
      <c r="A662" t="s">
        <v>3856</v>
      </c>
      <c r="B662" t="s">
        <v>3870</v>
      </c>
      <c r="C662" t="s">
        <v>3858</v>
      </c>
      <c r="D662">
        <v>2020</v>
      </c>
      <c r="E662" s="52" t="s">
        <v>3871</v>
      </c>
      <c r="F662">
        <v>694172</v>
      </c>
      <c r="G662">
        <v>696842</v>
      </c>
      <c r="H662" t="s">
        <v>3867</v>
      </c>
      <c r="I662" t="s">
        <v>3856</v>
      </c>
      <c r="J662" s="51">
        <v>1.6620370370370369E-2</v>
      </c>
      <c r="K662" t="s">
        <v>140</v>
      </c>
      <c r="L662" t="s">
        <v>3861</v>
      </c>
      <c r="M662" t="s">
        <v>3862</v>
      </c>
      <c r="N662" t="s">
        <v>317</v>
      </c>
      <c r="O662" t="s">
        <v>144</v>
      </c>
      <c r="P662" t="s">
        <v>489</v>
      </c>
      <c r="Q662" t="s">
        <v>146</v>
      </c>
      <c r="R662" t="s">
        <v>147</v>
      </c>
      <c r="S662" t="s">
        <v>148</v>
      </c>
      <c r="T662" t="s">
        <v>169</v>
      </c>
      <c r="U662" t="s">
        <v>318</v>
      </c>
      <c r="V662">
        <v>2</v>
      </c>
      <c r="W662" t="s">
        <v>269</v>
      </c>
      <c r="X662" t="s">
        <v>3872</v>
      </c>
      <c r="Y662" t="s">
        <v>153</v>
      </c>
      <c r="Z662" s="53" t="s">
        <v>3873</v>
      </c>
      <c r="AA662">
        <v>1</v>
      </c>
      <c r="AB662"/>
      <c r="AC662">
        <v>1</v>
      </c>
      <c r="AD662"/>
      <c r="AE662"/>
      <c r="AF662"/>
      <c r="BG662" t="str">
        <f t="shared" si="11"/>
        <v/>
      </c>
      <c r="BH662" s="3" t="str" cm="1">
        <f t="array" ref="BH662">IF(AE662=1, _xlfn.TEXTJOIN(" &amp; ", TRUE, _xlfn._xlws.FILTER($AG$2:$BC$2, AG662:BC662=1)), "")</f>
        <v/>
      </c>
    </row>
    <row r="663" spans="1:60" x14ac:dyDescent="0.3">
      <c r="A663" t="s">
        <v>3856</v>
      </c>
      <c r="B663" t="s">
        <v>3874</v>
      </c>
      <c r="C663" t="s">
        <v>3858</v>
      </c>
      <c r="D663">
        <v>2020</v>
      </c>
      <c r="E663" s="52" t="s">
        <v>3875</v>
      </c>
      <c r="F663">
        <v>1343763</v>
      </c>
      <c r="G663">
        <v>1345560</v>
      </c>
      <c r="H663" t="s">
        <v>3860</v>
      </c>
      <c r="I663" t="s">
        <v>3856</v>
      </c>
      <c r="J663" s="51">
        <v>1.6620370370370369E-2</v>
      </c>
      <c r="K663" t="s">
        <v>140</v>
      </c>
      <c r="L663" t="s">
        <v>3861</v>
      </c>
      <c r="M663" t="s">
        <v>3862</v>
      </c>
      <c r="N663" t="s">
        <v>178</v>
      </c>
      <c r="O663" t="s">
        <v>144</v>
      </c>
      <c r="P663" t="s">
        <v>489</v>
      </c>
      <c r="Q663" t="s">
        <v>179</v>
      </c>
      <c r="R663" t="s">
        <v>147</v>
      </c>
      <c r="S663" t="s">
        <v>148</v>
      </c>
      <c r="T663" t="s">
        <v>364</v>
      </c>
      <c r="U663" t="s">
        <v>198</v>
      </c>
      <c r="V663">
        <v>2</v>
      </c>
      <c r="W663" t="s">
        <v>269</v>
      </c>
      <c r="X663" t="s">
        <v>3876</v>
      </c>
      <c r="Y663" t="s">
        <v>153</v>
      </c>
      <c r="Z663" s="53" t="s">
        <v>3877</v>
      </c>
      <c r="AA663"/>
      <c r="AB663"/>
      <c r="AC663"/>
      <c r="AD663"/>
      <c r="AE663">
        <v>1</v>
      </c>
      <c r="AF663"/>
      <c r="AV663" s="9">
        <v>1</v>
      </c>
      <c r="BG663" t="str">
        <f t="shared" si="11"/>
        <v>Metatestuale</v>
      </c>
      <c r="BH663" s="3" t="str" cm="1">
        <f t="array" ref="BH663">IF(AE663=1, _xlfn.TEXTJOIN(" &amp; ", TRUE, _xlfn._xlws.FILTER($AG$2:$BC$2, AG663:BC663=1)), "")</f>
        <v>Filler, riempimento dei tempi di formulazione</v>
      </c>
    </row>
    <row r="664" spans="1:60" x14ac:dyDescent="0.3">
      <c r="A664" t="s">
        <v>3878</v>
      </c>
      <c r="B664" t="s">
        <v>3879</v>
      </c>
      <c r="C664" t="s">
        <v>3880</v>
      </c>
      <c r="D664">
        <v>2024</v>
      </c>
      <c r="E664" s="52" t="s">
        <v>3881</v>
      </c>
      <c r="F664">
        <v>711110</v>
      </c>
      <c r="G664">
        <v>714840</v>
      </c>
      <c r="H664" t="s">
        <v>3882</v>
      </c>
      <c r="I664" t="s">
        <v>3878</v>
      </c>
      <c r="J664" s="51">
        <v>3.8124999999999999E-2</v>
      </c>
      <c r="K664" t="s">
        <v>160</v>
      </c>
      <c r="L664" t="s">
        <v>3883</v>
      </c>
      <c r="M664" t="s">
        <v>3884</v>
      </c>
      <c r="N664" t="s">
        <v>286</v>
      </c>
      <c r="O664" t="s">
        <v>164</v>
      </c>
      <c r="P664" t="s">
        <v>165</v>
      </c>
      <c r="Q664" t="s">
        <v>481</v>
      </c>
      <c r="R664" t="s">
        <v>167</v>
      </c>
      <c r="S664" t="s">
        <v>168</v>
      </c>
      <c r="T664" t="s">
        <v>169</v>
      </c>
      <c r="U664" t="s">
        <v>171</v>
      </c>
      <c r="V664">
        <v>3</v>
      </c>
      <c r="W664" t="s">
        <v>170</v>
      </c>
      <c r="X664" t="s">
        <v>3885</v>
      </c>
      <c r="Y664" t="s">
        <v>153</v>
      </c>
      <c r="Z664" s="53" t="s">
        <v>3886</v>
      </c>
      <c r="AA664"/>
      <c r="AB664"/>
      <c r="AC664"/>
      <c r="AD664"/>
      <c r="AE664">
        <v>1</v>
      </c>
      <c r="AF664"/>
      <c r="AH664" s="8">
        <v>1</v>
      </c>
      <c r="AM664" s="7">
        <v>1</v>
      </c>
      <c r="BD664" s="3">
        <v>1</v>
      </c>
      <c r="BG664" t="str">
        <f t="shared" si="11"/>
        <v>Interazionale</v>
      </c>
      <c r="BH664" s="3" t="str" cm="1">
        <f t="array" ref="BH664">IF(AE664=1, _xlfn.TEXTJOIN(" &amp; ", TRUE, _xlfn._xlws.FILTER($AG$2:$BC$2, AG664:BC664=1)), "")</f>
        <v>Richiesta di accordo/conferma &amp; Marcatura della conoscenza condivisa</v>
      </c>
    </row>
    <row r="665" spans="1:60" x14ac:dyDescent="0.3">
      <c r="A665" t="s">
        <v>3878</v>
      </c>
      <c r="B665" t="s">
        <v>3887</v>
      </c>
      <c r="C665" t="s">
        <v>3880</v>
      </c>
      <c r="D665">
        <v>2024</v>
      </c>
      <c r="E665" s="52" t="s">
        <v>3888</v>
      </c>
      <c r="F665">
        <v>1489394</v>
      </c>
      <c r="G665">
        <v>1492567</v>
      </c>
      <c r="H665" t="s">
        <v>3889</v>
      </c>
      <c r="I665" t="s">
        <v>3878</v>
      </c>
      <c r="J665" s="51">
        <v>3.8124999999999999E-2</v>
      </c>
      <c r="K665" t="s">
        <v>160</v>
      </c>
      <c r="L665" t="s">
        <v>3883</v>
      </c>
      <c r="M665" t="s">
        <v>3884</v>
      </c>
      <c r="N665" t="s">
        <v>286</v>
      </c>
      <c r="O665" t="s">
        <v>164</v>
      </c>
      <c r="P665" t="s">
        <v>165</v>
      </c>
      <c r="Q665" t="s">
        <v>481</v>
      </c>
      <c r="R665" t="s">
        <v>167</v>
      </c>
      <c r="S665" t="s">
        <v>168</v>
      </c>
      <c r="T665" t="s">
        <v>169</v>
      </c>
      <c r="U665" t="s">
        <v>171</v>
      </c>
      <c r="V665">
        <v>3</v>
      </c>
      <c r="W665" t="s">
        <v>170</v>
      </c>
      <c r="X665" t="s">
        <v>3890</v>
      </c>
      <c r="Y665" t="s">
        <v>153</v>
      </c>
      <c r="Z665" s="53" t="s">
        <v>3891</v>
      </c>
      <c r="AA665"/>
      <c r="AB665"/>
      <c r="AC665"/>
      <c r="AD665"/>
      <c r="AE665">
        <v>1</v>
      </c>
      <c r="AF665"/>
      <c r="AH665" s="8">
        <v>1</v>
      </c>
      <c r="AM665" s="7">
        <v>1</v>
      </c>
      <c r="BD665" s="3">
        <v>1</v>
      </c>
      <c r="BG665" t="str">
        <f t="shared" si="11"/>
        <v>Interazionale</v>
      </c>
      <c r="BH665" s="3" t="str" cm="1">
        <f t="array" ref="BH665">IF(AE665=1, _xlfn.TEXTJOIN(" &amp; ", TRUE, _xlfn._xlws.FILTER($AG$2:$BC$2, AG665:BC665=1)), "")</f>
        <v>Richiesta di accordo/conferma &amp; Marcatura della conoscenza condivisa</v>
      </c>
    </row>
    <row r="666" spans="1:60" x14ac:dyDescent="0.3">
      <c r="A666" t="s">
        <v>870</v>
      </c>
      <c r="B666" t="s">
        <v>3892</v>
      </c>
      <c r="C666" t="s">
        <v>871</v>
      </c>
      <c r="D666">
        <v>2019</v>
      </c>
      <c r="E666" s="52" t="s">
        <v>3893</v>
      </c>
      <c r="F666">
        <v>1843294</v>
      </c>
      <c r="G666">
        <v>1845352</v>
      </c>
      <c r="H666" t="s">
        <v>3894</v>
      </c>
      <c r="I666" t="s">
        <v>870</v>
      </c>
      <c r="J666" s="51">
        <v>4.7546296296296295E-2</v>
      </c>
      <c r="K666" t="s">
        <v>160</v>
      </c>
      <c r="L666" t="s">
        <v>872</v>
      </c>
      <c r="M666" t="s">
        <v>873</v>
      </c>
      <c r="N666" t="s">
        <v>336</v>
      </c>
      <c r="O666" t="s">
        <v>144</v>
      </c>
      <c r="P666" t="s">
        <v>145</v>
      </c>
      <c r="Q666" t="s">
        <v>146</v>
      </c>
      <c r="R666" t="s">
        <v>167</v>
      </c>
      <c r="S666" t="s">
        <v>148</v>
      </c>
      <c r="T666" t="s">
        <v>189</v>
      </c>
      <c r="U666" t="s">
        <v>151</v>
      </c>
      <c r="V666">
        <v>3</v>
      </c>
      <c r="W666" t="s">
        <v>170</v>
      </c>
      <c r="X666" t="s">
        <v>3895</v>
      </c>
      <c r="Y666" t="s">
        <v>153</v>
      </c>
      <c r="Z666" s="53" t="s">
        <v>3896</v>
      </c>
      <c r="AA666">
        <v>1</v>
      </c>
      <c r="AB666"/>
      <c r="AC666">
        <v>1</v>
      </c>
      <c r="AD666"/>
      <c r="AE666"/>
      <c r="AF666"/>
      <c r="BG666" t="str">
        <f t="shared" si="11"/>
        <v/>
      </c>
      <c r="BH666" s="3" t="str" cm="1">
        <f t="array" ref="BH666">IF(AE666=1, _xlfn.TEXTJOIN(" &amp; ", TRUE, _xlfn._xlws.FILTER($AG$2:$BC$2, AG666:BC666=1)), "")</f>
        <v/>
      </c>
    </row>
    <row r="667" spans="1:60" x14ac:dyDescent="0.3">
      <c r="A667" t="s">
        <v>870</v>
      </c>
      <c r="B667" t="s">
        <v>3897</v>
      </c>
      <c r="C667" t="s">
        <v>871</v>
      </c>
      <c r="D667">
        <v>2019</v>
      </c>
      <c r="E667" s="52" t="s">
        <v>3898</v>
      </c>
      <c r="F667">
        <v>2397800</v>
      </c>
      <c r="G667">
        <v>2404190</v>
      </c>
      <c r="H667" t="s">
        <v>3899</v>
      </c>
      <c r="I667" t="s">
        <v>870</v>
      </c>
      <c r="J667" s="51">
        <v>4.7546296296296295E-2</v>
      </c>
      <c r="K667" t="s">
        <v>160</v>
      </c>
      <c r="L667" t="s">
        <v>872</v>
      </c>
      <c r="M667" t="s">
        <v>873</v>
      </c>
      <c r="N667" t="s">
        <v>143</v>
      </c>
      <c r="O667" t="s">
        <v>144</v>
      </c>
      <c r="P667" t="s">
        <v>145</v>
      </c>
      <c r="Q667" t="s">
        <v>146</v>
      </c>
      <c r="R667" t="s">
        <v>167</v>
      </c>
      <c r="S667" t="s">
        <v>148</v>
      </c>
      <c r="T667" t="s">
        <v>666</v>
      </c>
      <c r="U667" t="s">
        <v>151</v>
      </c>
      <c r="V667">
        <v>3</v>
      </c>
      <c r="W667" t="s">
        <v>170</v>
      </c>
      <c r="X667" t="s">
        <v>3900</v>
      </c>
      <c r="Y667" t="s">
        <v>153</v>
      </c>
      <c r="Z667" s="53" t="s">
        <v>3901</v>
      </c>
      <c r="AA667"/>
      <c r="AB667"/>
      <c r="AC667"/>
      <c r="AD667"/>
      <c r="AE667">
        <v>1</v>
      </c>
      <c r="AF667"/>
      <c r="AM667" s="7">
        <v>1</v>
      </c>
      <c r="BA667" s="10">
        <v>1</v>
      </c>
      <c r="BD667" s="3">
        <v>1</v>
      </c>
      <c r="BG667" t="str">
        <f t="shared" si="11"/>
        <v>Interazionale &amp; Cognitiva</v>
      </c>
      <c r="BH667" s="3" t="str" cm="1">
        <f t="array" ref="BH667">IF(AE667=1, _xlfn.TEXTJOIN(" &amp; ", TRUE, _xlfn._xlws.FILTER($AG$2:$BC$2, AG667:BC667=1)), "")</f>
        <v>Marcatura della conoscenza condivisa &amp; Specificazione</v>
      </c>
    </row>
    <row r="668" spans="1:60" x14ac:dyDescent="0.3">
      <c r="A668" t="s">
        <v>870</v>
      </c>
      <c r="B668" t="s">
        <v>3902</v>
      </c>
      <c r="C668" t="s">
        <v>871</v>
      </c>
      <c r="D668">
        <v>2019</v>
      </c>
      <c r="E668" s="52" t="s">
        <v>3903</v>
      </c>
      <c r="F668">
        <v>2454853</v>
      </c>
      <c r="G668">
        <v>2459772</v>
      </c>
      <c r="H668" t="s">
        <v>3899</v>
      </c>
      <c r="I668" t="s">
        <v>870</v>
      </c>
      <c r="J668" s="51">
        <v>4.7546296296296295E-2</v>
      </c>
      <c r="K668" t="s">
        <v>160</v>
      </c>
      <c r="L668" t="s">
        <v>872</v>
      </c>
      <c r="M668" t="s">
        <v>873</v>
      </c>
      <c r="N668" t="s">
        <v>143</v>
      </c>
      <c r="O668" t="s">
        <v>144</v>
      </c>
      <c r="P668" t="s">
        <v>145</v>
      </c>
      <c r="Q668" t="s">
        <v>146</v>
      </c>
      <c r="R668" t="s">
        <v>167</v>
      </c>
      <c r="S668" t="s">
        <v>148</v>
      </c>
      <c r="T668" t="s">
        <v>666</v>
      </c>
      <c r="U668" t="s">
        <v>151</v>
      </c>
      <c r="V668">
        <v>3</v>
      </c>
      <c r="W668" t="s">
        <v>170</v>
      </c>
      <c r="X668" t="s">
        <v>3904</v>
      </c>
      <c r="Y668" t="s">
        <v>153</v>
      </c>
      <c r="Z668" s="53" t="s">
        <v>3905</v>
      </c>
      <c r="AA668"/>
      <c r="AB668"/>
      <c r="AC668"/>
      <c r="AD668"/>
      <c r="AE668">
        <v>1</v>
      </c>
      <c r="AF668"/>
      <c r="AM668" s="7">
        <v>1</v>
      </c>
      <c r="BG668" t="str">
        <f t="shared" si="11"/>
        <v>Interazionale</v>
      </c>
      <c r="BH668" s="3" t="str" cm="1">
        <f t="array" ref="BH668">IF(AE668=1, _xlfn.TEXTJOIN(" &amp; ", TRUE, _xlfn._xlws.FILTER($AG$2:$BC$2, AG668:BC668=1)), "")</f>
        <v>Marcatura della conoscenza condivisa</v>
      </c>
    </row>
    <row r="669" spans="1:60" x14ac:dyDescent="0.3">
      <c r="A669" t="s">
        <v>870</v>
      </c>
      <c r="B669" t="s">
        <v>3906</v>
      </c>
      <c r="C669" t="s">
        <v>871</v>
      </c>
      <c r="D669">
        <v>2019</v>
      </c>
      <c r="E669" s="52" t="s">
        <v>3907</v>
      </c>
      <c r="F669">
        <v>3171428</v>
      </c>
      <c r="G669">
        <v>3172606</v>
      </c>
      <c r="H669" t="s">
        <v>3899</v>
      </c>
      <c r="I669" t="s">
        <v>870</v>
      </c>
      <c r="J669" s="51">
        <v>4.7546296296296295E-2</v>
      </c>
      <c r="K669" t="s">
        <v>160</v>
      </c>
      <c r="L669" t="s">
        <v>872</v>
      </c>
      <c r="M669" t="s">
        <v>873</v>
      </c>
      <c r="N669" t="s">
        <v>143</v>
      </c>
      <c r="O669" t="s">
        <v>144</v>
      </c>
      <c r="P669" t="s">
        <v>145</v>
      </c>
      <c r="Q669" t="s">
        <v>146</v>
      </c>
      <c r="R669" t="s">
        <v>167</v>
      </c>
      <c r="S669" t="s">
        <v>148</v>
      </c>
      <c r="T669" t="s">
        <v>666</v>
      </c>
      <c r="U669" t="s">
        <v>151</v>
      </c>
      <c r="V669">
        <v>3</v>
      </c>
      <c r="W669" t="s">
        <v>170</v>
      </c>
      <c r="X669" t="s">
        <v>3908</v>
      </c>
      <c r="Y669" t="s">
        <v>153</v>
      </c>
      <c r="Z669" s="53" t="s">
        <v>3909</v>
      </c>
      <c r="AA669"/>
      <c r="AB669"/>
      <c r="AC669"/>
      <c r="AD669"/>
      <c r="AE669">
        <v>1</v>
      </c>
      <c r="AF669"/>
      <c r="AM669" s="7">
        <v>1</v>
      </c>
      <c r="BG669" t="str">
        <f t="shared" si="11"/>
        <v>Interazionale</v>
      </c>
      <c r="BH669" s="3" t="str" cm="1">
        <f t="array" ref="BH669">IF(AE669=1, _xlfn.TEXTJOIN(" &amp; ", TRUE, _xlfn._xlws.FILTER($AG$2:$BC$2, AG669:BC669=1)), "")</f>
        <v>Marcatura della conoscenza condivisa</v>
      </c>
    </row>
    <row r="670" spans="1:60" x14ac:dyDescent="0.3">
      <c r="A670" t="s">
        <v>3910</v>
      </c>
      <c r="B670" t="s">
        <v>3911</v>
      </c>
      <c r="C670" t="s">
        <v>3912</v>
      </c>
      <c r="D670">
        <v>2019</v>
      </c>
      <c r="E670" s="52" t="s">
        <v>3913</v>
      </c>
      <c r="F670">
        <v>768658</v>
      </c>
      <c r="G670">
        <v>771240</v>
      </c>
      <c r="H670" t="s">
        <v>1225</v>
      </c>
      <c r="I670" t="s">
        <v>3910</v>
      </c>
      <c r="J670" s="51">
        <v>2.1087962962962965E-2</v>
      </c>
      <c r="K670" t="s">
        <v>140</v>
      </c>
      <c r="L670" t="s">
        <v>3914</v>
      </c>
      <c r="M670" t="s">
        <v>3915</v>
      </c>
      <c r="N670" t="s">
        <v>143</v>
      </c>
      <c r="O670" t="s">
        <v>144</v>
      </c>
      <c r="P670" t="s">
        <v>165</v>
      </c>
      <c r="Q670" t="s">
        <v>146</v>
      </c>
      <c r="R670" t="s">
        <v>147</v>
      </c>
      <c r="S670" t="s">
        <v>148</v>
      </c>
      <c r="T670" t="s">
        <v>169</v>
      </c>
      <c r="U670" t="s">
        <v>151</v>
      </c>
      <c r="V670">
        <v>4</v>
      </c>
      <c r="W670" t="s">
        <v>150</v>
      </c>
      <c r="X670" t="s">
        <v>3916</v>
      </c>
      <c r="Y670" t="s">
        <v>153</v>
      </c>
      <c r="Z670" s="53" t="s">
        <v>3917</v>
      </c>
      <c r="AA670">
        <v>1</v>
      </c>
      <c r="AB670"/>
      <c r="AC670"/>
      <c r="AD670">
        <v>1</v>
      </c>
      <c r="AE670"/>
      <c r="AF670"/>
      <c r="BG670" t="str">
        <f t="shared" si="11"/>
        <v/>
      </c>
      <c r="BH670" s="3" t="str" cm="1">
        <f t="array" ref="BH670">IF(AE670=1, _xlfn.TEXTJOIN(" &amp; ", TRUE, _xlfn._xlws.FILTER($AG$2:$BC$2, AG670:BC670=1)), "")</f>
        <v/>
      </c>
    </row>
    <row r="671" spans="1:60" x14ac:dyDescent="0.3">
      <c r="A671" t="s">
        <v>3910</v>
      </c>
      <c r="B671" t="s">
        <v>3918</v>
      </c>
      <c r="C671" t="s">
        <v>3912</v>
      </c>
      <c r="D671">
        <v>2019</v>
      </c>
      <c r="E671" s="52" t="s">
        <v>3919</v>
      </c>
      <c r="F671">
        <v>771998</v>
      </c>
      <c r="G671">
        <v>776228</v>
      </c>
      <c r="H671" t="s">
        <v>1225</v>
      </c>
      <c r="I671" t="s">
        <v>3910</v>
      </c>
      <c r="J671" s="51">
        <v>2.1087962962962965E-2</v>
      </c>
      <c r="K671" t="s">
        <v>140</v>
      </c>
      <c r="L671" t="s">
        <v>3914</v>
      </c>
      <c r="M671" t="s">
        <v>3915</v>
      </c>
      <c r="N671" t="s">
        <v>143</v>
      </c>
      <c r="O671" t="s">
        <v>144</v>
      </c>
      <c r="P671" t="s">
        <v>165</v>
      </c>
      <c r="Q671" t="s">
        <v>146</v>
      </c>
      <c r="R671" t="s">
        <v>147</v>
      </c>
      <c r="S671" t="s">
        <v>148</v>
      </c>
      <c r="T671" t="s">
        <v>169</v>
      </c>
      <c r="U671" t="s">
        <v>151</v>
      </c>
      <c r="V671">
        <v>4</v>
      </c>
      <c r="W671" t="s">
        <v>150</v>
      </c>
      <c r="X671" t="s">
        <v>3920</v>
      </c>
      <c r="Y671" t="s">
        <v>153</v>
      </c>
      <c r="Z671" s="53" t="s">
        <v>3921</v>
      </c>
      <c r="AA671">
        <v>1</v>
      </c>
      <c r="AB671"/>
      <c r="AC671">
        <v>1</v>
      </c>
      <c r="AD671"/>
      <c r="AE671"/>
      <c r="AF671"/>
      <c r="BG671" t="str">
        <f t="shared" si="11"/>
        <v/>
      </c>
      <c r="BH671" s="3" t="str" cm="1">
        <f t="array" ref="BH671">IF(AE671=1, _xlfn.TEXTJOIN(" &amp; ", TRUE, _xlfn._xlws.FILTER($AG$2:$BC$2, AG671:BC671=1)), "")</f>
        <v/>
      </c>
    </row>
    <row r="672" spans="1:60" x14ac:dyDescent="0.3">
      <c r="A672" t="s">
        <v>3910</v>
      </c>
      <c r="B672" t="s">
        <v>3922</v>
      </c>
      <c r="C672" t="s">
        <v>3912</v>
      </c>
      <c r="D672">
        <v>2019</v>
      </c>
      <c r="E672" s="52" t="s">
        <v>3923</v>
      </c>
      <c r="F672">
        <v>930610</v>
      </c>
      <c r="G672">
        <v>934750</v>
      </c>
      <c r="H672" t="s">
        <v>1225</v>
      </c>
      <c r="I672" t="s">
        <v>3910</v>
      </c>
      <c r="J672" s="51">
        <v>2.1087962962962965E-2</v>
      </c>
      <c r="K672" t="s">
        <v>140</v>
      </c>
      <c r="L672" t="s">
        <v>3914</v>
      </c>
      <c r="M672" t="s">
        <v>3915</v>
      </c>
      <c r="N672" t="s">
        <v>143</v>
      </c>
      <c r="O672" t="s">
        <v>144</v>
      </c>
      <c r="P672" t="s">
        <v>165</v>
      </c>
      <c r="Q672" t="s">
        <v>146</v>
      </c>
      <c r="R672" t="s">
        <v>147</v>
      </c>
      <c r="S672" t="s">
        <v>148</v>
      </c>
      <c r="T672" t="s">
        <v>169</v>
      </c>
      <c r="U672" t="s">
        <v>151</v>
      </c>
      <c r="V672">
        <v>4</v>
      </c>
      <c r="W672" t="s">
        <v>150</v>
      </c>
      <c r="X672" t="s">
        <v>3924</v>
      </c>
      <c r="Y672" t="s">
        <v>153</v>
      </c>
      <c r="Z672" s="53" t="s">
        <v>3925</v>
      </c>
      <c r="AA672">
        <v>1</v>
      </c>
      <c r="AB672"/>
      <c r="AC672">
        <v>1</v>
      </c>
      <c r="AD672"/>
      <c r="AE672"/>
      <c r="AF672"/>
      <c r="BG672" t="str">
        <f t="shared" si="11"/>
        <v/>
      </c>
      <c r="BH672" s="3" t="str" cm="1">
        <f t="array" ref="BH672">IF(AE672=1, _xlfn.TEXTJOIN(" &amp; ", TRUE, _xlfn._xlws.FILTER($AG$2:$BC$2, AG672:BC672=1)), "")</f>
        <v/>
      </c>
    </row>
    <row r="673" spans="1:60" x14ac:dyDescent="0.3">
      <c r="A673" t="s">
        <v>3910</v>
      </c>
      <c r="B673" t="s">
        <v>3926</v>
      </c>
      <c r="C673" t="s">
        <v>3912</v>
      </c>
      <c r="D673">
        <v>2019</v>
      </c>
      <c r="E673" s="52" t="s">
        <v>3927</v>
      </c>
      <c r="F673">
        <v>1063321</v>
      </c>
      <c r="G673">
        <v>1064911</v>
      </c>
      <c r="H673" t="s">
        <v>3928</v>
      </c>
      <c r="I673" t="s">
        <v>3910</v>
      </c>
      <c r="J673" s="51">
        <v>2.1087962962962965E-2</v>
      </c>
      <c r="K673" t="s">
        <v>140</v>
      </c>
      <c r="L673" t="s">
        <v>3914</v>
      </c>
      <c r="M673" t="s">
        <v>3915</v>
      </c>
      <c r="N673" t="s">
        <v>143</v>
      </c>
      <c r="O673" t="s">
        <v>164</v>
      </c>
      <c r="P673" t="s">
        <v>165</v>
      </c>
      <c r="Q673" t="s">
        <v>146</v>
      </c>
      <c r="R673" t="s">
        <v>147</v>
      </c>
      <c r="S673" t="s">
        <v>148</v>
      </c>
      <c r="T673" t="s">
        <v>491</v>
      </c>
      <c r="U673" t="s">
        <v>151</v>
      </c>
      <c r="V673">
        <v>4</v>
      </c>
      <c r="W673" t="s">
        <v>150</v>
      </c>
      <c r="X673" t="s">
        <v>3929</v>
      </c>
      <c r="Y673" t="s">
        <v>153</v>
      </c>
      <c r="Z673" s="53" t="s">
        <v>3930</v>
      </c>
      <c r="AA673"/>
      <c r="AB673"/>
      <c r="AC673"/>
      <c r="AD673"/>
      <c r="AE673">
        <v>1</v>
      </c>
      <c r="AF673">
        <v>1</v>
      </c>
      <c r="AV673" s="9">
        <v>1</v>
      </c>
      <c r="BG673" t="str">
        <f t="shared" si="11"/>
        <v>Metatestuale</v>
      </c>
      <c r="BH673" s="3" t="str" cm="1">
        <f t="array" ref="BH673">IF(AE673=1, _xlfn.TEXTJOIN(" &amp; ", TRUE, _xlfn._xlws.FILTER($AG$2:$BC$2, AG673:BC673=1)), "")</f>
        <v>Filler, riempimento dei tempi di formulazione</v>
      </c>
    </row>
    <row r="674" spans="1:60" x14ac:dyDescent="0.3">
      <c r="A674" t="s">
        <v>3910</v>
      </c>
      <c r="B674" t="s">
        <v>3931</v>
      </c>
      <c r="C674" t="s">
        <v>3912</v>
      </c>
      <c r="D674">
        <v>2019</v>
      </c>
      <c r="E674" s="52" t="s">
        <v>3932</v>
      </c>
      <c r="F674">
        <v>1625496</v>
      </c>
      <c r="G674">
        <v>1627546</v>
      </c>
      <c r="H674" t="s">
        <v>1225</v>
      </c>
      <c r="I674" t="s">
        <v>3910</v>
      </c>
      <c r="J674" s="51">
        <v>2.1087962962962965E-2</v>
      </c>
      <c r="K674" t="s">
        <v>140</v>
      </c>
      <c r="L674" t="s">
        <v>3914</v>
      </c>
      <c r="M674" t="s">
        <v>3915</v>
      </c>
      <c r="N674" t="s">
        <v>143</v>
      </c>
      <c r="O674" t="s">
        <v>144</v>
      </c>
      <c r="P674" t="s">
        <v>165</v>
      </c>
      <c r="Q674" t="s">
        <v>146</v>
      </c>
      <c r="R674" t="s">
        <v>147</v>
      </c>
      <c r="S674" t="s">
        <v>148</v>
      </c>
      <c r="T674" t="s">
        <v>169</v>
      </c>
      <c r="U674" t="s">
        <v>151</v>
      </c>
      <c r="V674">
        <v>4</v>
      </c>
      <c r="W674" t="s">
        <v>150</v>
      </c>
      <c r="X674" t="s">
        <v>3933</v>
      </c>
      <c r="Y674" t="s">
        <v>153</v>
      </c>
      <c r="Z674" s="53" t="s">
        <v>3934</v>
      </c>
      <c r="AA674">
        <v>1</v>
      </c>
      <c r="AB674"/>
      <c r="AC674">
        <v>1</v>
      </c>
      <c r="AD674"/>
      <c r="AE674"/>
      <c r="AF674"/>
      <c r="BG674" t="str">
        <f t="shared" si="11"/>
        <v/>
      </c>
      <c r="BH674" s="3" t="str" cm="1">
        <f t="array" ref="BH674">IF(AE674=1, _xlfn.TEXTJOIN(" &amp; ", TRUE, _xlfn._xlws.FILTER($AG$2:$BC$2, AG674:BC674=1)), "")</f>
        <v/>
      </c>
    </row>
    <row r="675" spans="1:60" x14ac:dyDescent="0.3">
      <c r="A675" t="s">
        <v>3935</v>
      </c>
      <c r="B675" t="s">
        <v>3936</v>
      </c>
      <c r="C675" t="s">
        <v>3937</v>
      </c>
      <c r="D675">
        <v>2024</v>
      </c>
      <c r="E675" s="52" t="s">
        <v>3938</v>
      </c>
      <c r="F675">
        <v>700068</v>
      </c>
      <c r="G675">
        <v>701275</v>
      </c>
      <c r="H675" t="s">
        <v>1335</v>
      </c>
      <c r="I675" t="s">
        <v>3935</v>
      </c>
      <c r="J675" s="51">
        <v>2.7129629629629629E-2</v>
      </c>
      <c r="K675" t="s">
        <v>160</v>
      </c>
      <c r="L675" t="s">
        <v>3939</v>
      </c>
      <c r="M675" t="s">
        <v>3940</v>
      </c>
      <c r="N675" t="s">
        <v>143</v>
      </c>
      <c r="O675" t="s">
        <v>164</v>
      </c>
      <c r="P675" t="s">
        <v>165</v>
      </c>
      <c r="Q675" t="s">
        <v>146</v>
      </c>
      <c r="R675" t="s">
        <v>167</v>
      </c>
      <c r="S675" t="s">
        <v>168</v>
      </c>
      <c r="T675" t="s">
        <v>169</v>
      </c>
      <c r="U675" t="s">
        <v>151</v>
      </c>
      <c r="V675">
        <v>3</v>
      </c>
      <c r="W675" t="s">
        <v>170</v>
      </c>
      <c r="X675" t="s">
        <v>3941</v>
      </c>
      <c r="Y675" t="s">
        <v>153</v>
      </c>
      <c r="Z675" s="53" t="s">
        <v>3942</v>
      </c>
      <c r="AA675">
        <v>1</v>
      </c>
      <c r="AB675"/>
      <c r="AC675"/>
      <c r="AD675">
        <v>1</v>
      </c>
      <c r="AE675"/>
      <c r="AF675"/>
      <c r="BG675" t="str">
        <f t="shared" si="11"/>
        <v/>
      </c>
      <c r="BH675" s="3" t="str" cm="1">
        <f t="array" ref="BH675">IF(AE675=1, _xlfn.TEXTJOIN(" &amp; ", TRUE, _xlfn._xlws.FILTER($AG$2:$BC$2, AG675:BC675=1)), "")</f>
        <v/>
      </c>
    </row>
    <row r="676" spans="1:60" x14ac:dyDescent="0.3">
      <c r="A676" t="s">
        <v>874</v>
      </c>
      <c r="B676" t="s">
        <v>875</v>
      </c>
      <c r="C676" t="s">
        <v>876</v>
      </c>
      <c r="D676" t="s">
        <v>204</v>
      </c>
      <c r="E676" s="52" t="s">
        <v>877</v>
      </c>
      <c r="F676">
        <v>1503117</v>
      </c>
      <c r="G676">
        <v>1507047</v>
      </c>
      <c r="H676" t="s">
        <v>878</v>
      </c>
      <c r="I676" t="s">
        <v>874</v>
      </c>
      <c r="J676" s="51">
        <v>2.1076388888888888E-2</v>
      </c>
      <c r="K676" t="s">
        <v>160</v>
      </c>
      <c r="L676" t="s">
        <v>879</v>
      </c>
      <c r="M676" t="s">
        <v>880</v>
      </c>
      <c r="N676" t="s">
        <v>143</v>
      </c>
      <c r="O676" t="s">
        <v>144</v>
      </c>
      <c r="P676" t="s">
        <v>145</v>
      </c>
      <c r="Q676" t="s">
        <v>146</v>
      </c>
      <c r="R676" t="s">
        <v>167</v>
      </c>
      <c r="S676" t="s">
        <v>148</v>
      </c>
      <c r="T676" t="s">
        <v>149</v>
      </c>
      <c r="U676" t="s">
        <v>151</v>
      </c>
      <c r="V676">
        <v>2</v>
      </c>
      <c r="W676" t="s">
        <v>170</v>
      </c>
      <c r="X676" t="s">
        <v>881</v>
      </c>
      <c r="Y676" t="s">
        <v>153</v>
      </c>
      <c r="Z676" s="53" t="s">
        <v>882</v>
      </c>
      <c r="AA676"/>
      <c r="AB676"/>
      <c r="AC676"/>
      <c r="AD676"/>
      <c r="AE676">
        <v>1</v>
      </c>
      <c r="AF676"/>
      <c r="AG676" s="7">
        <v>1</v>
      </c>
      <c r="AU676" s="21">
        <v>1</v>
      </c>
      <c r="BD676" s="3">
        <v>1</v>
      </c>
      <c r="BG676" t="str">
        <f t="shared" si="11"/>
        <v>Interazionale &amp; Metatestuale</v>
      </c>
      <c r="BH676" s="3" t="str" cm="1">
        <f t="array" ref="BH676">IF(AE676=1, _xlfn.TEXTJOIN(" &amp; ", TRUE, _xlfn._xlws.FILTER($AG$2:$BC$2, AG676:BC676=1)), "")</f>
        <v>Presa di turno &amp; Esemplificazione</v>
      </c>
    </row>
    <row r="677" spans="1:60" x14ac:dyDescent="0.3">
      <c r="A677" t="s">
        <v>3943</v>
      </c>
      <c r="B677" t="s">
        <v>3944</v>
      </c>
      <c r="C677" t="s">
        <v>3945</v>
      </c>
      <c r="D677" t="s">
        <v>204</v>
      </c>
      <c r="E677" s="52" t="s">
        <v>3946</v>
      </c>
      <c r="F677">
        <v>889538</v>
      </c>
      <c r="G677">
        <v>894518</v>
      </c>
      <c r="H677" t="s">
        <v>3947</v>
      </c>
      <c r="I677" t="s">
        <v>3943</v>
      </c>
      <c r="J677" s="51">
        <v>4.7476851851851853E-2</v>
      </c>
      <c r="K677" t="s">
        <v>140</v>
      </c>
      <c r="L677" t="s">
        <v>3948</v>
      </c>
      <c r="M677" t="s">
        <v>3949</v>
      </c>
      <c r="N677" t="s">
        <v>143</v>
      </c>
      <c r="O677" t="s">
        <v>144</v>
      </c>
      <c r="P677" t="s">
        <v>165</v>
      </c>
      <c r="Q677" t="s">
        <v>146</v>
      </c>
      <c r="R677" t="s">
        <v>147</v>
      </c>
      <c r="S677" t="s">
        <v>148</v>
      </c>
      <c r="T677" t="s">
        <v>169</v>
      </c>
      <c r="U677" t="s">
        <v>151</v>
      </c>
      <c r="V677">
        <v>2</v>
      </c>
      <c r="W677" t="s">
        <v>150</v>
      </c>
      <c r="X677" t="s">
        <v>3950</v>
      </c>
      <c r="Y677" t="s">
        <v>153</v>
      </c>
      <c r="Z677" s="53" t="s">
        <v>3951</v>
      </c>
      <c r="AA677"/>
      <c r="AB677"/>
      <c r="AC677"/>
      <c r="AD677"/>
      <c r="AE677">
        <v>1</v>
      </c>
      <c r="AF677"/>
      <c r="AS677" s="21">
        <v>1</v>
      </c>
      <c r="BG677" t="str">
        <f t="shared" si="11"/>
        <v>Metatestuale</v>
      </c>
      <c r="BH677" s="3" t="str" cm="1">
        <f t="array" ref="BH677">IF(AE677=1, _xlfn.TEXTJOIN(" &amp; ", TRUE, _xlfn._xlws.FILTER($AG$2:$BC$2, AG677:BC677=1)), "")</f>
        <v>Riformulazione</v>
      </c>
    </row>
    <row r="678" spans="1:60" x14ac:dyDescent="0.3">
      <c r="A678" t="s">
        <v>3943</v>
      </c>
      <c r="B678" t="s">
        <v>3952</v>
      </c>
      <c r="C678" t="s">
        <v>3945</v>
      </c>
      <c r="D678" t="s">
        <v>204</v>
      </c>
      <c r="E678" s="52" t="s">
        <v>3953</v>
      </c>
      <c r="F678">
        <v>1374041</v>
      </c>
      <c r="G678">
        <v>1377433</v>
      </c>
      <c r="H678" t="s">
        <v>3954</v>
      </c>
      <c r="I678" t="s">
        <v>3943</v>
      </c>
      <c r="J678" s="51">
        <v>4.7476851851851853E-2</v>
      </c>
      <c r="K678" t="s">
        <v>140</v>
      </c>
      <c r="L678" t="s">
        <v>3948</v>
      </c>
      <c r="M678" t="s">
        <v>3949</v>
      </c>
      <c r="N678" t="s">
        <v>143</v>
      </c>
      <c r="O678" t="s">
        <v>144</v>
      </c>
      <c r="P678" t="s">
        <v>165</v>
      </c>
      <c r="Q678" t="s">
        <v>146</v>
      </c>
      <c r="R678" t="s">
        <v>147</v>
      </c>
      <c r="S678" t="s">
        <v>148</v>
      </c>
      <c r="T678" t="s">
        <v>373</v>
      </c>
      <c r="U678" t="s">
        <v>151</v>
      </c>
      <c r="V678">
        <v>2</v>
      </c>
      <c r="W678" t="s">
        <v>150</v>
      </c>
      <c r="X678" t="s">
        <v>3955</v>
      </c>
      <c r="Y678" t="s">
        <v>153</v>
      </c>
      <c r="Z678" s="53" t="s">
        <v>3956</v>
      </c>
      <c r="AA678"/>
      <c r="AB678"/>
      <c r="AC678"/>
      <c r="AD678"/>
      <c r="AE678">
        <v>1</v>
      </c>
      <c r="AF678"/>
      <c r="AM678" s="7">
        <v>1</v>
      </c>
      <c r="BG678" t="str">
        <f t="shared" si="11"/>
        <v>Interazionale</v>
      </c>
      <c r="BH678" s="3" t="str" cm="1">
        <f t="array" ref="BH678">IF(AE678=1, _xlfn.TEXTJOIN(" &amp; ", TRUE, _xlfn._xlws.FILTER($AG$2:$BC$2, AG678:BC678=1)), "")</f>
        <v>Marcatura della conoscenza condivisa</v>
      </c>
    </row>
    <row r="679" spans="1:60" x14ac:dyDescent="0.3">
      <c r="A679" t="s">
        <v>3943</v>
      </c>
      <c r="B679" t="s">
        <v>3957</v>
      </c>
      <c r="C679" t="s">
        <v>3945</v>
      </c>
      <c r="D679" t="s">
        <v>204</v>
      </c>
      <c r="E679" s="52" t="s">
        <v>3958</v>
      </c>
      <c r="F679">
        <v>1870527</v>
      </c>
      <c r="G679">
        <v>1878449</v>
      </c>
      <c r="H679" t="s">
        <v>3954</v>
      </c>
      <c r="I679" t="s">
        <v>3943</v>
      </c>
      <c r="J679" s="51">
        <v>4.7476851851851853E-2</v>
      </c>
      <c r="K679" t="s">
        <v>140</v>
      </c>
      <c r="L679" t="s">
        <v>3948</v>
      </c>
      <c r="M679" t="s">
        <v>3949</v>
      </c>
      <c r="N679" t="s">
        <v>143</v>
      </c>
      <c r="O679" t="s">
        <v>144</v>
      </c>
      <c r="P679" t="s">
        <v>165</v>
      </c>
      <c r="Q679" t="s">
        <v>146</v>
      </c>
      <c r="R679" t="s">
        <v>147</v>
      </c>
      <c r="S679" t="s">
        <v>148</v>
      </c>
      <c r="T679" t="s">
        <v>373</v>
      </c>
      <c r="U679" t="s">
        <v>151</v>
      </c>
      <c r="V679">
        <v>2</v>
      </c>
      <c r="W679" t="s">
        <v>150</v>
      </c>
      <c r="X679" t="s">
        <v>3959</v>
      </c>
      <c r="Y679" t="s">
        <v>153</v>
      </c>
      <c r="Z679" s="53" t="s">
        <v>3960</v>
      </c>
      <c r="AA679"/>
      <c r="AB679"/>
      <c r="AC679"/>
      <c r="AD679"/>
      <c r="AE679">
        <v>1</v>
      </c>
      <c r="AF679"/>
      <c r="AH679" s="8">
        <v>1</v>
      </c>
      <c r="AM679" s="7">
        <v>1</v>
      </c>
      <c r="BD679" s="3">
        <v>1</v>
      </c>
      <c r="BG679" t="str">
        <f t="shared" si="11"/>
        <v>Interazionale</v>
      </c>
      <c r="BH679" s="3" t="str" cm="1">
        <f t="array" ref="BH679">IF(AE679=1, _xlfn.TEXTJOIN(" &amp; ", TRUE, _xlfn._xlws.FILTER($AG$2:$BC$2, AG679:BC679=1)), "")</f>
        <v>Richiesta di accordo/conferma &amp; Marcatura della conoscenza condivisa</v>
      </c>
    </row>
    <row r="680" spans="1:60" x14ac:dyDescent="0.3">
      <c r="A680" t="s">
        <v>3943</v>
      </c>
      <c r="B680" t="s">
        <v>3961</v>
      </c>
      <c r="C680" t="s">
        <v>3945</v>
      </c>
      <c r="D680" t="s">
        <v>204</v>
      </c>
      <c r="E680" s="52" t="s">
        <v>3962</v>
      </c>
      <c r="F680">
        <v>2107849</v>
      </c>
      <c r="G680">
        <v>2113141</v>
      </c>
      <c r="H680" t="s">
        <v>3954</v>
      </c>
      <c r="I680" t="s">
        <v>3943</v>
      </c>
      <c r="J680" s="51">
        <v>4.7476851851851853E-2</v>
      </c>
      <c r="K680" t="s">
        <v>140</v>
      </c>
      <c r="L680" s="52" t="s">
        <v>3948</v>
      </c>
      <c r="M680" t="s">
        <v>3949</v>
      </c>
      <c r="N680" t="s">
        <v>143</v>
      </c>
      <c r="O680" t="s">
        <v>144</v>
      </c>
      <c r="P680" t="s">
        <v>165</v>
      </c>
      <c r="Q680" t="s">
        <v>146</v>
      </c>
      <c r="R680" t="s">
        <v>147</v>
      </c>
      <c r="S680" t="s">
        <v>148</v>
      </c>
      <c r="T680" t="s">
        <v>373</v>
      </c>
      <c r="U680" t="s">
        <v>151</v>
      </c>
      <c r="V680">
        <v>2</v>
      </c>
      <c r="W680" t="s">
        <v>150</v>
      </c>
      <c r="X680" t="s">
        <v>3963</v>
      </c>
      <c r="Y680" t="s">
        <v>153</v>
      </c>
      <c r="Z680" s="53" t="s">
        <v>3964</v>
      </c>
      <c r="AA680"/>
      <c r="AB680"/>
      <c r="AC680"/>
      <c r="AD680"/>
      <c r="AE680">
        <v>1</v>
      </c>
      <c r="AF680"/>
      <c r="AH680" s="8">
        <v>1</v>
      </c>
      <c r="AM680" s="7">
        <v>1</v>
      </c>
      <c r="BD680" s="3">
        <v>1</v>
      </c>
      <c r="BG680" t="str">
        <f t="shared" si="11"/>
        <v>Interazionale</v>
      </c>
      <c r="BH680" s="3" t="str" cm="1">
        <f t="array" ref="BH680">IF(AE680=1, _xlfn.TEXTJOIN(" &amp; ", TRUE, _xlfn._xlws.FILTER($AG$2:$BC$2, AG680:BC680=1)), "")</f>
        <v>Richiesta di accordo/conferma &amp; Marcatura della conoscenza condivisa</v>
      </c>
    </row>
    <row r="681" spans="1:60" x14ac:dyDescent="0.3">
      <c r="A681" t="s">
        <v>3943</v>
      </c>
      <c r="B681" t="s">
        <v>3965</v>
      </c>
      <c r="C681" t="s">
        <v>3945</v>
      </c>
      <c r="D681" t="s">
        <v>204</v>
      </c>
      <c r="E681" s="52" t="s">
        <v>3966</v>
      </c>
      <c r="F681">
        <v>2184089</v>
      </c>
      <c r="G681">
        <v>2188046</v>
      </c>
      <c r="H681" t="s">
        <v>3954</v>
      </c>
      <c r="I681" t="s">
        <v>3943</v>
      </c>
      <c r="J681" s="51">
        <v>4.7476851851851853E-2</v>
      </c>
      <c r="K681" t="s">
        <v>140</v>
      </c>
      <c r="L681" t="s">
        <v>3948</v>
      </c>
      <c r="M681" t="s">
        <v>3949</v>
      </c>
      <c r="N681" t="s">
        <v>143</v>
      </c>
      <c r="O681" t="s">
        <v>144</v>
      </c>
      <c r="P681" t="s">
        <v>165</v>
      </c>
      <c r="Q681" t="s">
        <v>146</v>
      </c>
      <c r="R681" t="s">
        <v>147</v>
      </c>
      <c r="S681" t="s">
        <v>148</v>
      </c>
      <c r="T681" t="s">
        <v>373</v>
      </c>
      <c r="U681" t="s">
        <v>151</v>
      </c>
      <c r="V681">
        <v>2</v>
      </c>
      <c r="W681" t="s">
        <v>150</v>
      </c>
      <c r="X681" t="s">
        <v>3967</v>
      </c>
      <c r="Y681" t="s">
        <v>153</v>
      </c>
      <c r="Z681" s="53" t="s">
        <v>3968</v>
      </c>
      <c r="AA681">
        <v>1</v>
      </c>
      <c r="AB681">
        <v>1</v>
      </c>
      <c r="AC681"/>
      <c r="AD681"/>
      <c r="AE681"/>
      <c r="AF681"/>
      <c r="BG681" t="str">
        <f t="shared" si="11"/>
        <v/>
      </c>
      <c r="BH681" s="3" t="str" cm="1">
        <f t="array" ref="BH681">IF(AE681=1, _xlfn.TEXTJOIN(" &amp; ", TRUE, _xlfn._xlws.FILTER($AG$2:$BC$2, AG681:BC681=1)), "")</f>
        <v/>
      </c>
    </row>
    <row r="682" spans="1:60" x14ac:dyDescent="0.3">
      <c r="A682" t="s">
        <v>3943</v>
      </c>
      <c r="B682" t="s">
        <v>3969</v>
      </c>
      <c r="C682" t="s">
        <v>3945</v>
      </c>
      <c r="D682" t="s">
        <v>204</v>
      </c>
      <c r="E682" s="52" t="s">
        <v>3970</v>
      </c>
      <c r="F682">
        <v>2364736</v>
      </c>
      <c r="G682">
        <v>2366697</v>
      </c>
      <c r="H682" t="s">
        <v>3954</v>
      </c>
      <c r="I682" t="s">
        <v>3943</v>
      </c>
      <c r="J682" s="51">
        <v>4.7476851851851853E-2</v>
      </c>
      <c r="K682" t="s">
        <v>140</v>
      </c>
      <c r="L682" t="s">
        <v>3948</v>
      </c>
      <c r="M682" t="s">
        <v>3949</v>
      </c>
      <c r="N682" t="s">
        <v>143</v>
      </c>
      <c r="O682" t="s">
        <v>144</v>
      </c>
      <c r="P682" t="s">
        <v>165</v>
      </c>
      <c r="Q682" t="s">
        <v>146</v>
      </c>
      <c r="R682" t="s">
        <v>147</v>
      </c>
      <c r="S682" t="s">
        <v>148</v>
      </c>
      <c r="T682" t="s">
        <v>373</v>
      </c>
      <c r="U682" t="s">
        <v>151</v>
      </c>
      <c r="V682">
        <v>2</v>
      </c>
      <c r="W682" t="s">
        <v>150</v>
      </c>
      <c r="X682" t="s">
        <v>3971</v>
      </c>
      <c r="Y682" t="s">
        <v>153</v>
      </c>
      <c r="Z682" s="53" t="s">
        <v>3972</v>
      </c>
      <c r="AA682"/>
      <c r="AB682"/>
      <c r="AC682"/>
      <c r="AD682"/>
      <c r="AE682">
        <v>1</v>
      </c>
      <c r="AF682"/>
      <c r="AH682" s="8">
        <v>1</v>
      </c>
      <c r="AM682" s="7">
        <v>1</v>
      </c>
      <c r="BD682" s="3">
        <v>1</v>
      </c>
      <c r="BG682" t="str">
        <f t="shared" si="11"/>
        <v>Interazionale</v>
      </c>
      <c r="BH682" s="3" t="str" cm="1">
        <f t="array" ref="BH682">IF(AE682=1, _xlfn.TEXTJOIN(" &amp; ", TRUE, _xlfn._xlws.FILTER($AG$2:$BC$2, AG682:BC682=1)), "")</f>
        <v>Richiesta di accordo/conferma &amp; Marcatura della conoscenza condivisa</v>
      </c>
    </row>
    <row r="683" spans="1:60" x14ac:dyDescent="0.3">
      <c r="A683" t="s">
        <v>3943</v>
      </c>
      <c r="B683" t="s">
        <v>3973</v>
      </c>
      <c r="C683" t="s">
        <v>3945</v>
      </c>
      <c r="D683" t="s">
        <v>204</v>
      </c>
      <c r="E683" s="52" t="s">
        <v>3974</v>
      </c>
      <c r="F683">
        <v>2544324</v>
      </c>
      <c r="G683">
        <v>2546962</v>
      </c>
      <c r="H683" t="s">
        <v>3947</v>
      </c>
      <c r="I683" t="s">
        <v>3943</v>
      </c>
      <c r="J683" s="51">
        <v>4.7476851851851853E-2</v>
      </c>
      <c r="K683" t="s">
        <v>140</v>
      </c>
      <c r="L683" t="s">
        <v>3948</v>
      </c>
      <c r="M683" t="s">
        <v>3949</v>
      </c>
      <c r="N683" t="s">
        <v>143</v>
      </c>
      <c r="O683" t="s">
        <v>144</v>
      </c>
      <c r="P683" t="s">
        <v>165</v>
      </c>
      <c r="Q683" t="s">
        <v>146</v>
      </c>
      <c r="R683" t="s">
        <v>147</v>
      </c>
      <c r="S683" t="s">
        <v>148</v>
      </c>
      <c r="T683" t="s">
        <v>169</v>
      </c>
      <c r="U683" t="s">
        <v>151</v>
      </c>
      <c r="V683">
        <v>2</v>
      </c>
      <c r="W683" t="s">
        <v>150</v>
      </c>
      <c r="X683" t="s">
        <v>3975</v>
      </c>
      <c r="Y683" t="s">
        <v>153</v>
      </c>
      <c r="Z683" s="53" t="s">
        <v>3976</v>
      </c>
      <c r="AA683">
        <v>1</v>
      </c>
      <c r="AB683"/>
      <c r="AC683">
        <v>1</v>
      </c>
      <c r="AD683"/>
      <c r="AE683"/>
      <c r="AF683"/>
      <c r="BG683" t="str">
        <f t="shared" si="11"/>
        <v/>
      </c>
      <c r="BH683" s="3" t="str" cm="1">
        <f t="array" ref="BH683">IF(AE683=1, _xlfn.TEXTJOIN(" &amp; ", TRUE, _xlfn._xlws.FILTER($AG$2:$BC$2, AG683:BC683=1)), "")</f>
        <v/>
      </c>
    </row>
    <row r="684" spans="1:60" x14ac:dyDescent="0.3">
      <c r="A684" t="s">
        <v>3943</v>
      </c>
      <c r="B684" t="s">
        <v>3977</v>
      </c>
      <c r="C684" t="s">
        <v>3945</v>
      </c>
      <c r="D684" t="s">
        <v>204</v>
      </c>
      <c r="E684" s="52" t="s">
        <v>3978</v>
      </c>
      <c r="F684">
        <v>2854636</v>
      </c>
      <c r="G684">
        <v>2858509</v>
      </c>
      <c r="H684" t="s">
        <v>3954</v>
      </c>
      <c r="I684" t="s">
        <v>3943</v>
      </c>
      <c r="J684" s="51">
        <v>4.7476851851851853E-2</v>
      </c>
      <c r="K684" t="s">
        <v>140</v>
      </c>
      <c r="L684" t="s">
        <v>3948</v>
      </c>
      <c r="M684" t="s">
        <v>3949</v>
      </c>
      <c r="N684" t="s">
        <v>143</v>
      </c>
      <c r="O684" t="s">
        <v>144</v>
      </c>
      <c r="P684" t="s">
        <v>165</v>
      </c>
      <c r="Q684" t="s">
        <v>146</v>
      </c>
      <c r="R684" t="s">
        <v>147</v>
      </c>
      <c r="S684" t="s">
        <v>148</v>
      </c>
      <c r="T684" t="s">
        <v>373</v>
      </c>
      <c r="U684" t="s">
        <v>151</v>
      </c>
      <c r="V684">
        <v>2</v>
      </c>
      <c r="W684" t="s">
        <v>150</v>
      </c>
      <c r="X684" t="s">
        <v>3979</v>
      </c>
      <c r="Y684" t="s">
        <v>153</v>
      </c>
      <c r="Z684" s="53" t="s">
        <v>3980</v>
      </c>
      <c r="AA684">
        <v>1</v>
      </c>
      <c r="AB684"/>
      <c r="AC684">
        <v>1</v>
      </c>
      <c r="AD684"/>
      <c r="AE684"/>
      <c r="AF684"/>
      <c r="BG684" t="str">
        <f t="shared" si="11"/>
        <v/>
      </c>
      <c r="BH684" s="3" t="str" cm="1">
        <f t="array" ref="BH684">IF(AE684=1, _xlfn.TEXTJOIN(" &amp; ", TRUE, _xlfn._xlws.FILTER($AG$2:$BC$2, AG684:BC684=1)), "")</f>
        <v/>
      </c>
    </row>
    <row r="685" spans="1:60" x14ac:dyDescent="0.3">
      <c r="A685" t="s">
        <v>3943</v>
      </c>
      <c r="B685" t="s">
        <v>3981</v>
      </c>
      <c r="C685" t="s">
        <v>3945</v>
      </c>
      <c r="D685" t="s">
        <v>204</v>
      </c>
      <c r="E685" s="52" t="s">
        <v>3982</v>
      </c>
      <c r="F685">
        <v>2960479</v>
      </c>
      <c r="G685">
        <v>2963674</v>
      </c>
      <c r="H685" t="s">
        <v>3954</v>
      </c>
      <c r="I685" t="s">
        <v>3943</v>
      </c>
      <c r="J685" s="51">
        <v>4.7476851851851853E-2</v>
      </c>
      <c r="K685" t="s">
        <v>140</v>
      </c>
      <c r="L685" t="s">
        <v>3948</v>
      </c>
      <c r="M685" t="s">
        <v>3949</v>
      </c>
      <c r="N685" t="s">
        <v>143</v>
      </c>
      <c r="O685" t="s">
        <v>144</v>
      </c>
      <c r="P685" t="s">
        <v>165</v>
      </c>
      <c r="Q685" t="s">
        <v>146</v>
      </c>
      <c r="R685" t="s">
        <v>147</v>
      </c>
      <c r="S685" t="s">
        <v>148</v>
      </c>
      <c r="T685" t="s">
        <v>373</v>
      </c>
      <c r="U685" t="s">
        <v>151</v>
      </c>
      <c r="V685">
        <v>2</v>
      </c>
      <c r="W685" t="s">
        <v>150</v>
      </c>
      <c r="X685" t="s">
        <v>3983</v>
      </c>
      <c r="Y685" t="s">
        <v>153</v>
      </c>
      <c r="Z685" s="53" t="s">
        <v>3984</v>
      </c>
      <c r="AA685"/>
      <c r="AB685"/>
      <c r="AC685"/>
      <c r="AD685"/>
      <c r="AE685">
        <v>1</v>
      </c>
      <c r="AF685"/>
      <c r="AH685" s="8">
        <v>1</v>
      </c>
      <c r="BG685" t="str">
        <f t="shared" si="11"/>
        <v>Interazionale</v>
      </c>
      <c r="BH685" s="3" t="str" cm="1">
        <f t="array" ref="BH685">IF(AE685=1, _xlfn.TEXTJOIN(" &amp; ", TRUE, _xlfn._xlws.FILTER($AG$2:$BC$2, AG685:BC685=1)), "")</f>
        <v>Richiesta di accordo/conferma</v>
      </c>
    </row>
    <row r="686" spans="1:60" x14ac:dyDescent="0.3">
      <c r="A686" t="s">
        <v>3943</v>
      </c>
      <c r="B686" t="s">
        <v>3985</v>
      </c>
      <c r="C686" t="s">
        <v>3945</v>
      </c>
      <c r="D686" t="s">
        <v>204</v>
      </c>
      <c r="E686" s="52" t="s">
        <v>3986</v>
      </c>
      <c r="F686">
        <v>3266993</v>
      </c>
      <c r="G686">
        <v>3278335</v>
      </c>
      <c r="H686" t="s">
        <v>3954</v>
      </c>
      <c r="I686" t="s">
        <v>3943</v>
      </c>
      <c r="J686" s="51">
        <v>4.7476851851851853E-2</v>
      </c>
      <c r="K686" t="s">
        <v>140</v>
      </c>
      <c r="L686" t="s">
        <v>3948</v>
      </c>
      <c r="M686" t="s">
        <v>3949</v>
      </c>
      <c r="N686" t="s">
        <v>143</v>
      </c>
      <c r="O686" t="s">
        <v>144</v>
      </c>
      <c r="P686" t="s">
        <v>165</v>
      </c>
      <c r="Q686" t="s">
        <v>146</v>
      </c>
      <c r="R686" t="s">
        <v>147</v>
      </c>
      <c r="S686" t="s">
        <v>148</v>
      </c>
      <c r="T686" t="s">
        <v>373</v>
      </c>
      <c r="U686" t="s">
        <v>151</v>
      </c>
      <c r="V686">
        <v>2</v>
      </c>
      <c r="W686" t="s">
        <v>150</v>
      </c>
      <c r="X686" t="s">
        <v>3987</v>
      </c>
      <c r="Y686" t="s">
        <v>153</v>
      </c>
      <c r="Z686" s="53" t="s">
        <v>3988</v>
      </c>
      <c r="AA686">
        <v>1</v>
      </c>
      <c r="AB686"/>
      <c r="AC686"/>
      <c r="AD686">
        <v>1</v>
      </c>
      <c r="AE686"/>
      <c r="AF686"/>
      <c r="BG686" t="str">
        <f t="shared" si="11"/>
        <v/>
      </c>
      <c r="BH686" s="3" t="str" cm="1">
        <f t="array" ref="BH686">IF(AE686=1, _xlfn.TEXTJOIN(" &amp; ", TRUE, _xlfn._xlws.FILTER($AG$2:$BC$2, AG686:BC686=1)), "")</f>
        <v/>
      </c>
    </row>
    <row r="687" spans="1:60" x14ac:dyDescent="0.3">
      <c r="A687" t="s">
        <v>3989</v>
      </c>
      <c r="B687" t="s">
        <v>3990</v>
      </c>
      <c r="C687" t="s">
        <v>3991</v>
      </c>
      <c r="D687">
        <v>2020</v>
      </c>
      <c r="E687" s="52" t="s">
        <v>3992</v>
      </c>
      <c r="F687">
        <v>8750</v>
      </c>
      <c r="G687">
        <v>11270</v>
      </c>
      <c r="H687" t="s">
        <v>3993</v>
      </c>
      <c r="I687" t="s">
        <v>3989</v>
      </c>
      <c r="J687" s="51">
        <v>1.6261574074074074E-2</v>
      </c>
      <c r="K687" t="s">
        <v>140</v>
      </c>
      <c r="L687" t="s">
        <v>3994</v>
      </c>
      <c r="M687" t="s">
        <v>3995</v>
      </c>
      <c r="N687" t="s">
        <v>381</v>
      </c>
      <c r="O687" t="s">
        <v>164</v>
      </c>
      <c r="P687" t="s">
        <v>747</v>
      </c>
      <c r="Q687" t="s">
        <v>699</v>
      </c>
      <c r="R687" t="s">
        <v>147</v>
      </c>
      <c r="S687" t="s">
        <v>148</v>
      </c>
      <c r="T687" t="s">
        <v>658</v>
      </c>
      <c r="U687" t="s">
        <v>171</v>
      </c>
      <c r="V687">
        <v>3</v>
      </c>
      <c r="W687" t="s">
        <v>269</v>
      </c>
      <c r="X687" t="s">
        <v>3996</v>
      </c>
      <c r="Y687" t="s">
        <v>153</v>
      </c>
      <c r="Z687" s="53" t="s">
        <v>3997</v>
      </c>
      <c r="AA687">
        <v>1</v>
      </c>
      <c r="AB687"/>
      <c r="AC687"/>
      <c r="AD687">
        <v>1</v>
      </c>
      <c r="AE687"/>
      <c r="AF687"/>
      <c r="BG687" t="str">
        <f t="shared" si="11"/>
        <v/>
      </c>
      <c r="BH687" s="3" t="str" cm="1">
        <f t="array" ref="BH687">IF(AE687=1, _xlfn.TEXTJOIN(" &amp; ", TRUE, _xlfn._xlws.FILTER($AG$2:$BC$2, AG687:BC687=1)), "")</f>
        <v/>
      </c>
    </row>
    <row r="688" spans="1:60" x14ac:dyDescent="0.3">
      <c r="A688" t="s">
        <v>3998</v>
      </c>
      <c r="B688" t="s">
        <v>3999</v>
      </c>
      <c r="C688" t="s">
        <v>4000</v>
      </c>
      <c r="D688" t="s">
        <v>204</v>
      </c>
      <c r="E688" s="52" t="s">
        <v>4001</v>
      </c>
      <c r="F688">
        <v>461699</v>
      </c>
      <c r="G688">
        <v>464939</v>
      </c>
      <c r="H688" t="s">
        <v>4002</v>
      </c>
      <c r="I688" t="s">
        <v>3998</v>
      </c>
      <c r="J688" s="51">
        <v>2.224537037037037E-2</v>
      </c>
      <c r="K688" t="s">
        <v>160</v>
      </c>
      <c r="L688" t="s">
        <v>4003</v>
      </c>
      <c r="M688" t="s">
        <v>4004</v>
      </c>
      <c r="N688" t="s">
        <v>143</v>
      </c>
      <c r="O688" t="s">
        <v>144</v>
      </c>
      <c r="P688" t="s">
        <v>165</v>
      </c>
      <c r="Q688" t="s">
        <v>146</v>
      </c>
      <c r="R688" t="s">
        <v>167</v>
      </c>
      <c r="S688" t="s">
        <v>148</v>
      </c>
      <c r="T688" t="s">
        <v>714</v>
      </c>
      <c r="U688" t="s">
        <v>151</v>
      </c>
      <c r="V688">
        <v>2</v>
      </c>
      <c r="W688" t="s">
        <v>170</v>
      </c>
      <c r="X688" t="s">
        <v>4005</v>
      </c>
      <c r="Y688" t="s">
        <v>153</v>
      </c>
      <c r="Z688" s="53" t="s">
        <v>4006</v>
      </c>
      <c r="AA688"/>
      <c r="AB688"/>
      <c r="AC688"/>
      <c r="AD688"/>
      <c r="AE688">
        <v>1</v>
      </c>
      <c r="AF688"/>
      <c r="AH688" s="8">
        <v>1</v>
      </c>
      <c r="AM688" s="7">
        <v>1</v>
      </c>
      <c r="BD688" s="3">
        <v>1</v>
      </c>
      <c r="BG688" t="str">
        <f t="shared" si="11"/>
        <v>Interazionale</v>
      </c>
      <c r="BH688" s="3" t="str" cm="1">
        <f t="array" ref="BH688">IF(AE688=1, _xlfn.TEXTJOIN(" &amp; ", TRUE, _xlfn._xlws.FILTER($AG$2:$BC$2, AG688:BC688=1)), "")</f>
        <v>Richiesta di accordo/conferma &amp; Marcatura della conoscenza condivisa</v>
      </c>
    </row>
    <row r="689" spans="1:60" x14ac:dyDescent="0.3">
      <c r="A689" t="s">
        <v>3998</v>
      </c>
      <c r="B689" t="s">
        <v>4007</v>
      </c>
      <c r="C689" t="s">
        <v>4000</v>
      </c>
      <c r="D689" t="s">
        <v>204</v>
      </c>
      <c r="E689" s="52" t="s">
        <v>4008</v>
      </c>
      <c r="F689">
        <v>1131774</v>
      </c>
      <c r="G689">
        <v>1135766</v>
      </c>
      <c r="H689" t="s">
        <v>4009</v>
      </c>
      <c r="I689" t="s">
        <v>3998</v>
      </c>
      <c r="J689" s="51">
        <v>2.224537037037037E-2</v>
      </c>
      <c r="K689" t="s">
        <v>160</v>
      </c>
      <c r="L689" t="s">
        <v>4003</v>
      </c>
      <c r="M689" t="s">
        <v>4004</v>
      </c>
      <c r="N689" t="s">
        <v>143</v>
      </c>
      <c r="O689" t="s">
        <v>164</v>
      </c>
      <c r="P689" t="s">
        <v>165</v>
      </c>
      <c r="Q689" t="s">
        <v>146</v>
      </c>
      <c r="R689" t="s">
        <v>167</v>
      </c>
      <c r="S689" t="s">
        <v>148</v>
      </c>
      <c r="T689" t="s">
        <v>714</v>
      </c>
      <c r="U689" t="s">
        <v>151</v>
      </c>
      <c r="V689">
        <v>2</v>
      </c>
      <c r="W689" t="s">
        <v>170</v>
      </c>
      <c r="X689" t="s">
        <v>4010</v>
      </c>
      <c r="Y689" t="s">
        <v>153</v>
      </c>
      <c r="Z689" s="53" t="s">
        <v>4011</v>
      </c>
      <c r="AA689">
        <v>1</v>
      </c>
      <c r="AB689">
        <v>1</v>
      </c>
      <c r="AC689"/>
      <c r="AD689"/>
      <c r="AE689"/>
      <c r="AF689"/>
      <c r="BG689" t="str">
        <f t="shared" si="11"/>
        <v/>
      </c>
      <c r="BH689" s="3" t="str" cm="1">
        <f t="array" ref="BH689">IF(AE689=1, _xlfn.TEXTJOIN(" &amp; ", TRUE, _xlfn._xlws.FILTER($AG$2:$BC$2, AG689:BC689=1)), "")</f>
        <v/>
      </c>
    </row>
    <row r="690" spans="1:60" x14ac:dyDescent="0.3">
      <c r="A690" t="s">
        <v>3998</v>
      </c>
      <c r="B690" t="s">
        <v>4012</v>
      </c>
      <c r="C690" t="s">
        <v>4000</v>
      </c>
      <c r="D690" t="s">
        <v>204</v>
      </c>
      <c r="E690" s="52" t="s">
        <v>4013</v>
      </c>
      <c r="F690">
        <v>1733931</v>
      </c>
      <c r="G690">
        <v>1737500</v>
      </c>
      <c r="H690" t="s">
        <v>4002</v>
      </c>
      <c r="I690" t="s">
        <v>3998</v>
      </c>
      <c r="J690" s="51">
        <v>2.224537037037037E-2</v>
      </c>
      <c r="K690" t="s">
        <v>160</v>
      </c>
      <c r="L690" t="s">
        <v>4003</v>
      </c>
      <c r="M690" t="s">
        <v>4004</v>
      </c>
      <c r="N690" t="s">
        <v>143</v>
      </c>
      <c r="O690" t="s">
        <v>144</v>
      </c>
      <c r="P690" t="s">
        <v>165</v>
      </c>
      <c r="Q690" t="s">
        <v>146</v>
      </c>
      <c r="R690" t="s">
        <v>167</v>
      </c>
      <c r="S690" t="s">
        <v>148</v>
      </c>
      <c r="T690" t="s">
        <v>714</v>
      </c>
      <c r="U690" t="s">
        <v>151</v>
      </c>
      <c r="V690">
        <v>2</v>
      </c>
      <c r="W690" t="s">
        <v>170</v>
      </c>
      <c r="X690" t="s">
        <v>4014</v>
      </c>
      <c r="Y690" t="s">
        <v>153</v>
      </c>
      <c r="Z690" s="53" t="s">
        <v>4015</v>
      </c>
      <c r="AA690">
        <v>1</v>
      </c>
      <c r="AB690">
        <v>1</v>
      </c>
      <c r="AC690"/>
      <c r="AD690"/>
      <c r="AE690"/>
      <c r="AF690"/>
      <c r="BG690" t="str">
        <f t="shared" si="11"/>
        <v/>
      </c>
      <c r="BH690" s="3" t="str" cm="1">
        <f t="array" ref="BH690">IF(AE690=1, _xlfn.TEXTJOIN(" &amp; ", TRUE, _xlfn._xlws.FILTER($AG$2:$BC$2, AG690:BC690=1)), "")</f>
        <v/>
      </c>
    </row>
    <row r="691" spans="1:60" x14ac:dyDescent="0.3">
      <c r="A691" t="s">
        <v>3998</v>
      </c>
      <c r="B691" t="s">
        <v>4016</v>
      </c>
      <c r="C691" t="s">
        <v>4000</v>
      </c>
      <c r="D691" t="s">
        <v>204</v>
      </c>
      <c r="E691" s="52" t="s">
        <v>4017</v>
      </c>
      <c r="F691">
        <v>1919552</v>
      </c>
      <c r="G691">
        <v>1926330</v>
      </c>
      <c r="H691" t="s">
        <v>4009</v>
      </c>
      <c r="I691" t="s">
        <v>3998</v>
      </c>
      <c r="J691" s="51">
        <v>2.224537037037037E-2</v>
      </c>
      <c r="K691" t="s">
        <v>160</v>
      </c>
      <c r="L691" t="s">
        <v>4003</v>
      </c>
      <c r="M691" t="s">
        <v>4004</v>
      </c>
      <c r="N691" t="s">
        <v>143</v>
      </c>
      <c r="O691" t="s">
        <v>164</v>
      </c>
      <c r="P691" t="s">
        <v>165</v>
      </c>
      <c r="Q691" t="s">
        <v>146</v>
      </c>
      <c r="R691" t="s">
        <v>167</v>
      </c>
      <c r="S691" t="s">
        <v>148</v>
      </c>
      <c r="T691" t="s">
        <v>714</v>
      </c>
      <c r="U691" t="s">
        <v>151</v>
      </c>
      <c r="V691">
        <v>2</v>
      </c>
      <c r="W691" t="s">
        <v>170</v>
      </c>
      <c r="X691" t="s">
        <v>4018</v>
      </c>
      <c r="Y691" t="s">
        <v>153</v>
      </c>
      <c r="Z691" s="53" t="s">
        <v>4019</v>
      </c>
      <c r="AA691">
        <v>1</v>
      </c>
      <c r="AB691"/>
      <c r="AC691">
        <v>1</v>
      </c>
      <c r="AD691"/>
      <c r="AE691"/>
      <c r="AF691"/>
      <c r="BG691" t="str">
        <f t="shared" si="11"/>
        <v/>
      </c>
      <c r="BH691" s="3" t="str" cm="1">
        <f t="array" ref="BH691">IF(AE691=1, _xlfn.TEXTJOIN(" &amp; ", TRUE, _xlfn._xlws.FILTER($AG$2:$BC$2, AG691:BC691=1)), "")</f>
        <v/>
      </c>
    </row>
    <row r="692" spans="1:60" x14ac:dyDescent="0.3">
      <c r="A692" t="s">
        <v>883</v>
      </c>
      <c r="B692" t="s">
        <v>4020</v>
      </c>
      <c r="C692" t="s">
        <v>884</v>
      </c>
      <c r="D692">
        <v>2020</v>
      </c>
      <c r="E692" s="52" t="s">
        <v>4021</v>
      </c>
      <c r="F692">
        <v>181548</v>
      </c>
      <c r="G692">
        <v>182919</v>
      </c>
      <c r="H692" t="s">
        <v>889</v>
      </c>
      <c r="I692" t="s">
        <v>883</v>
      </c>
      <c r="J692" s="51">
        <v>2.375E-2</v>
      </c>
      <c r="K692" t="s">
        <v>140</v>
      </c>
      <c r="L692" t="s">
        <v>885</v>
      </c>
      <c r="M692" t="s">
        <v>886</v>
      </c>
      <c r="N692" t="s">
        <v>143</v>
      </c>
      <c r="O692" t="s">
        <v>144</v>
      </c>
      <c r="P692" t="s">
        <v>633</v>
      </c>
      <c r="Q692" t="s">
        <v>146</v>
      </c>
      <c r="R692" t="s">
        <v>147</v>
      </c>
      <c r="S692" t="s">
        <v>148</v>
      </c>
      <c r="T692" t="s">
        <v>268</v>
      </c>
      <c r="U692" t="s">
        <v>151</v>
      </c>
      <c r="V692">
        <v>5</v>
      </c>
      <c r="W692" t="s">
        <v>269</v>
      </c>
      <c r="X692" t="s">
        <v>4022</v>
      </c>
      <c r="Y692" t="s">
        <v>153</v>
      </c>
      <c r="Z692" s="53" t="s">
        <v>4023</v>
      </c>
      <c r="AA692">
        <v>1</v>
      </c>
      <c r="AB692">
        <v>1</v>
      </c>
      <c r="AC692"/>
      <c r="AD692"/>
      <c r="AE692"/>
      <c r="AF692"/>
      <c r="BG692" t="str">
        <f t="shared" si="11"/>
        <v/>
      </c>
      <c r="BH692" s="3" t="str" cm="1">
        <f t="array" ref="BH692">IF(AE692=1, _xlfn.TEXTJOIN(" &amp; ", TRUE, _xlfn._xlws.FILTER($AG$2:$BC$2, AG692:BC692=1)), "")</f>
        <v/>
      </c>
    </row>
    <row r="693" spans="1:60" x14ac:dyDescent="0.3">
      <c r="A693" t="s">
        <v>883</v>
      </c>
      <c r="B693" t="s">
        <v>4024</v>
      </c>
      <c r="C693" t="s">
        <v>884</v>
      </c>
      <c r="D693">
        <v>2020</v>
      </c>
      <c r="E693" s="52" t="s">
        <v>4025</v>
      </c>
      <c r="F693">
        <v>993883</v>
      </c>
      <c r="G693">
        <v>996281</v>
      </c>
      <c r="H693" t="s">
        <v>630</v>
      </c>
      <c r="I693" t="s">
        <v>883</v>
      </c>
      <c r="J693" s="51">
        <v>2.375E-2</v>
      </c>
      <c r="K693" t="s">
        <v>140</v>
      </c>
      <c r="L693" t="s">
        <v>885</v>
      </c>
      <c r="M693" t="s">
        <v>886</v>
      </c>
      <c r="N693" t="s">
        <v>163</v>
      </c>
      <c r="O693" t="s">
        <v>144</v>
      </c>
      <c r="P693" t="s">
        <v>633</v>
      </c>
      <c r="Q693" t="s">
        <v>228</v>
      </c>
      <c r="R693" t="s">
        <v>147</v>
      </c>
      <c r="S693" t="s">
        <v>148</v>
      </c>
      <c r="T693" t="s">
        <v>180</v>
      </c>
      <c r="U693" t="s">
        <v>171</v>
      </c>
      <c r="V693">
        <v>5</v>
      </c>
      <c r="W693" t="s">
        <v>269</v>
      </c>
      <c r="X693" t="s">
        <v>4026</v>
      </c>
      <c r="Y693" t="s">
        <v>153</v>
      </c>
      <c r="Z693" s="53" t="s">
        <v>4027</v>
      </c>
      <c r="AA693">
        <v>1</v>
      </c>
      <c r="AB693"/>
      <c r="AC693">
        <v>1</v>
      </c>
      <c r="AD693"/>
      <c r="AE693"/>
      <c r="AF693"/>
      <c r="BG693" t="str">
        <f t="shared" si="11"/>
        <v/>
      </c>
      <c r="BH693" s="3" t="str" cm="1">
        <f t="array" ref="BH693">IF(AE693=1, _xlfn.TEXTJOIN(" &amp; ", TRUE, _xlfn._xlws.FILTER($AG$2:$BC$2, AG693:BC693=1)), "")</f>
        <v/>
      </c>
    </row>
    <row r="694" spans="1:60" x14ac:dyDescent="0.3">
      <c r="A694" t="s">
        <v>883</v>
      </c>
      <c r="B694" t="s">
        <v>4028</v>
      </c>
      <c r="C694" t="s">
        <v>884</v>
      </c>
      <c r="D694">
        <v>2020</v>
      </c>
      <c r="E694" s="52" t="s">
        <v>4029</v>
      </c>
      <c r="F694">
        <v>1763064</v>
      </c>
      <c r="G694">
        <v>1764116</v>
      </c>
      <c r="H694" t="s">
        <v>889</v>
      </c>
      <c r="I694" t="s">
        <v>883</v>
      </c>
      <c r="J694" s="51">
        <v>2.375E-2</v>
      </c>
      <c r="K694" t="s">
        <v>140</v>
      </c>
      <c r="L694" t="s">
        <v>885</v>
      </c>
      <c r="M694" t="s">
        <v>886</v>
      </c>
      <c r="N694" t="s">
        <v>143</v>
      </c>
      <c r="O694" t="s">
        <v>144</v>
      </c>
      <c r="P694" t="s">
        <v>633</v>
      </c>
      <c r="Q694" t="s">
        <v>146</v>
      </c>
      <c r="R694" t="s">
        <v>147</v>
      </c>
      <c r="S694" t="s">
        <v>148</v>
      </c>
      <c r="T694" t="s">
        <v>268</v>
      </c>
      <c r="U694" t="s">
        <v>151</v>
      </c>
      <c r="V694">
        <v>5</v>
      </c>
      <c r="W694" t="s">
        <v>269</v>
      </c>
      <c r="X694" t="s">
        <v>4030</v>
      </c>
      <c r="Y694" t="s">
        <v>153</v>
      </c>
      <c r="Z694" s="53" t="s">
        <v>4031</v>
      </c>
      <c r="AA694">
        <v>1</v>
      </c>
      <c r="AB694"/>
      <c r="AC694">
        <v>1</v>
      </c>
      <c r="AD694"/>
      <c r="AE694"/>
      <c r="AF694"/>
      <c r="BG694" t="str">
        <f t="shared" si="11"/>
        <v/>
      </c>
      <c r="BH694" s="3" t="str" cm="1">
        <f t="array" ref="BH694">IF(AE694=1, _xlfn.TEXTJOIN(" &amp; ", TRUE, _xlfn._xlws.FILTER($AG$2:$BC$2, AG694:BC694=1)), "")</f>
        <v/>
      </c>
    </row>
    <row r="695" spans="1:60" x14ac:dyDescent="0.3">
      <c r="A695" t="s">
        <v>883</v>
      </c>
      <c r="B695" t="s">
        <v>887</v>
      </c>
      <c r="C695" t="s">
        <v>884</v>
      </c>
      <c r="D695">
        <v>2020</v>
      </c>
      <c r="E695" s="52" t="s">
        <v>888</v>
      </c>
      <c r="F695">
        <v>1768004</v>
      </c>
      <c r="G695">
        <v>1768891</v>
      </c>
      <c r="H695" t="s">
        <v>889</v>
      </c>
      <c r="I695" t="s">
        <v>883</v>
      </c>
      <c r="J695" s="51">
        <v>2.375E-2</v>
      </c>
      <c r="K695" t="s">
        <v>140</v>
      </c>
      <c r="L695" t="s">
        <v>885</v>
      </c>
      <c r="M695" t="s">
        <v>886</v>
      </c>
      <c r="N695" t="s">
        <v>143</v>
      </c>
      <c r="O695" t="s">
        <v>144</v>
      </c>
      <c r="P695" t="s">
        <v>633</v>
      </c>
      <c r="Q695" t="s">
        <v>146</v>
      </c>
      <c r="R695" t="s">
        <v>147</v>
      </c>
      <c r="S695" t="s">
        <v>148</v>
      </c>
      <c r="T695" t="s">
        <v>268</v>
      </c>
      <c r="U695" t="s">
        <v>151</v>
      </c>
      <c r="V695">
        <v>5</v>
      </c>
      <c r="W695" t="s">
        <v>269</v>
      </c>
      <c r="X695" t="s">
        <v>890</v>
      </c>
      <c r="Y695" t="s">
        <v>153</v>
      </c>
      <c r="Z695" s="53" t="s">
        <v>891</v>
      </c>
      <c r="AA695">
        <v>1</v>
      </c>
      <c r="AB695"/>
      <c r="AC695">
        <v>1</v>
      </c>
      <c r="AD695"/>
      <c r="AE695"/>
      <c r="AF695"/>
      <c r="BG695" t="str">
        <f t="shared" si="11"/>
        <v/>
      </c>
      <c r="BH695" s="3" t="str" cm="1">
        <f t="array" ref="BH695">IF(AE695=1, _xlfn.TEXTJOIN(" &amp; ", TRUE, _xlfn._xlws.FILTER($AG$2:$BC$2, AG695:BC695=1)), "")</f>
        <v/>
      </c>
    </row>
    <row r="696" spans="1:60" x14ac:dyDescent="0.3">
      <c r="A696" t="s">
        <v>892</v>
      </c>
      <c r="B696" t="s">
        <v>4032</v>
      </c>
      <c r="C696" t="s">
        <v>893</v>
      </c>
      <c r="D696">
        <v>2021</v>
      </c>
      <c r="E696" s="52" t="s">
        <v>4033</v>
      </c>
      <c r="F696">
        <v>702412</v>
      </c>
      <c r="G696">
        <v>706182</v>
      </c>
      <c r="H696" t="s">
        <v>4034</v>
      </c>
      <c r="I696" t="s">
        <v>892</v>
      </c>
      <c r="J696" s="51">
        <v>3.2500000000000001E-2</v>
      </c>
      <c r="K696" t="s">
        <v>160</v>
      </c>
      <c r="L696" t="s">
        <v>895</v>
      </c>
      <c r="M696" t="s">
        <v>896</v>
      </c>
      <c r="N696" t="s">
        <v>381</v>
      </c>
      <c r="O696" t="s">
        <v>164</v>
      </c>
      <c r="P696" t="s">
        <v>165</v>
      </c>
      <c r="Q696" t="s">
        <v>699</v>
      </c>
      <c r="R696" t="s">
        <v>167</v>
      </c>
      <c r="S696" t="s">
        <v>168</v>
      </c>
      <c r="T696" t="s">
        <v>169</v>
      </c>
      <c r="U696" t="s">
        <v>171</v>
      </c>
      <c r="V696">
        <v>3</v>
      </c>
      <c r="W696" t="s">
        <v>170</v>
      </c>
      <c r="X696" t="s">
        <v>4035</v>
      </c>
      <c r="Y696" t="s">
        <v>153</v>
      </c>
      <c r="Z696" s="53" t="s">
        <v>4036</v>
      </c>
      <c r="AA696">
        <v>1</v>
      </c>
      <c r="AB696">
        <v>1</v>
      </c>
      <c r="AC696"/>
      <c r="AD696"/>
      <c r="AE696"/>
      <c r="AF696"/>
      <c r="BG696" t="str">
        <f t="shared" si="11"/>
        <v/>
      </c>
      <c r="BH696" s="3" t="str" cm="1">
        <f t="array" ref="BH696">IF(AE696=1, _xlfn.TEXTJOIN(" &amp; ", TRUE, _xlfn._xlws.FILTER($AG$2:$BC$2, AG696:BC696=1)), "")</f>
        <v/>
      </c>
    </row>
    <row r="697" spans="1:60" x14ac:dyDescent="0.3">
      <c r="A697" t="s">
        <v>892</v>
      </c>
      <c r="B697" t="s">
        <v>4037</v>
      </c>
      <c r="C697" t="s">
        <v>893</v>
      </c>
      <c r="D697">
        <v>2021</v>
      </c>
      <c r="E697" s="52" t="s">
        <v>4038</v>
      </c>
      <c r="F697">
        <v>1252970</v>
      </c>
      <c r="G697">
        <v>1258305</v>
      </c>
      <c r="H697" t="s">
        <v>894</v>
      </c>
      <c r="I697" t="s">
        <v>892</v>
      </c>
      <c r="J697" s="51">
        <v>3.2500000000000001E-2</v>
      </c>
      <c r="K697" t="s">
        <v>160</v>
      </c>
      <c r="L697" t="s">
        <v>895</v>
      </c>
      <c r="M697" t="s">
        <v>896</v>
      </c>
      <c r="N697" t="s">
        <v>381</v>
      </c>
      <c r="O697" t="s">
        <v>144</v>
      </c>
      <c r="P697" t="s">
        <v>165</v>
      </c>
      <c r="Q697" t="s">
        <v>699</v>
      </c>
      <c r="R697" t="s">
        <v>167</v>
      </c>
      <c r="S697" t="s">
        <v>168</v>
      </c>
      <c r="T697" t="s">
        <v>169</v>
      </c>
      <c r="U697" t="s">
        <v>171</v>
      </c>
      <c r="V697">
        <v>3</v>
      </c>
      <c r="W697" t="s">
        <v>170</v>
      </c>
      <c r="X697" t="s">
        <v>4039</v>
      </c>
      <c r="Y697" t="s">
        <v>153</v>
      </c>
      <c r="Z697" s="53" t="s">
        <v>4040</v>
      </c>
      <c r="AA697"/>
      <c r="AB697"/>
      <c r="AC697"/>
      <c r="AD697"/>
      <c r="AE697">
        <v>1</v>
      </c>
      <c r="AF697"/>
      <c r="AM697" s="7">
        <v>1</v>
      </c>
      <c r="AU697" s="21">
        <v>1</v>
      </c>
      <c r="BD697" s="3">
        <v>1</v>
      </c>
      <c r="BG697" t="str">
        <f t="shared" si="11"/>
        <v>Interazionale &amp; Metatestuale</v>
      </c>
      <c r="BH697" s="3" t="str" cm="1">
        <f t="array" ref="BH697">IF(AE697=1, _xlfn.TEXTJOIN(" &amp; ", TRUE, _xlfn._xlws.FILTER($AG$2:$BC$2, AG697:BC697=1)), "")</f>
        <v>Marcatura della conoscenza condivisa &amp; Esemplificazione</v>
      </c>
    </row>
    <row r="698" spans="1:60" x14ac:dyDescent="0.3">
      <c r="A698" t="s">
        <v>892</v>
      </c>
      <c r="B698" t="s">
        <v>4041</v>
      </c>
      <c r="C698" t="s">
        <v>893</v>
      </c>
      <c r="D698">
        <v>2021</v>
      </c>
      <c r="E698" s="52" t="s">
        <v>4042</v>
      </c>
      <c r="F698">
        <v>1369560</v>
      </c>
      <c r="G698">
        <v>1370083</v>
      </c>
      <c r="H698" t="s">
        <v>894</v>
      </c>
      <c r="I698" t="s">
        <v>892</v>
      </c>
      <c r="J698" s="51">
        <v>3.2500000000000001E-2</v>
      </c>
      <c r="K698" t="s">
        <v>160</v>
      </c>
      <c r="L698" t="s">
        <v>895</v>
      </c>
      <c r="M698" t="s">
        <v>896</v>
      </c>
      <c r="N698" t="s">
        <v>381</v>
      </c>
      <c r="O698" t="s">
        <v>144</v>
      </c>
      <c r="P698" t="s">
        <v>165</v>
      </c>
      <c r="Q698" t="s">
        <v>699</v>
      </c>
      <c r="R698" t="s">
        <v>167</v>
      </c>
      <c r="S698" t="s">
        <v>168</v>
      </c>
      <c r="T698" t="s">
        <v>169</v>
      </c>
      <c r="U698" t="s">
        <v>171</v>
      </c>
      <c r="V698">
        <v>3</v>
      </c>
      <c r="W698" t="s">
        <v>170</v>
      </c>
      <c r="X698" t="s">
        <v>4043</v>
      </c>
      <c r="Y698" t="s">
        <v>153</v>
      </c>
      <c r="Z698" s="53" t="s">
        <v>4044</v>
      </c>
      <c r="AA698">
        <v>1</v>
      </c>
      <c r="AB698"/>
      <c r="AC698">
        <v>1</v>
      </c>
      <c r="AD698"/>
      <c r="AE698"/>
      <c r="AF698"/>
      <c r="BG698" t="str">
        <f t="shared" si="11"/>
        <v/>
      </c>
      <c r="BH698" s="3" t="str" cm="1">
        <f t="array" ref="BH698">IF(AE698=1, _xlfn.TEXTJOIN(" &amp; ", TRUE, _xlfn._xlws.FILTER($AG$2:$BC$2, AG698:BC698=1)), "")</f>
        <v/>
      </c>
    </row>
    <row r="699" spans="1:60" x14ac:dyDescent="0.3">
      <c r="A699" t="s">
        <v>892</v>
      </c>
      <c r="B699" t="s">
        <v>4045</v>
      </c>
      <c r="C699" t="s">
        <v>893</v>
      </c>
      <c r="D699">
        <v>2021</v>
      </c>
      <c r="E699" s="52" t="s">
        <v>4046</v>
      </c>
      <c r="F699">
        <v>1385670</v>
      </c>
      <c r="G699">
        <v>1388257</v>
      </c>
      <c r="H699" t="s">
        <v>894</v>
      </c>
      <c r="I699" t="s">
        <v>892</v>
      </c>
      <c r="J699" s="51">
        <v>3.2500000000000001E-2</v>
      </c>
      <c r="K699" t="s">
        <v>160</v>
      </c>
      <c r="L699" t="s">
        <v>895</v>
      </c>
      <c r="M699" t="s">
        <v>896</v>
      </c>
      <c r="N699" t="s">
        <v>381</v>
      </c>
      <c r="O699" t="s">
        <v>144</v>
      </c>
      <c r="P699" t="s">
        <v>165</v>
      </c>
      <c r="Q699" t="s">
        <v>699</v>
      </c>
      <c r="R699" t="s">
        <v>167</v>
      </c>
      <c r="S699" t="s">
        <v>168</v>
      </c>
      <c r="T699" t="s">
        <v>169</v>
      </c>
      <c r="U699" t="s">
        <v>171</v>
      </c>
      <c r="V699">
        <v>3</v>
      </c>
      <c r="W699" t="s">
        <v>170</v>
      </c>
      <c r="X699" t="s">
        <v>4047</v>
      </c>
      <c r="Y699" t="s">
        <v>153</v>
      </c>
      <c r="Z699" s="53" t="s">
        <v>4048</v>
      </c>
      <c r="AA699"/>
      <c r="AB699"/>
      <c r="AC699"/>
      <c r="AD699"/>
      <c r="AE699"/>
      <c r="AF699"/>
      <c r="BF699" s="3" t="s">
        <v>4521</v>
      </c>
      <c r="BG699" t="str">
        <f t="shared" si="11"/>
        <v/>
      </c>
      <c r="BH699" s="3" t="str" cm="1">
        <f t="array" ref="BH699">IF(AE699=1, _xlfn.TEXTJOIN(" &amp; ", TRUE, _xlfn._xlws.FILTER($AG$2:$BC$2, AG699:BC699=1)), "")</f>
        <v/>
      </c>
    </row>
    <row r="700" spans="1:60" x14ac:dyDescent="0.3">
      <c r="A700" t="s">
        <v>892</v>
      </c>
      <c r="B700" t="s">
        <v>897</v>
      </c>
      <c r="C700" t="s">
        <v>893</v>
      </c>
      <c r="D700">
        <v>2021</v>
      </c>
      <c r="E700" s="52" t="s">
        <v>898</v>
      </c>
      <c r="F700">
        <v>1489578</v>
      </c>
      <c r="G700">
        <v>1495367</v>
      </c>
      <c r="H700" t="s">
        <v>894</v>
      </c>
      <c r="I700" t="s">
        <v>892</v>
      </c>
      <c r="J700" s="51">
        <v>3.2500000000000001E-2</v>
      </c>
      <c r="K700" t="s">
        <v>160</v>
      </c>
      <c r="L700" t="s">
        <v>895</v>
      </c>
      <c r="M700" t="s">
        <v>896</v>
      </c>
      <c r="N700" t="s">
        <v>381</v>
      </c>
      <c r="O700" t="s">
        <v>144</v>
      </c>
      <c r="P700" t="s">
        <v>165</v>
      </c>
      <c r="Q700" t="s">
        <v>699</v>
      </c>
      <c r="R700" t="s">
        <v>167</v>
      </c>
      <c r="S700" t="s">
        <v>168</v>
      </c>
      <c r="T700" t="s">
        <v>169</v>
      </c>
      <c r="U700" t="s">
        <v>171</v>
      </c>
      <c r="V700">
        <v>3</v>
      </c>
      <c r="W700" t="s">
        <v>170</v>
      </c>
      <c r="X700" t="s">
        <v>899</v>
      </c>
      <c r="Y700" t="s">
        <v>153</v>
      </c>
      <c r="Z700" s="53" t="s">
        <v>900</v>
      </c>
      <c r="AA700"/>
      <c r="AB700"/>
      <c r="AC700"/>
      <c r="AD700"/>
      <c r="AE700">
        <v>1</v>
      </c>
      <c r="AF700"/>
      <c r="AM700" s="7">
        <v>1</v>
      </c>
      <c r="BG700" t="str">
        <f t="shared" si="11"/>
        <v>Interazionale</v>
      </c>
      <c r="BH700" s="3" t="str" cm="1">
        <f t="array" ref="BH700">IF(AE700=1, _xlfn.TEXTJOIN(" &amp; ", TRUE, _xlfn._xlws.FILTER($AG$2:$BC$2, AG700:BC700=1)), "")</f>
        <v>Marcatura della conoscenza condivisa</v>
      </c>
    </row>
    <row r="701" spans="1:60" x14ac:dyDescent="0.3">
      <c r="A701" t="s">
        <v>892</v>
      </c>
      <c r="B701" t="s">
        <v>4049</v>
      </c>
      <c r="C701" t="s">
        <v>893</v>
      </c>
      <c r="D701">
        <v>2021</v>
      </c>
      <c r="E701" s="52" t="s">
        <v>4050</v>
      </c>
      <c r="F701">
        <v>1864440</v>
      </c>
      <c r="G701">
        <v>1870606</v>
      </c>
      <c r="H701" t="s">
        <v>894</v>
      </c>
      <c r="I701" t="s">
        <v>892</v>
      </c>
      <c r="J701" s="51">
        <v>3.2500000000000001E-2</v>
      </c>
      <c r="K701" t="s">
        <v>160</v>
      </c>
      <c r="L701" t="s">
        <v>895</v>
      </c>
      <c r="M701" t="s">
        <v>896</v>
      </c>
      <c r="N701" t="s">
        <v>381</v>
      </c>
      <c r="O701" t="s">
        <v>144</v>
      </c>
      <c r="P701" t="s">
        <v>165</v>
      </c>
      <c r="Q701" t="s">
        <v>699</v>
      </c>
      <c r="R701" t="s">
        <v>167</v>
      </c>
      <c r="S701" t="s">
        <v>168</v>
      </c>
      <c r="T701" t="s">
        <v>169</v>
      </c>
      <c r="U701" t="s">
        <v>171</v>
      </c>
      <c r="V701">
        <v>3</v>
      </c>
      <c r="W701" t="s">
        <v>170</v>
      </c>
      <c r="X701" t="s">
        <v>4051</v>
      </c>
      <c r="Y701" t="s">
        <v>153</v>
      </c>
      <c r="Z701" s="53" t="s">
        <v>4052</v>
      </c>
      <c r="AA701"/>
      <c r="AB701"/>
      <c r="AC701"/>
      <c r="AD701"/>
      <c r="AE701">
        <v>1</v>
      </c>
      <c r="AF701">
        <v>1</v>
      </c>
      <c r="AG701" s="7">
        <v>1</v>
      </c>
      <c r="AM701" s="7">
        <v>1</v>
      </c>
      <c r="AP701" s="9">
        <v>1</v>
      </c>
      <c r="BD701" s="3">
        <v>1</v>
      </c>
      <c r="BG701" t="str">
        <f t="shared" si="11"/>
        <v>Interazionale &amp; Metatestuale</v>
      </c>
      <c r="BH701" s="3" t="str" cm="1">
        <f t="array" ref="BH701">IF(AE701=1, _xlfn.TEXTJOIN(" &amp; ", TRUE, _xlfn._xlws.FILTER($AG$2:$BC$2, AG701:BC701=1)), "")</f>
        <v>Presa di turno &amp; Marcatura della conoscenza condivisa &amp; Gestione del topic: introduzione o ripresa di topic</v>
      </c>
    </row>
    <row r="702" spans="1:60" x14ac:dyDescent="0.3">
      <c r="A702" t="s">
        <v>892</v>
      </c>
      <c r="B702" t="s">
        <v>4053</v>
      </c>
      <c r="C702" t="s">
        <v>893</v>
      </c>
      <c r="D702">
        <v>2021</v>
      </c>
      <c r="E702" s="52" t="s">
        <v>4054</v>
      </c>
      <c r="F702">
        <v>1984064</v>
      </c>
      <c r="G702">
        <v>1987853</v>
      </c>
      <c r="H702" t="s">
        <v>894</v>
      </c>
      <c r="I702" t="s">
        <v>892</v>
      </c>
      <c r="J702" s="51">
        <v>3.2500000000000001E-2</v>
      </c>
      <c r="K702" t="s">
        <v>160</v>
      </c>
      <c r="L702" t="s">
        <v>895</v>
      </c>
      <c r="M702" t="s">
        <v>896</v>
      </c>
      <c r="N702" t="s">
        <v>381</v>
      </c>
      <c r="O702" t="s">
        <v>144</v>
      </c>
      <c r="P702" t="s">
        <v>165</v>
      </c>
      <c r="Q702" t="s">
        <v>699</v>
      </c>
      <c r="R702" t="s">
        <v>167</v>
      </c>
      <c r="S702" t="s">
        <v>168</v>
      </c>
      <c r="T702" t="s">
        <v>169</v>
      </c>
      <c r="U702" t="s">
        <v>171</v>
      </c>
      <c r="V702">
        <v>3</v>
      </c>
      <c r="W702" t="s">
        <v>170</v>
      </c>
      <c r="X702" t="s">
        <v>4055</v>
      </c>
      <c r="Y702" t="s">
        <v>153</v>
      </c>
      <c r="Z702" s="53" t="s">
        <v>4056</v>
      </c>
      <c r="AA702"/>
      <c r="AB702"/>
      <c r="AC702"/>
      <c r="AD702"/>
      <c r="AE702">
        <v>1</v>
      </c>
      <c r="AF702"/>
      <c r="AM702" s="7">
        <v>1</v>
      </c>
      <c r="BG702" t="str">
        <f t="shared" si="11"/>
        <v>Interazionale</v>
      </c>
      <c r="BH702" s="3" t="str" cm="1">
        <f t="array" ref="BH702">IF(AE702=1, _xlfn.TEXTJOIN(" &amp; ", TRUE, _xlfn._xlws.FILTER($AG$2:$BC$2, AG702:BC702=1)), "")</f>
        <v>Marcatura della conoscenza condivisa</v>
      </c>
    </row>
    <row r="703" spans="1:60" x14ac:dyDescent="0.3">
      <c r="A703" t="s">
        <v>892</v>
      </c>
      <c r="B703" t="s">
        <v>4057</v>
      </c>
      <c r="C703" t="s">
        <v>893</v>
      </c>
      <c r="D703">
        <v>2021</v>
      </c>
      <c r="E703" s="52" t="s">
        <v>4058</v>
      </c>
      <c r="F703">
        <v>1988064</v>
      </c>
      <c r="G703">
        <v>1989862</v>
      </c>
      <c r="H703" t="s">
        <v>894</v>
      </c>
      <c r="I703" t="s">
        <v>892</v>
      </c>
      <c r="J703" s="51">
        <v>3.2500000000000001E-2</v>
      </c>
      <c r="K703" t="s">
        <v>160</v>
      </c>
      <c r="L703" t="s">
        <v>895</v>
      </c>
      <c r="M703" t="s">
        <v>896</v>
      </c>
      <c r="N703" t="s">
        <v>381</v>
      </c>
      <c r="O703" t="s">
        <v>144</v>
      </c>
      <c r="P703" t="s">
        <v>165</v>
      </c>
      <c r="Q703" t="s">
        <v>699</v>
      </c>
      <c r="R703" t="s">
        <v>167</v>
      </c>
      <c r="S703" t="s">
        <v>168</v>
      </c>
      <c r="T703" t="s">
        <v>169</v>
      </c>
      <c r="U703" t="s">
        <v>171</v>
      </c>
      <c r="V703">
        <v>3</v>
      </c>
      <c r="W703" t="s">
        <v>170</v>
      </c>
      <c r="X703" t="s">
        <v>4059</v>
      </c>
      <c r="Y703" t="s">
        <v>153</v>
      </c>
      <c r="Z703" s="53" t="s">
        <v>4060</v>
      </c>
      <c r="AA703"/>
      <c r="AB703"/>
      <c r="AC703"/>
      <c r="AD703"/>
      <c r="AE703">
        <v>1</v>
      </c>
      <c r="AF703"/>
      <c r="AM703" s="7">
        <v>1</v>
      </c>
      <c r="BG703" t="str">
        <f t="shared" si="11"/>
        <v>Interazionale</v>
      </c>
      <c r="BH703" s="3" t="str" cm="1">
        <f t="array" ref="BH703">IF(AE703=1, _xlfn.TEXTJOIN(" &amp; ", TRUE, _xlfn._xlws.FILTER($AG$2:$BC$2, AG703:BC703=1)), "")</f>
        <v>Marcatura della conoscenza condivisa</v>
      </c>
    </row>
    <row r="704" spans="1:60" x14ac:dyDescent="0.3">
      <c r="A704" t="s">
        <v>892</v>
      </c>
      <c r="B704" t="s">
        <v>4061</v>
      </c>
      <c r="C704" t="s">
        <v>893</v>
      </c>
      <c r="D704">
        <v>2021</v>
      </c>
      <c r="E704" s="52" t="s">
        <v>4062</v>
      </c>
      <c r="F704">
        <v>2073147</v>
      </c>
      <c r="G704">
        <v>2074982</v>
      </c>
      <c r="H704" t="s">
        <v>894</v>
      </c>
      <c r="I704" t="s">
        <v>892</v>
      </c>
      <c r="J704" s="51">
        <v>3.2500000000000001E-2</v>
      </c>
      <c r="K704" t="s">
        <v>160</v>
      </c>
      <c r="L704" t="s">
        <v>895</v>
      </c>
      <c r="M704" t="s">
        <v>896</v>
      </c>
      <c r="N704" t="s">
        <v>381</v>
      </c>
      <c r="O704" t="s">
        <v>144</v>
      </c>
      <c r="P704" t="s">
        <v>165</v>
      </c>
      <c r="Q704" t="s">
        <v>699</v>
      </c>
      <c r="R704" t="s">
        <v>167</v>
      </c>
      <c r="S704" t="s">
        <v>168</v>
      </c>
      <c r="T704" t="s">
        <v>169</v>
      </c>
      <c r="U704" t="s">
        <v>171</v>
      </c>
      <c r="V704">
        <v>3</v>
      </c>
      <c r="W704" t="s">
        <v>170</v>
      </c>
      <c r="X704" t="s">
        <v>4063</v>
      </c>
      <c r="Y704" t="s">
        <v>153</v>
      </c>
      <c r="Z704" s="53" t="s">
        <v>4064</v>
      </c>
      <c r="AA704"/>
      <c r="AB704"/>
      <c r="AC704"/>
      <c r="AD704"/>
      <c r="AE704">
        <v>1</v>
      </c>
      <c r="AF704"/>
      <c r="AM704" s="7">
        <v>1</v>
      </c>
      <c r="BG704" t="str">
        <f t="shared" si="11"/>
        <v>Interazionale</v>
      </c>
      <c r="BH704" s="3" t="str" cm="1">
        <f t="array" ref="BH704">IF(AE704=1, _xlfn.TEXTJOIN(" &amp; ", TRUE, _xlfn._xlws.FILTER($AG$2:$BC$2, AG704:BC704=1)), "")</f>
        <v>Marcatura della conoscenza condivisa</v>
      </c>
    </row>
    <row r="705" spans="1:60" x14ac:dyDescent="0.3">
      <c r="A705" t="s">
        <v>892</v>
      </c>
      <c r="B705" t="s">
        <v>4065</v>
      </c>
      <c r="C705" t="s">
        <v>893</v>
      </c>
      <c r="D705">
        <v>2021</v>
      </c>
      <c r="E705" s="52" t="s">
        <v>4066</v>
      </c>
      <c r="F705">
        <v>2105606</v>
      </c>
      <c r="G705">
        <v>2111184</v>
      </c>
      <c r="H705" t="s">
        <v>894</v>
      </c>
      <c r="I705" t="s">
        <v>892</v>
      </c>
      <c r="J705" s="51">
        <v>3.2500000000000001E-2</v>
      </c>
      <c r="K705" t="s">
        <v>160</v>
      </c>
      <c r="L705" t="s">
        <v>895</v>
      </c>
      <c r="M705" t="s">
        <v>896</v>
      </c>
      <c r="N705" t="s">
        <v>381</v>
      </c>
      <c r="O705" t="s">
        <v>144</v>
      </c>
      <c r="P705" t="s">
        <v>165</v>
      </c>
      <c r="Q705" t="s">
        <v>699</v>
      </c>
      <c r="R705" t="s">
        <v>167</v>
      </c>
      <c r="S705" t="s">
        <v>168</v>
      </c>
      <c r="T705" t="s">
        <v>169</v>
      </c>
      <c r="U705" t="s">
        <v>171</v>
      </c>
      <c r="V705">
        <v>3</v>
      </c>
      <c r="W705" t="s">
        <v>170</v>
      </c>
      <c r="X705" t="s">
        <v>4067</v>
      </c>
      <c r="Y705" t="s">
        <v>153</v>
      </c>
      <c r="Z705" s="53" t="s">
        <v>4068</v>
      </c>
      <c r="AA705"/>
      <c r="AB705"/>
      <c r="AC705"/>
      <c r="AD705"/>
      <c r="AE705">
        <v>1</v>
      </c>
      <c r="AF705"/>
      <c r="AM705" s="7">
        <v>1</v>
      </c>
      <c r="AW705" s="21">
        <v>1</v>
      </c>
      <c r="BD705" s="3">
        <v>1</v>
      </c>
      <c r="BG705" t="str">
        <f t="shared" si="11"/>
        <v>Interazionale &amp; Metatestuale</v>
      </c>
      <c r="BH705" s="3" t="str" cm="1">
        <f t="array" ref="BH705">IF(AE705=1, _xlfn.TEXTJOIN(" &amp; ", TRUE, _xlfn._xlws.FILTER($AG$2:$BC$2, AG705:BC705=1)), "")</f>
        <v>Marcatura della conoscenza condivisa &amp; General extenders e marche di generalizzazione</v>
      </c>
    </row>
    <row r="706" spans="1:60" x14ac:dyDescent="0.3">
      <c r="A706" t="s">
        <v>892</v>
      </c>
      <c r="B706" t="s">
        <v>4069</v>
      </c>
      <c r="C706" t="s">
        <v>893</v>
      </c>
      <c r="D706">
        <v>2021</v>
      </c>
      <c r="E706" s="52" t="s">
        <v>4070</v>
      </c>
      <c r="F706">
        <v>2392015</v>
      </c>
      <c r="G706">
        <v>2394779</v>
      </c>
      <c r="H706" t="s">
        <v>4034</v>
      </c>
      <c r="I706" t="s">
        <v>892</v>
      </c>
      <c r="J706" s="51">
        <v>3.2500000000000001E-2</v>
      </c>
      <c r="K706" t="s">
        <v>160</v>
      </c>
      <c r="L706" t="s">
        <v>895</v>
      </c>
      <c r="M706" t="s">
        <v>896</v>
      </c>
      <c r="N706" t="s">
        <v>381</v>
      </c>
      <c r="O706" t="s">
        <v>164</v>
      </c>
      <c r="P706" t="s">
        <v>165</v>
      </c>
      <c r="Q706" t="s">
        <v>699</v>
      </c>
      <c r="R706" t="s">
        <v>167</v>
      </c>
      <c r="S706" t="s">
        <v>168</v>
      </c>
      <c r="T706" t="s">
        <v>169</v>
      </c>
      <c r="U706" t="s">
        <v>171</v>
      </c>
      <c r="V706">
        <v>3</v>
      </c>
      <c r="W706" t="s">
        <v>170</v>
      </c>
      <c r="X706" t="s">
        <v>4071</v>
      </c>
      <c r="Y706" t="s">
        <v>153</v>
      </c>
      <c r="Z706" s="53" t="s">
        <v>4072</v>
      </c>
      <c r="AA706">
        <v>1</v>
      </c>
      <c r="AB706">
        <v>1</v>
      </c>
      <c r="AC706"/>
      <c r="AD706"/>
      <c r="AE706"/>
      <c r="AF706"/>
      <c r="BG706" t="str">
        <f t="shared" si="11"/>
        <v/>
      </c>
      <c r="BH706" s="3" t="str" cm="1">
        <f t="array" ref="BH706">IF(AE706=1, _xlfn.TEXTJOIN(" &amp; ", TRUE, _xlfn._xlws.FILTER($AG$2:$BC$2, AG706:BC706=1)), "")</f>
        <v/>
      </c>
    </row>
    <row r="707" spans="1:60" x14ac:dyDescent="0.3">
      <c r="A707" t="s">
        <v>892</v>
      </c>
      <c r="B707" t="s">
        <v>4073</v>
      </c>
      <c r="C707" t="s">
        <v>893</v>
      </c>
      <c r="D707">
        <v>2021</v>
      </c>
      <c r="E707" s="52" t="s">
        <v>4074</v>
      </c>
      <c r="F707">
        <v>2467463</v>
      </c>
      <c r="G707">
        <v>2470787</v>
      </c>
      <c r="H707" t="s">
        <v>894</v>
      </c>
      <c r="I707" t="s">
        <v>892</v>
      </c>
      <c r="J707" s="51">
        <v>3.2500000000000001E-2</v>
      </c>
      <c r="K707" t="s">
        <v>160</v>
      </c>
      <c r="L707" t="s">
        <v>895</v>
      </c>
      <c r="M707" t="s">
        <v>896</v>
      </c>
      <c r="N707" t="s">
        <v>381</v>
      </c>
      <c r="O707" t="s">
        <v>144</v>
      </c>
      <c r="P707" t="s">
        <v>165</v>
      </c>
      <c r="Q707" t="s">
        <v>699</v>
      </c>
      <c r="R707" t="s">
        <v>167</v>
      </c>
      <c r="S707" t="s">
        <v>168</v>
      </c>
      <c r="T707" t="s">
        <v>169</v>
      </c>
      <c r="U707" t="s">
        <v>171</v>
      </c>
      <c r="V707">
        <v>3</v>
      </c>
      <c r="W707" t="s">
        <v>170</v>
      </c>
      <c r="X707" t="s">
        <v>4075</v>
      </c>
      <c r="Y707" t="s">
        <v>153</v>
      </c>
      <c r="Z707" s="53" t="s">
        <v>4076</v>
      </c>
      <c r="AA707"/>
      <c r="AB707"/>
      <c r="AC707"/>
      <c r="AD707"/>
      <c r="AE707">
        <v>1</v>
      </c>
      <c r="AF707">
        <v>1</v>
      </c>
      <c r="AM707" s="7">
        <v>1</v>
      </c>
      <c r="BG707" t="str">
        <f t="shared" si="11"/>
        <v>Interazionale</v>
      </c>
      <c r="BH707" s="3" t="str" cm="1">
        <f t="array" ref="BH707">IF(AE707=1, _xlfn.TEXTJOIN(" &amp; ", TRUE, _xlfn._xlws.FILTER($AG$2:$BC$2, AG707:BC707=1)), "")</f>
        <v>Marcatura della conoscenza condivisa</v>
      </c>
    </row>
    <row r="708" spans="1:60" x14ac:dyDescent="0.3">
      <c r="A708" t="s">
        <v>892</v>
      </c>
      <c r="B708" t="s">
        <v>4077</v>
      </c>
      <c r="C708" t="s">
        <v>893</v>
      </c>
      <c r="D708">
        <v>2021</v>
      </c>
      <c r="E708" s="52" t="s">
        <v>4078</v>
      </c>
      <c r="F708">
        <v>2494294</v>
      </c>
      <c r="G708">
        <v>2500581</v>
      </c>
      <c r="H708" t="s">
        <v>894</v>
      </c>
      <c r="I708" t="s">
        <v>892</v>
      </c>
      <c r="J708" s="51">
        <v>3.2500000000000001E-2</v>
      </c>
      <c r="K708" t="s">
        <v>160</v>
      </c>
      <c r="L708" t="s">
        <v>895</v>
      </c>
      <c r="M708" t="s">
        <v>896</v>
      </c>
      <c r="N708" t="s">
        <v>381</v>
      </c>
      <c r="O708" t="s">
        <v>144</v>
      </c>
      <c r="P708" t="s">
        <v>165</v>
      </c>
      <c r="Q708" t="s">
        <v>699</v>
      </c>
      <c r="R708" t="s">
        <v>167</v>
      </c>
      <c r="S708" t="s">
        <v>168</v>
      </c>
      <c r="T708" t="s">
        <v>169</v>
      </c>
      <c r="U708" t="s">
        <v>171</v>
      </c>
      <c r="V708">
        <v>3</v>
      </c>
      <c r="W708" t="s">
        <v>170</v>
      </c>
      <c r="X708" t="s">
        <v>4079</v>
      </c>
      <c r="Y708" t="s">
        <v>153</v>
      </c>
      <c r="Z708" s="53" t="s">
        <v>4080</v>
      </c>
      <c r="AA708"/>
      <c r="AB708"/>
      <c r="AC708"/>
      <c r="AD708"/>
      <c r="AE708">
        <v>1</v>
      </c>
      <c r="AF708"/>
      <c r="AV708" s="9">
        <v>1</v>
      </c>
      <c r="BG708" t="str">
        <f t="shared" ref="BG708:BG771" si="12">IF(AE708=1,_xlfn.TEXTJOIN(" &amp; ", TRUE,
    IF(COUNTIF(AG708:AO708,1)&gt;0,"Interazionale",""),
    IF(COUNTIF(AP708:AW708,1)&gt;0,"Metatestuale",""),
    IF(COUNTIF(AX708:BC708,1)&gt;0,"Cognitiva","")
),"")</f>
        <v>Metatestuale</v>
      </c>
      <c r="BH708" s="3" t="str" cm="1">
        <f t="array" ref="BH708">IF(AE708=1, _xlfn.TEXTJOIN(" &amp; ", TRUE, _xlfn._xlws.FILTER($AG$2:$BC$2, AG708:BC708=1)), "")</f>
        <v>Filler, riempimento dei tempi di formulazione</v>
      </c>
    </row>
    <row r="709" spans="1:60" x14ac:dyDescent="0.3">
      <c r="A709" t="s">
        <v>892</v>
      </c>
      <c r="B709" t="s">
        <v>4081</v>
      </c>
      <c r="C709" t="s">
        <v>893</v>
      </c>
      <c r="D709">
        <v>2021</v>
      </c>
      <c r="E709" s="52" t="s">
        <v>4082</v>
      </c>
      <c r="F709">
        <v>2578294</v>
      </c>
      <c r="G709">
        <v>2581209</v>
      </c>
      <c r="H709" t="s">
        <v>894</v>
      </c>
      <c r="I709" t="s">
        <v>892</v>
      </c>
      <c r="J709" s="51">
        <v>3.2500000000000001E-2</v>
      </c>
      <c r="K709" t="s">
        <v>160</v>
      </c>
      <c r="L709" t="s">
        <v>895</v>
      </c>
      <c r="M709" t="s">
        <v>896</v>
      </c>
      <c r="N709" t="s">
        <v>381</v>
      </c>
      <c r="O709" t="s">
        <v>144</v>
      </c>
      <c r="P709" t="s">
        <v>165</v>
      </c>
      <c r="Q709" t="s">
        <v>699</v>
      </c>
      <c r="R709" t="s">
        <v>167</v>
      </c>
      <c r="S709" t="s">
        <v>168</v>
      </c>
      <c r="T709" t="s">
        <v>169</v>
      </c>
      <c r="U709" t="s">
        <v>171</v>
      </c>
      <c r="V709">
        <v>3</v>
      </c>
      <c r="W709" t="s">
        <v>170</v>
      </c>
      <c r="X709" t="s">
        <v>4083</v>
      </c>
      <c r="Y709" t="s">
        <v>153</v>
      </c>
      <c r="Z709" s="53" t="s">
        <v>4084</v>
      </c>
      <c r="AA709"/>
      <c r="AB709"/>
      <c r="AC709"/>
      <c r="AD709"/>
      <c r="AE709">
        <v>1</v>
      </c>
      <c r="AF709">
        <v>1</v>
      </c>
      <c r="AV709" s="9">
        <v>1</v>
      </c>
      <c r="BG709" t="str">
        <f t="shared" si="12"/>
        <v>Metatestuale</v>
      </c>
      <c r="BH709" s="3" t="str" cm="1">
        <f t="array" ref="BH709">IF(AE709=1, _xlfn.TEXTJOIN(" &amp; ", TRUE, _xlfn._xlws.FILTER($AG$2:$BC$2, AG709:BC709=1)), "")</f>
        <v>Filler, riempimento dei tempi di formulazione</v>
      </c>
    </row>
    <row r="710" spans="1:60" x14ac:dyDescent="0.3">
      <c r="A710" t="s">
        <v>892</v>
      </c>
      <c r="B710" t="s">
        <v>4085</v>
      </c>
      <c r="C710" t="s">
        <v>893</v>
      </c>
      <c r="D710">
        <v>2021</v>
      </c>
      <c r="E710" s="52" t="s">
        <v>4086</v>
      </c>
      <c r="F710">
        <v>2607000</v>
      </c>
      <c r="G710">
        <v>2607401</v>
      </c>
      <c r="H710" t="s">
        <v>894</v>
      </c>
      <c r="I710" t="s">
        <v>892</v>
      </c>
      <c r="J710" s="51">
        <v>3.2500000000000001E-2</v>
      </c>
      <c r="K710" t="s">
        <v>160</v>
      </c>
      <c r="L710" t="s">
        <v>895</v>
      </c>
      <c r="M710" t="s">
        <v>896</v>
      </c>
      <c r="N710" t="s">
        <v>381</v>
      </c>
      <c r="O710" t="s">
        <v>144</v>
      </c>
      <c r="P710" t="s">
        <v>165</v>
      </c>
      <c r="Q710" t="s">
        <v>699</v>
      </c>
      <c r="R710" t="s">
        <v>167</v>
      </c>
      <c r="S710" t="s">
        <v>168</v>
      </c>
      <c r="T710" t="s">
        <v>169</v>
      </c>
      <c r="U710" t="s">
        <v>171</v>
      </c>
      <c r="V710">
        <v>3</v>
      </c>
      <c r="W710" t="s">
        <v>170</v>
      </c>
      <c r="X710" t="s">
        <v>4087</v>
      </c>
      <c r="Y710" t="s">
        <v>153</v>
      </c>
      <c r="Z710" s="53" t="s">
        <v>4088</v>
      </c>
      <c r="AA710"/>
      <c r="AB710"/>
      <c r="AC710"/>
      <c r="AD710"/>
      <c r="AE710">
        <v>1</v>
      </c>
      <c r="AF710">
        <v>1</v>
      </c>
      <c r="AN710" s="8">
        <v>1</v>
      </c>
      <c r="BG710" t="str">
        <f t="shared" si="12"/>
        <v>Interazionale</v>
      </c>
      <c r="BH710" s="3" t="str" cm="1">
        <f t="array" ref="BH710">IF(AE710=1, _xlfn.TEXTJOIN(" &amp; ", TRUE, _xlfn._xlws.FILTER($AG$2:$BC$2, AG710:BC710=1)), "")</f>
        <v>Richiesta di attenzione</v>
      </c>
    </row>
    <row r="711" spans="1:60" x14ac:dyDescent="0.3">
      <c r="A711" t="s">
        <v>892</v>
      </c>
      <c r="B711" t="s">
        <v>4089</v>
      </c>
      <c r="C711" t="s">
        <v>893</v>
      </c>
      <c r="D711">
        <v>2021</v>
      </c>
      <c r="E711" s="52" t="s">
        <v>4090</v>
      </c>
      <c r="F711">
        <v>2612456</v>
      </c>
      <c r="G711">
        <v>2615853</v>
      </c>
      <c r="H711" t="s">
        <v>4034</v>
      </c>
      <c r="I711" t="s">
        <v>892</v>
      </c>
      <c r="J711" s="51">
        <v>3.2500000000000001E-2</v>
      </c>
      <c r="K711" t="s">
        <v>160</v>
      </c>
      <c r="L711" t="s">
        <v>895</v>
      </c>
      <c r="M711" t="s">
        <v>896</v>
      </c>
      <c r="N711" t="s">
        <v>381</v>
      </c>
      <c r="O711" t="s">
        <v>164</v>
      </c>
      <c r="P711" t="s">
        <v>165</v>
      </c>
      <c r="Q711" t="s">
        <v>699</v>
      </c>
      <c r="R711" t="s">
        <v>167</v>
      </c>
      <c r="S711" t="s">
        <v>168</v>
      </c>
      <c r="T711" t="s">
        <v>169</v>
      </c>
      <c r="U711" t="s">
        <v>171</v>
      </c>
      <c r="V711">
        <v>3</v>
      </c>
      <c r="W711" t="s">
        <v>170</v>
      </c>
      <c r="X711" t="s">
        <v>4091</v>
      </c>
      <c r="Y711" t="s">
        <v>153</v>
      </c>
      <c r="Z711" s="53" t="s">
        <v>4092</v>
      </c>
      <c r="AA711">
        <v>1</v>
      </c>
      <c r="AB711">
        <v>1</v>
      </c>
      <c r="AC711"/>
      <c r="AD711"/>
      <c r="AE711"/>
      <c r="AF711"/>
      <c r="BG711" t="str">
        <f t="shared" si="12"/>
        <v/>
      </c>
      <c r="BH711" s="3" t="str" cm="1">
        <f t="array" ref="BH711">IF(AE711=1, _xlfn.TEXTJOIN(" &amp; ", TRUE, _xlfn._xlws.FILTER($AG$2:$BC$2, AG711:BC711=1)), "")</f>
        <v/>
      </c>
    </row>
    <row r="712" spans="1:60" x14ac:dyDescent="0.3">
      <c r="A712" t="s">
        <v>892</v>
      </c>
      <c r="B712" t="s">
        <v>4093</v>
      </c>
      <c r="C712" t="s">
        <v>893</v>
      </c>
      <c r="D712">
        <v>2021</v>
      </c>
      <c r="E712" s="52" t="s">
        <v>4094</v>
      </c>
      <c r="F712">
        <v>2672059</v>
      </c>
      <c r="G712">
        <v>2674809</v>
      </c>
      <c r="H712" t="s">
        <v>894</v>
      </c>
      <c r="I712" t="s">
        <v>892</v>
      </c>
      <c r="J712" s="51">
        <v>3.2500000000000001E-2</v>
      </c>
      <c r="K712" t="s">
        <v>160</v>
      </c>
      <c r="L712" t="s">
        <v>895</v>
      </c>
      <c r="M712" t="s">
        <v>896</v>
      </c>
      <c r="N712" t="s">
        <v>381</v>
      </c>
      <c r="O712" t="s">
        <v>144</v>
      </c>
      <c r="P712" t="s">
        <v>165</v>
      </c>
      <c r="Q712" t="s">
        <v>699</v>
      </c>
      <c r="R712" t="s">
        <v>167</v>
      </c>
      <c r="S712" t="s">
        <v>168</v>
      </c>
      <c r="T712" t="s">
        <v>169</v>
      </c>
      <c r="U712" t="s">
        <v>171</v>
      </c>
      <c r="V712">
        <v>3</v>
      </c>
      <c r="W712" t="s">
        <v>170</v>
      </c>
      <c r="X712" t="s">
        <v>4095</v>
      </c>
      <c r="Y712" t="s">
        <v>153</v>
      </c>
      <c r="Z712" s="53" t="s">
        <v>4096</v>
      </c>
      <c r="AA712"/>
      <c r="AB712"/>
      <c r="AC712"/>
      <c r="AD712"/>
      <c r="AE712">
        <v>1</v>
      </c>
      <c r="AF712">
        <v>1</v>
      </c>
      <c r="AM712" s="7">
        <v>1</v>
      </c>
      <c r="BG712" t="str">
        <f t="shared" si="12"/>
        <v>Interazionale</v>
      </c>
      <c r="BH712" s="3" t="str" cm="1">
        <f t="array" ref="BH712">IF(AE712=1, _xlfn.TEXTJOIN(" &amp; ", TRUE, _xlfn._xlws.FILTER($AG$2:$BC$2, AG712:BC712=1)), "")</f>
        <v>Marcatura della conoscenza condivisa</v>
      </c>
    </row>
    <row r="713" spans="1:60" x14ac:dyDescent="0.3">
      <c r="A713" t="s">
        <v>892</v>
      </c>
      <c r="B713" t="s">
        <v>4097</v>
      </c>
      <c r="C713" t="s">
        <v>893</v>
      </c>
      <c r="D713">
        <v>2021</v>
      </c>
      <c r="E713" s="52" t="s">
        <v>4098</v>
      </c>
      <c r="F713">
        <v>2748206</v>
      </c>
      <c r="G713">
        <v>2753015</v>
      </c>
      <c r="H713" t="s">
        <v>894</v>
      </c>
      <c r="I713" t="s">
        <v>892</v>
      </c>
      <c r="J713" s="51">
        <v>3.2500000000000001E-2</v>
      </c>
      <c r="K713" t="s">
        <v>160</v>
      </c>
      <c r="L713" t="s">
        <v>895</v>
      </c>
      <c r="M713" t="s">
        <v>896</v>
      </c>
      <c r="N713" t="s">
        <v>381</v>
      </c>
      <c r="O713" t="s">
        <v>144</v>
      </c>
      <c r="P713" t="s">
        <v>165</v>
      </c>
      <c r="Q713" t="s">
        <v>699</v>
      </c>
      <c r="R713" t="s">
        <v>167</v>
      </c>
      <c r="S713" t="s">
        <v>168</v>
      </c>
      <c r="T713" t="s">
        <v>169</v>
      </c>
      <c r="U713" t="s">
        <v>171</v>
      </c>
      <c r="V713">
        <v>3</v>
      </c>
      <c r="W713" t="s">
        <v>170</v>
      </c>
      <c r="X713" t="s">
        <v>4099</v>
      </c>
      <c r="Y713" t="s">
        <v>153</v>
      </c>
      <c r="Z713" s="53" t="s">
        <v>4100</v>
      </c>
      <c r="AA713"/>
      <c r="AB713"/>
      <c r="AC713"/>
      <c r="AD713"/>
      <c r="AE713">
        <v>1</v>
      </c>
      <c r="AF713"/>
      <c r="AU713" s="21">
        <v>1</v>
      </c>
      <c r="BG713" t="str">
        <f t="shared" si="12"/>
        <v>Metatestuale</v>
      </c>
      <c r="BH713" s="3" t="str" cm="1">
        <f t="array" ref="BH713">IF(AE713=1, _xlfn.TEXTJOIN(" &amp; ", TRUE, _xlfn._xlws.FILTER($AG$2:$BC$2, AG713:BC713=1)), "")</f>
        <v>Esemplificazione</v>
      </c>
    </row>
    <row r="714" spans="1:60" x14ac:dyDescent="0.3">
      <c r="A714" t="s">
        <v>901</v>
      </c>
      <c r="B714" t="s">
        <v>906</v>
      </c>
      <c r="C714" t="s">
        <v>902</v>
      </c>
      <c r="D714" t="s">
        <v>204</v>
      </c>
      <c r="E714" s="52" t="s">
        <v>907</v>
      </c>
      <c r="F714">
        <v>1181732</v>
      </c>
      <c r="G714">
        <v>1184153</v>
      </c>
      <c r="H714" t="s">
        <v>903</v>
      </c>
      <c r="I714" t="s">
        <v>901</v>
      </c>
      <c r="J714" s="51">
        <v>1.6458333333333332E-2</v>
      </c>
      <c r="K714" t="s">
        <v>160</v>
      </c>
      <c r="L714" t="s">
        <v>904</v>
      </c>
      <c r="M714" t="s">
        <v>905</v>
      </c>
      <c r="N714" t="s">
        <v>143</v>
      </c>
      <c r="O714" t="s">
        <v>164</v>
      </c>
      <c r="P714" t="s">
        <v>165</v>
      </c>
      <c r="Q714" t="s">
        <v>146</v>
      </c>
      <c r="R714" t="s">
        <v>167</v>
      </c>
      <c r="S714" t="s">
        <v>148</v>
      </c>
      <c r="T714" t="s">
        <v>169</v>
      </c>
      <c r="U714" t="s">
        <v>151</v>
      </c>
      <c r="V714">
        <v>2</v>
      </c>
      <c r="W714" t="s">
        <v>170</v>
      </c>
      <c r="X714" t="s">
        <v>908</v>
      </c>
      <c r="Y714" t="s">
        <v>153</v>
      </c>
      <c r="Z714" s="53" t="s">
        <v>909</v>
      </c>
      <c r="AA714">
        <v>1</v>
      </c>
      <c r="AB714"/>
      <c r="AC714">
        <v>1</v>
      </c>
      <c r="AD714"/>
      <c r="AE714"/>
      <c r="AF714"/>
      <c r="BG714" t="str">
        <f t="shared" si="12"/>
        <v/>
      </c>
      <c r="BH714" s="3" t="str" cm="1">
        <f t="array" ref="BH714">IF(AE714=1, _xlfn.TEXTJOIN(" &amp; ", TRUE, _xlfn._xlws.FILTER($AG$2:$BC$2, AG714:BC714=1)), "")</f>
        <v/>
      </c>
    </row>
    <row r="715" spans="1:60" x14ac:dyDescent="0.3">
      <c r="A715" t="s">
        <v>4101</v>
      </c>
      <c r="B715" t="s">
        <v>4102</v>
      </c>
      <c r="C715" t="s">
        <v>4103</v>
      </c>
      <c r="D715">
        <v>2024</v>
      </c>
      <c r="E715" s="52" t="s">
        <v>4104</v>
      </c>
      <c r="F715">
        <v>1343230</v>
      </c>
      <c r="G715">
        <v>1347634</v>
      </c>
      <c r="H715" t="s">
        <v>4105</v>
      </c>
      <c r="I715" t="s">
        <v>4101</v>
      </c>
      <c r="J715" s="51">
        <v>3.4699074074074077E-2</v>
      </c>
      <c r="K715" t="s">
        <v>160</v>
      </c>
      <c r="L715" t="s">
        <v>4106</v>
      </c>
      <c r="M715" t="s">
        <v>4107</v>
      </c>
      <c r="N715" t="s">
        <v>381</v>
      </c>
      <c r="O715" t="s">
        <v>144</v>
      </c>
      <c r="P715" t="s">
        <v>165</v>
      </c>
      <c r="Q715" t="s">
        <v>527</v>
      </c>
      <c r="R715" t="s">
        <v>167</v>
      </c>
      <c r="S715" t="s">
        <v>168</v>
      </c>
      <c r="T715" t="s">
        <v>169</v>
      </c>
      <c r="U715" t="s">
        <v>229</v>
      </c>
      <c r="V715">
        <v>3</v>
      </c>
      <c r="W715" t="s">
        <v>170</v>
      </c>
      <c r="X715" t="s">
        <v>4108</v>
      </c>
      <c r="Y715" t="s">
        <v>153</v>
      </c>
      <c r="Z715" s="53" t="s">
        <v>4109</v>
      </c>
      <c r="AA715"/>
      <c r="AB715"/>
      <c r="AC715"/>
      <c r="AD715"/>
      <c r="AE715">
        <v>1</v>
      </c>
      <c r="AF715"/>
      <c r="AM715" s="7">
        <v>1</v>
      </c>
      <c r="BG715" t="str">
        <f t="shared" si="12"/>
        <v>Interazionale</v>
      </c>
      <c r="BH715" s="3" t="str" cm="1">
        <f t="array" ref="BH715">IF(AE715=1, _xlfn.TEXTJOIN(" &amp; ", TRUE, _xlfn._xlws.FILTER($AG$2:$BC$2, AG715:BC715=1)), "")</f>
        <v>Marcatura della conoscenza condivisa</v>
      </c>
    </row>
    <row r="716" spans="1:60" x14ac:dyDescent="0.3">
      <c r="A716" t="s">
        <v>4110</v>
      </c>
      <c r="B716" t="s">
        <v>4111</v>
      </c>
      <c r="C716" t="s">
        <v>4112</v>
      </c>
      <c r="D716">
        <v>2022</v>
      </c>
      <c r="E716" s="52" t="s">
        <v>4113</v>
      </c>
      <c r="F716">
        <v>573575</v>
      </c>
      <c r="G716">
        <v>577005</v>
      </c>
      <c r="H716" t="s">
        <v>4114</v>
      </c>
      <c r="I716" t="s">
        <v>4110</v>
      </c>
      <c r="J716" s="51">
        <v>3.6006944444444446E-2</v>
      </c>
      <c r="K716" t="s">
        <v>160</v>
      </c>
      <c r="L716" t="s">
        <v>4115</v>
      </c>
      <c r="M716" t="s">
        <v>4116</v>
      </c>
      <c r="N716" t="s">
        <v>178</v>
      </c>
      <c r="O716" t="s">
        <v>144</v>
      </c>
      <c r="P716" t="s">
        <v>165</v>
      </c>
      <c r="Q716" t="s">
        <v>179</v>
      </c>
      <c r="R716" t="s">
        <v>167</v>
      </c>
      <c r="S716" t="s">
        <v>168</v>
      </c>
      <c r="T716" t="s">
        <v>169</v>
      </c>
      <c r="U716" t="s">
        <v>318</v>
      </c>
      <c r="V716">
        <v>2</v>
      </c>
      <c r="W716" t="s">
        <v>170</v>
      </c>
      <c r="X716" t="s">
        <v>4117</v>
      </c>
      <c r="Y716" t="s">
        <v>153</v>
      </c>
      <c r="Z716" s="53" t="s">
        <v>4118</v>
      </c>
      <c r="AA716">
        <v>1</v>
      </c>
      <c r="AB716"/>
      <c r="AC716"/>
      <c r="AD716">
        <v>1</v>
      </c>
      <c r="AE716"/>
      <c r="AF716"/>
      <c r="BG716" t="str">
        <f t="shared" si="12"/>
        <v/>
      </c>
      <c r="BH716" s="3" t="str" cm="1">
        <f t="array" ref="BH716">IF(AE716=1, _xlfn.TEXTJOIN(" &amp; ", TRUE, _xlfn._xlws.FILTER($AG$2:$BC$2, AG716:BC716=1)), "")</f>
        <v/>
      </c>
    </row>
    <row r="717" spans="1:60" x14ac:dyDescent="0.3">
      <c r="A717" t="s">
        <v>4110</v>
      </c>
      <c r="B717" t="s">
        <v>4119</v>
      </c>
      <c r="C717" t="s">
        <v>4112</v>
      </c>
      <c r="D717">
        <v>2022</v>
      </c>
      <c r="E717" s="52" t="s">
        <v>4120</v>
      </c>
      <c r="F717">
        <v>2014706</v>
      </c>
      <c r="G717">
        <v>2018136</v>
      </c>
      <c r="H717" t="s">
        <v>4121</v>
      </c>
      <c r="I717" t="s">
        <v>4110</v>
      </c>
      <c r="J717" s="51">
        <v>3.6006944444444446E-2</v>
      </c>
      <c r="K717" t="s">
        <v>160</v>
      </c>
      <c r="L717" t="s">
        <v>4115</v>
      </c>
      <c r="M717" t="s">
        <v>4116</v>
      </c>
      <c r="N717" t="s">
        <v>143</v>
      </c>
      <c r="O717" t="s">
        <v>144</v>
      </c>
      <c r="P717" t="s">
        <v>165</v>
      </c>
      <c r="Q717" t="s">
        <v>146</v>
      </c>
      <c r="R717" t="s">
        <v>167</v>
      </c>
      <c r="S717" t="s">
        <v>168</v>
      </c>
      <c r="T717" t="s">
        <v>169</v>
      </c>
      <c r="U717" t="s">
        <v>229</v>
      </c>
      <c r="V717">
        <v>2</v>
      </c>
      <c r="W717" t="s">
        <v>170</v>
      </c>
      <c r="X717" t="s">
        <v>4122</v>
      </c>
      <c r="Y717" t="s">
        <v>153</v>
      </c>
      <c r="Z717" s="53" t="s">
        <v>4123</v>
      </c>
      <c r="AA717">
        <v>1</v>
      </c>
      <c r="AB717"/>
      <c r="AC717"/>
      <c r="AD717">
        <v>1</v>
      </c>
      <c r="AE717"/>
      <c r="AF717"/>
      <c r="BG717" t="str">
        <f t="shared" si="12"/>
        <v/>
      </c>
      <c r="BH717" s="3" t="str" cm="1">
        <f t="array" ref="BH717">IF(AE717=1, _xlfn.TEXTJOIN(" &amp; ", TRUE, _xlfn._xlws.FILTER($AG$2:$BC$2, AG717:BC717=1)), "")</f>
        <v/>
      </c>
    </row>
    <row r="718" spans="1:60" x14ac:dyDescent="0.3">
      <c r="A718" t="s">
        <v>4110</v>
      </c>
      <c r="B718" t="s">
        <v>4124</v>
      </c>
      <c r="C718" t="s">
        <v>4112</v>
      </c>
      <c r="D718">
        <v>2022</v>
      </c>
      <c r="E718" s="52" t="s">
        <v>4125</v>
      </c>
      <c r="F718">
        <v>2093618</v>
      </c>
      <c r="G718">
        <v>2095738</v>
      </c>
      <c r="H718" t="s">
        <v>4114</v>
      </c>
      <c r="I718" t="s">
        <v>4110</v>
      </c>
      <c r="J718" s="51">
        <v>3.6006944444444446E-2</v>
      </c>
      <c r="K718" t="s">
        <v>160</v>
      </c>
      <c r="L718" t="s">
        <v>4115</v>
      </c>
      <c r="M718" t="s">
        <v>4116</v>
      </c>
      <c r="N718" t="s">
        <v>178</v>
      </c>
      <c r="O718" t="s">
        <v>144</v>
      </c>
      <c r="P718" t="s">
        <v>165</v>
      </c>
      <c r="Q718" t="s">
        <v>179</v>
      </c>
      <c r="R718" t="s">
        <v>167</v>
      </c>
      <c r="S718" t="s">
        <v>168</v>
      </c>
      <c r="T718" t="s">
        <v>169</v>
      </c>
      <c r="U718" t="s">
        <v>318</v>
      </c>
      <c r="V718">
        <v>2</v>
      </c>
      <c r="W718" t="s">
        <v>170</v>
      </c>
      <c r="X718" t="s">
        <v>4126</v>
      </c>
      <c r="Y718" t="s">
        <v>153</v>
      </c>
      <c r="Z718" s="53" t="s">
        <v>4127</v>
      </c>
      <c r="AA718">
        <v>1</v>
      </c>
      <c r="AB718"/>
      <c r="AC718"/>
      <c r="AD718">
        <v>1</v>
      </c>
      <c r="AE718"/>
      <c r="AF718"/>
      <c r="BG718" t="str">
        <f t="shared" si="12"/>
        <v/>
      </c>
      <c r="BH718" s="3" t="str" cm="1">
        <f t="array" ref="BH718">IF(AE718=1, _xlfn.TEXTJOIN(" &amp; ", TRUE, _xlfn._xlws.FILTER($AG$2:$BC$2, AG718:BC718=1)), "")</f>
        <v/>
      </c>
    </row>
    <row r="719" spans="1:60" x14ac:dyDescent="0.3">
      <c r="A719" t="s">
        <v>4110</v>
      </c>
      <c r="B719" t="s">
        <v>4128</v>
      </c>
      <c r="C719" t="s">
        <v>4112</v>
      </c>
      <c r="D719">
        <v>2022</v>
      </c>
      <c r="E719" s="52" t="s">
        <v>4129</v>
      </c>
      <c r="F719">
        <v>2479375</v>
      </c>
      <c r="G719">
        <v>2482535</v>
      </c>
      <c r="H719" t="s">
        <v>4114</v>
      </c>
      <c r="I719" t="s">
        <v>4110</v>
      </c>
      <c r="J719" s="51">
        <v>3.6006944444444446E-2</v>
      </c>
      <c r="K719" t="s">
        <v>160</v>
      </c>
      <c r="L719" t="s">
        <v>4115</v>
      </c>
      <c r="M719" t="s">
        <v>4116</v>
      </c>
      <c r="N719" t="s">
        <v>178</v>
      </c>
      <c r="O719" t="s">
        <v>144</v>
      </c>
      <c r="P719" t="s">
        <v>165</v>
      </c>
      <c r="Q719" t="s">
        <v>179</v>
      </c>
      <c r="R719" t="s">
        <v>167</v>
      </c>
      <c r="S719" t="s">
        <v>168</v>
      </c>
      <c r="T719" t="s">
        <v>169</v>
      </c>
      <c r="U719" t="s">
        <v>318</v>
      </c>
      <c r="V719">
        <v>2</v>
      </c>
      <c r="W719" t="s">
        <v>170</v>
      </c>
      <c r="X719" t="s">
        <v>4130</v>
      </c>
      <c r="Y719" t="s">
        <v>153</v>
      </c>
      <c r="Z719" s="53" t="s">
        <v>4131</v>
      </c>
      <c r="AA719">
        <v>1</v>
      </c>
      <c r="AB719"/>
      <c r="AC719"/>
      <c r="AD719">
        <v>1</v>
      </c>
      <c r="AE719"/>
      <c r="AF719"/>
      <c r="BG719" t="str">
        <f t="shared" si="12"/>
        <v/>
      </c>
      <c r="BH719" s="3" t="str" cm="1">
        <f t="array" ref="BH719">IF(AE719=1, _xlfn.TEXTJOIN(" &amp; ", TRUE, _xlfn._xlws.FILTER($AG$2:$BC$2, AG719:BC719=1)), "")</f>
        <v/>
      </c>
    </row>
    <row r="720" spans="1:60" x14ac:dyDescent="0.3">
      <c r="A720" t="s">
        <v>4110</v>
      </c>
      <c r="B720" t="s">
        <v>4132</v>
      </c>
      <c r="C720" t="s">
        <v>4112</v>
      </c>
      <c r="D720">
        <v>2022</v>
      </c>
      <c r="E720" s="52" t="s">
        <v>4133</v>
      </c>
      <c r="F720">
        <v>2902291</v>
      </c>
      <c r="G720">
        <v>2908163</v>
      </c>
      <c r="H720" t="s">
        <v>4114</v>
      </c>
      <c r="I720" t="s">
        <v>4110</v>
      </c>
      <c r="J720" s="51">
        <v>3.6006944444444446E-2</v>
      </c>
      <c r="K720" t="s">
        <v>160</v>
      </c>
      <c r="L720" t="s">
        <v>4115</v>
      </c>
      <c r="M720" t="s">
        <v>4116</v>
      </c>
      <c r="N720" t="s">
        <v>178</v>
      </c>
      <c r="O720" t="s">
        <v>144</v>
      </c>
      <c r="P720" t="s">
        <v>165</v>
      </c>
      <c r="Q720" t="s">
        <v>179</v>
      </c>
      <c r="R720" t="s">
        <v>167</v>
      </c>
      <c r="S720" t="s">
        <v>168</v>
      </c>
      <c r="T720" t="s">
        <v>169</v>
      </c>
      <c r="U720" t="s">
        <v>318</v>
      </c>
      <c r="V720">
        <v>2</v>
      </c>
      <c r="W720" t="s">
        <v>170</v>
      </c>
      <c r="X720" t="s">
        <v>4134</v>
      </c>
      <c r="Y720" t="s">
        <v>153</v>
      </c>
      <c r="Z720" s="53" t="s">
        <v>4135</v>
      </c>
      <c r="AA720"/>
      <c r="AB720"/>
      <c r="AC720"/>
      <c r="AD720"/>
      <c r="AE720">
        <v>1</v>
      </c>
      <c r="AF720"/>
      <c r="AM720" s="7">
        <v>1</v>
      </c>
      <c r="BG720" t="str">
        <f t="shared" si="12"/>
        <v>Interazionale</v>
      </c>
      <c r="BH720" s="3" t="str" cm="1">
        <f t="array" ref="BH720">IF(AE720=1, _xlfn.TEXTJOIN(" &amp; ", TRUE, _xlfn._xlws.FILTER($AG$2:$BC$2, AG720:BC720=1)), "")</f>
        <v>Marcatura della conoscenza condivisa</v>
      </c>
    </row>
    <row r="721" spans="1:60" x14ac:dyDescent="0.3">
      <c r="A721" t="s">
        <v>4136</v>
      </c>
      <c r="B721" t="s">
        <v>4137</v>
      </c>
      <c r="C721" t="s">
        <v>4138</v>
      </c>
      <c r="D721" t="s">
        <v>204</v>
      </c>
      <c r="E721" s="52" t="s">
        <v>4139</v>
      </c>
      <c r="F721">
        <v>310337</v>
      </c>
      <c r="G721">
        <v>313621</v>
      </c>
      <c r="H721" t="s">
        <v>1251</v>
      </c>
      <c r="I721" t="s">
        <v>4136</v>
      </c>
      <c r="J721" s="51">
        <v>2.1180555555555557E-2</v>
      </c>
      <c r="K721" t="s">
        <v>160</v>
      </c>
      <c r="L721" t="s">
        <v>4140</v>
      </c>
      <c r="M721" t="s">
        <v>4141</v>
      </c>
      <c r="N721" t="s">
        <v>143</v>
      </c>
      <c r="O721" t="s">
        <v>144</v>
      </c>
      <c r="P721" t="s">
        <v>165</v>
      </c>
      <c r="Q721" t="s">
        <v>146</v>
      </c>
      <c r="R721" t="s">
        <v>167</v>
      </c>
      <c r="S721" t="s">
        <v>148</v>
      </c>
      <c r="T721" t="s">
        <v>169</v>
      </c>
      <c r="U721" t="s">
        <v>151</v>
      </c>
      <c r="V721">
        <v>2</v>
      </c>
      <c r="W721" t="s">
        <v>170</v>
      </c>
      <c r="X721" t="s">
        <v>4142</v>
      </c>
      <c r="Y721" t="s">
        <v>153</v>
      </c>
      <c r="Z721" s="53" t="s">
        <v>4143</v>
      </c>
      <c r="AA721">
        <v>1</v>
      </c>
      <c r="AB721">
        <v>1</v>
      </c>
      <c r="AC721"/>
      <c r="AD721"/>
      <c r="AE721"/>
      <c r="AF721"/>
      <c r="BG721" t="str">
        <f t="shared" si="12"/>
        <v/>
      </c>
      <c r="BH721" s="3" t="str" cm="1">
        <f t="array" ref="BH721">IF(AE721=1, _xlfn.TEXTJOIN(" &amp; ", TRUE, _xlfn._xlws.FILTER($AG$2:$BC$2, AG721:BC721=1)), "")</f>
        <v/>
      </c>
    </row>
    <row r="722" spans="1:60" x14ac:dyDescent="0.3">
      <c r="A722" t="s">
        <v>910</v>
      </c>
      <c r="B722" t="s">
        <v>4144</v>
      </c>
      <c r="C722" t="s">
        <v>912</v>
      </c>
      <c r="D722">
        <v>2019</v>
      </c>
      <c r="E722" s="52" t="s">
        <v>4145</v>
      </c>
      <c r="F722">
        <v>2528714</v>
      </c>
      <c r="G722">
        <v>2530190</v>
      </c>
      <c r="H722" t="s">
        <v>914</v>
      </c>
      <c r="I722" t="s">
        <v>910</v>
      </c>
      <c r="J722" s="51">
        <v>5.2245370370370373E-2</v>
      </c>
      <c r="K722" t="s">
        <v>160</v>
      </c>
      <c r="L722" t="s">
        <v>915</v>
      </c>
      <c r="M722" t="s">
        <v>916</v>
      </c>
      <c r="N722" t="s">
        <v>381</v>
      </c>
      <c r="O722" t="s">
        <v>144</v>
      </c>
      <c r="P722" t="s">
        <v>145</v>
      </c>
      <c r="Q722" t="s">
        <v>228</v>
      </c>
      <c r="R722" t="s">
        <v>167</v>
      </c>
      <c r="S722" t="s">
        <v>168</v>
      </c>
      <c r="T722" t="s">
        <v>149</v>
      </c>
      <c r="U722" t="s">
        <v>229</v>
      </c>
      <c r="V722">
        <v>4</v>
      </c>
      <c r="W722" t="s">
        <v>170</v>
      </c>
      <c r="X722" t="s">
        <v>4146</v>
      </c>
      <c r="Y722" t="s">
        <v>153</v>
      </c>
      <c r="Z722" s="53" t="s">
        <v>4147</v>
      </c>
      <c r="AA722"/>
      <c r="AB722"/>
      <c r="AC722"/>
      <c r="AD722"/>
      <c r="AE722">
        <v>1</v>
      </c>
      <c r="AF722"/>
      <c r="AU722" s="21">
        <v>1</v>
      </c>
      <c r="BG722" t="str">
        <f t="shared" si="12"/>
        <v>Metatestuale</v>
      </c>
      <c r="BH722" s="3" t="str" cm="1">
        <f t="array" ref="BH722">IF(AE722=1, _xlfn.TEXTJOIN(" &amp; ", TRUE, _xlfn._xlws.FILTER($AG$2:$BC$2, AG722:BC722=1)), "")</f>
        <v>Esemplificazione</v>
      </c>
    </row>
    <row r="723" spans="1:60" x14ac:dyDescent="0.3">
      <c r="A723" t="s">
        <v>910</v>
      </c>
      <c r="B723" t="s">
        <v>4148</v>
      </c>
      <c r="C723" t="s">
        <v>912</v>
      </c>
      <c r="D723">
        <v>2019</v>
      </c>
      <c r="E723" s="52" t="s">
        <v>4149</v>
      </c>
      <c r="F723">
        <v>2715600</v>
      </c>
      <c r="G723">
        <v>2717220</v>
      </c>
      <c r="H723" t="s">
        <v>914</v>
      </c>
      <c r="I723" t="s">
        <v>910</v>
      </c>
      <c r="J723" s="51">
        <v>5.2245370370370373E-2</v>
      </c>
      <c r="K723" t="s">
        <v>160</v>
      </c>
      <c r="L723" t="s">
        <v>915</v>
      </c>
      <c r="M723" t="s">
        <v>916</v>
      </c>
      <c r="N723" t="s">
        <v>381</v>
      </c>
      <c r="O723" t="s">
        <v>144</v>
      </c>
      <c r="P723" t="s">
        <v>145</v>
      </c>
      <c r="Q723" t="s">
        <v>228</v>
      </c>
      <c r="R723" t="s">
        <v>167</v>
      </c>
      <c r="S723" t="s">
        <v>168</v>
      </c>
      <c r="T723" t="s">
        <v>149</v>
      </c>
      <c r="U723" t="s">
        <v>229</v>
      </c>
      <c r="V723">
        <v>4</v>
      </c>
      <c r="W723" t="s">
        <v>170</v>
      </c>
      <c r="X723" t="s">
        <v>4150</v>
      </c>
      <c r="Y723" t="s">
        <v>153</v>
      </c>
      <c r="Z723" s="53" t="s">
        <v>4151</v>
      </c>
      <c r="AA723"/>
      <c r="AB723"/>
      <c r="AC723"/>
      <c r="AD723"/>
      <c r="AE723">
        <v>1</v>
      </c>
      <c r="AF723"/>
      <c r="AM723" s="7">
        <v>1</v>
      </c>
      <c r="AZ723" s="23">
        <v>1</v>
      </c>
      <c r="BG723" t="str">
        <f t="shared" si="12"/>
        <v>Interazionale &amp; Cognitiva</v>
      </c>
      <c r="BH723" s="3" t="str" cm="1">
        <f t="array" ref="BH723">IF(AE723=1, _xlfn.TEXTJOIN(" &amp; ", TRUE, _xlfn._xlws.FILTER($AG$2:$BC$2, AG723:BC723=1)), "")</f>
        <v>Marcatura della conoscenza condivisa &amp; Approssimazione</v>
      </c>
    </row>
    <row r="724" spans="1:60" x14ac:dyDescent="0.3">
      <c r="A724" t="s">
        <v>910</v>
      </c>
      <c r="B724" t="s">
        <v>4152</v>
      </c>
      <c r="C724" t="s">
        <v>912</v>
      </c>
      <c r="D724">
        <v>2019</v>
      </c>
      <c r="E724" s="52" t="s">
        <v>4153</v>
      </c>
      <c r="F724">
        <v>2858710</v>
      </c>
      <c r="G724">
        <v>2861447</v>
      </c>
      <c r="H724" t="s">
        <v>914</v>
      </c>
      <c r="I724" t="s">
        <v>910</v>
      </c>
      <c r="J724" s="51">
        <v>5.2245370370370373E-2</v>
      </c>
      <c r="K724" t="s">
        <v>160</v>
      </c>
      <c r="L724" t="s">
        <v>915</v>
      </c>
      <c r="M724" t="s">
        <v>916</v>
      </c>
      <c r="N724" t="s">
        <v>381</v>
      </c>
      <c r="O724" t="s">
        <v>144</v>
      </c>
      <c r="P724" t="s">
        <v>145</v>
      </c>
      <c r="Q724" t="s">
        <v>228</v>
      </c>
      <c r="R724" t="s">
        <v>167</v>
      </c>
      <c r="S724" t="s">
        <v>168</v>
      </c>
      <c r="T724" t="s">
        <v>149</v>
      </c>
      <c r="U724" t="s">
        <v>229</v>
      </c>
      <c r="V724">
        <v>4</v>
      </c>
      <c r="W724" t="s">
        <v>170</v>
      </c>
      <c r="X724" t="s">
        <v>4154</v>
      </c>
      <c r="Y724" t="s">
        <v>153</v>
      </c>
      <c r="Z724" s="53" t="s">
        <v>4155</v>
      </c>
      <c r="AA724"/>
      <c r="AB724"/>
      <c r="AC724"/>
      <c r="AD724"/>
      <c r="AE724">
        <v>1</v>
      </c>
      <c r="AF724"/>
      <c r="AH724" s="8">
        <v>1</v>
      </c>
      <c r="AM724" s="7">
        <v>1</v>
      </c>
      <c r="BD724" s="3">
        <v>1</v>
      </c>
      <c r="BG724" t="str">
        <f t="shared" si="12"/>
        <v>Interazionale</v>
      </c>
      <c r="BH724" s="3" t="str" cm="1">
        <f t="array" ref="BH724">IF(AE724=1, _xlfn.TEXTJOIN(" &amp; ", TRUE, _xlfn._xlws.FILTER($AG$2:$BC$2, AG724:BC724=1)), "")</f>
        <v>Richiesta di accordo/conferma &amp; Marcatura della conoscenza condivisa</v>
      </c>
    </row>
    <row r="725" spans="1:60" x14ac:dyDescent="0.3">
      <c r="A725" t="s">
        <v>910</v>
      </c>
      <c r="B725" t="s">
        <v>4156</v>
      </c>
      <c r="C725" t="s">
        <v>912</v>
      </c>
      <c r="D725">
        <v>2019</v>
      </c>
      <c r="E725" s="52" t="s">
        <v>4157</v>
      </c>
      <c r="F725">
        <v>3921280</v>
      </c>
      <c r="G725">
        <v>3921930</v>
      </c>
      <c r="H725" t="s">
        <v>4158</v>
      </c>
      <c r="I725" t="s">
        <v>910</v>
      </c>
      <c r="J725" s="51">
        <v>5.2245370370370373E-2</v>
      </c>
      <c r="K725" t="s">
        <v>160</v>
      </c>
      <c r="L725" t="s">
        <v>915</v>
      </c>
      <c r="M725" t="s">
        <v>916</v>
      </c>
      <c r="N725" t="s">
        <v>381</v>
      </c>
      <c r="O725" t="s">
        <v>144</v>
      </c>
      <c r="P725" t="s">
        <v>145</v>
      </c>
      <c r="Q725" t="s">
        <v>228</v>
      </c>
      <c r="R725" t="s">
        <v>167</v>
      </c>
      <c r="S725" t="s">
        <v>168</v>
      </c>
      <c r="T725" t="s">
        <v>149</v>
      </c>
      <c r="U725" t="s">
        <v>229</v>
      </c>
      <c r="V725">
        <v>4</v>
      </c>
      <c r="W725" t="s">
        <v>170</v>
      </c>
      <c r="X725" t="s">
        <v>4159</v>
      </c>
      <c r="Y725" t="s">
        <v>153</v>
      </c>
      <c r="Z725" s="53" t="s">
        <v>4160</v>
      </c>
      <c r="AA725">
        <v>1</v>
      </c>
      <c r="AB725"/>
      <c r="AC725">
        <v>1</v>
      </c>
      <c r="AD725"/>
      <c r="AE725"/>
      <c r="AF725"/>
      <c r="BG725" t="str">
        <f t="shared" si="12"/>
        <v/>
      </c>
      <c r="BH725" s="3" t="str" cm="1">
        <f t="array" ref="BH725">IF(AE725=1, _xlfn.TEXTJOIN(" &amp; ", TRUE, _xlfn._xlws.FILTER($AG$2:$BC$2, AG725:BC725=1)), "")</f>
        <v/>
      </c>
    </row>
    <row r="726" spans="1:60" x14ac:dyDescent="0.3">
      <c r="A726" t="s">
        <v>910</v>
      </c>
      <c r="B726" t="s">
        <v>911</v>
      </c>
      <c r="C726" t="s">
        <v>912</v>
      </c>
      <c r="D726">
        <v>2019</v>
      </c>
      <c r="E726" s="52" t="s">
        <v>913</v>
      </c>
      <c r="F726">
        <v>4047697</v>
      </c>
      <c r="G726">
        <v>4049358</v>
      </c>
      <c r="H726" t="s">
        <v>914</v>
      </c>
      <c r="I726" t="s">
        <v>910</v>
      </c>
      <c r="J726" s="51">
        <v>5.2245370370370373E-2</v>
      </c>
      <c r="K726" t="s">
        <v>160</v>
      </c>
      <c r="L726" t="s">
        <v>915</v>
      </c>
      <c r="M726" t="s">
        <v>916</v>
      </c>
      <c r="N726" t="s">
        <v>381</v>
      </c>
      <c r="O726" t="s">
        <v>144</v>
      </c>
      <c r="P726" t="s">
        <v>145</v>
      </c>
      <c r="Q726" t="s">
        <v>228</v>
      </c>
      <c r="R726" t="s">
        <v>167</v>
      </c>
      <c r="S726" t="s">
        <v>168</v>
      </c>
      <c r="T726" t="s">
        <v>149</v>
      </c>
      <c r="U726" t="s">
        <v>229</v>
      </c>
      <c r="V726">
        <v>4</v>
      </c>
      <c r="W726" t="s">
        <v>170</v>
      </c>
      <c r="X726" t="s">
        <v>917</v>
      </c>
      <c r="Y726" t="s">
        <v>153</v>
      </c>
      <c r="Z726" s="53" t="s">
        <v>918</v>
      </c>
      <c r="AA726"/>
      <c r="AB726"/>
      <c r="AC726"/>
      <c r="AD726"/>
      <c r="AE726">
        <v>1</v>
      </c>
      <c r="AF726"/>
      <c r="AM726" s="7">
        <v>1</v>
      </c>
      <c r="AW726" s="21">
        <v>1</v>
      </c>
      <c r="BD726" s="3">
        <v>1</v>
      </c>
      <c r="BG726" t="str">
        <f t="shared" si="12"/>
        <v>Interazionale &amp; Metatestuale</v>
      </c>
      <c r="BH726" s="3" t="str" cm="1">
        <f t="array" ref="BH726">IF(AE726=1, _xlfn.TEXTJOIN(" &amp; ", TRUE, _xlfn._xlws.FILTER($AG$2:$BC$2, AG726:BC726=1)), "")</f>
        <v>Marcatura della conoscenza condivisa &amp; General extenders e marche di generalizzazione</v>
      </c>
    </row>
    <row r="727" spans="1:60" x14ac:dyDescent="0.3">
      <c r="A727" t="s">
        <v>910</v>
      </c>
      <c r="B727" t="s">
        <v>4161</v>
      </c>
      <c r="C727" t="s">
        <v>912</v>
      </c>
      <c r="D727">
        <v>2019</v>
      </c>
      <c r="E727" s="52" t="s">
        <v>4162</v>
      </c>
      <c r="F727">
        <v>4137200</v>
      </c>
      <c r="G727">
        <v>4141310</v>
      </c>
      <c r="H727" t="s">
        <v>4163</v>
      </c>
      <c r="I727" t="s">
        <v>910</v>
      </c>
      <c r="J727" s="51">
        <v>5.2245370370370373E-2</v>
      </c>
      <c r="K727" t="s">
        <v>160</v>
      </c>
      <c r="L727" t="s">
        <v>915</v>
      </c>
      <c r="M727" t="s">
        <v>916</v>
      </c>
      <c r="N727" t="s">
        <v>182</v>
      </c>
      <c r="O727" t="s">
        <v>164</v>
      </c>
      <c r="P727" t="s">
        <v>145</v>
      </c>
      <c r="Q727" t="s">
        <v>179</v>
      </c>
      <c r="R727" t="s">
        <v>167</v>
      </c>
      <c r="S727" t="s">
        <v>168</v>
      </c>
      <c r="T727" t="s">
        <v>149</v>
      </c>
      <c r="U727" t="s">
        <v>229</v>
      </c>
      <c r="V727">
        <v>4</v>
      </c>
      <c r="W727" t="s">
        <v>170</v>
      </c>
      <c r="X727" t="s">
        <v>4164</v>
      </c>
      <c r="Y727" t="s">
        <v>153</v>
      </c>
      <c r="Z727" s="53" t="s">
        <v>4165</v>
      </c>
      <c r="AA727"/>
      <c r="AB727"/>
      <c r="AC727"/>
      <c r="AD727"/>
      <c r="AE727">
        <v>1</v>
      </c>
      <c r="AF727"/>
      <c r="AM727" s="7">
        <v>1</v>
      </c>
      <c r="AW727" s="21">
        <v>1</v>
      </c>
      <c r="BD727" s="3">
        <v>1</v>
      </c>
      <c r="BG727" t="str">
        <f t="shared" si="12"/>
        <v>Interazionale &amp; Metatestuale</v>
      </c>
      <c r="BH727" s="3" t="str" cm="1">
        <f t="array" ref="BH727">IF(AE727=1, _xlfn.TEXTJOIN(" &amp; ", TRUE, _xlfn._xlws.FILTER($AG$2:$BC$2, AG727:BC727=1)), "")</f>
        <v>Marcatura della conoscenza condivisa &amp; General extenders e marche di generalizzazione</v>
      </c>
    </row>
    <row r="728" spans="1:60" x14ac:dyDescent="0.3">
      <c r="A728" t="s">
        <v>4166</v>
      </c>
      <c r="B728" t="s">
        <v>4167</v>
      </c>
      <c r="C728" t="s">
        <v>4168</v>
      </c>
      <c r="D728">
        <v>2019</v>
      </c>
      <c r="E728" s="52" t="s">
        <v>4169</v>
      </c>
      <c r="F728">
        <v>253397</v>
      </c>
      <c r="G728">
        <v>262800</v>
      </c>
      <c r="H728" t="s">
        <v>4170</v>
      </c>
      <c r="I728" t="s">
        <v>4166</v>
      </c>
      <c r="J728" s="51">
        <v>1.2002314814814815E-2</v>
      </c>
      <c r="K728" t="s">
        <v>160</v>
      </c>
      <c r="L728" t="s">
        <v>4171</v>
      </c>
      <c r="M728" t="s">
        <v>4172</v>
      </c>
      <c r="N728" t="s">
        <v>381</v>
      </c>
      <c r="O728" t="s">
        <v>164</v>
      </c>
      <c r="P728" t="s">
        <v>145</v>
      </c>
      <c r="Q728" t="s">
        <v>337</v>
      </c>
      <c r="R728" t="s">
        <v>167</v>
      </c>
      <c r="S728" t="s">
        <v>168</v>
      </c>
      <c r="T728" t="s">
        <v>149</v>
      </c>
      <c r="U728" t="s">
        <v>198</v>
      </c>
      <c r="V728">
        <v>2</v>
      </c>
      <c r="W728" t="s">
        <v>170</v>
      </c>
      <c r="X728" t="s">
        <v>4173</v>
      </c>
      <c r="Y728" t="s">
        <v>153</v>
      </c>
      <c r="Z728" s="53" t="s">
        <v>4174</v>
      </c>
      <c r="AA728">
        <v>1</v>
      </c>
      <c r="AB728"/>
      <c r="AC728">
        <v>1</v>
      </c>
      <c r="AD728"/>
      <c r="AE728"/>
      <c r="AF728"/>
      <c r="BG728" t="str">
        <f t="shared" si="12"/>
        <v/>
      </c>
      <c r="BH728" s="3" t="str" cm="1">
        <f t="array" ref="BH728">IF(AE728=1, _xlfn.TEXTJOIN(" &amp; ", TRUE, _xlfn._xlws.FILTER($AG$2:$BC$2, AG728:BC728=1)), "")</f>
        <v/>
      </c>
    </row>
    <row r="729" spans="1:60" x14ac:dyDescent="0.3">
      <c r="A729" t="s">
        <v>4175</v>
      </c>
      <c r="B729" t="s">
        <v>4176</v>
      </c>
      <c r="C729" t="s">
        <v>4177</v>
      </c>
      <c r="D729">
        <v>2019</v>
      </c>
      <c r="E729" s="52" t="s">
        <v>4178</v>
      </c>
      <c r="F729">
        <v>2495110</v>
      </c>
      <c r="G729">
        <v>2499103</v>
      </c>
      <c r="H729" t="s">
        <v>4179</v>
      </c>
      <c r="I729" t="s">
        <v>4175</v>
      </c>
      <c r="J729" s="51">
        <v>4.7141203703703706E-2</v>
      </c>
      <c r="K729" t="s">
        <v>160</v>
      </c>
      <c r="L729" t="s">
        <v>4180</v>
      </c>
      <c r="M729" t="s">
        <v>4181</v>
      </c>
      <c r="N729" t="s">
        <v>227</v>
      </c>
      <c r="O729" t="s">
        <v>164</v>
      </c>
      <c r="P729" t="s">
        <v>145</v>
      </c>
      <c r="Q729" t="s">
        <v>179</v>
      </c>
      <c r="R729" t="s">
        <v>167</v>
      </c>
      <c r="S729" t="s">
        <v>168</v>
      </c>
      <c r="T729" t="s">
        <v>149</v>
      </c>
      <c r="U729" t="s">
        <v>318</v>
      </c>
      <c r="V729">
        <v>3</v>
      </c>
      <c r="W729" t="s">
        <v>170</v>
      </c>
      <c r="X729" t="s">
        <v>4182</v>
      </c>
      <c r="Y729" t="s">
        <v>153</v>
      </c>
      <c r="Z729" s="53" t="s">
        <v>4183</v>
      </c>
      <c r="AA729">
        <v>1</v>
      </c>
      <c r="AB729">
        <v>1</v>
      </c>
      <c r="AC729"/>
      <c r="AD729"/>
      <c r="AE729"/>
      <c r="AF729"/>
      <c r="BG729" t="str">
        <f t="shared" si="12"/>
        <v/>
      </c>
      <c r="BH729" s="3" t="str" cm="1">
        <f t="array" ref="BH729">IF(AE729=1, _xlfn.TEXTJOIN(" &amp; ", TRUE, _xlfn._xlws.FILTER($AG$2:$BC$2, AG729:BC729=1)), "")</f>
        <v/>
      </c>
    </row>
    <row r="730" spans="1:60" x14ac:dyDescent="0.3">
      <c r="A730" t="s">
        <v>4184</v>
      </c>
      <c r="B730" t="s">
        <v>4185</v>
      </c>
      <c r="C730" t="s">
        <v>4186</v>
      </c>
      <c r="D730">
        <v>2022</v>
      </c>
      <c r="E730" s="52" t="s">
        <v>4187</v>
      </c>
      <c r="F730">
        <v>436227</v>
      </c>
      <c r="G730">
        <v>440488</v>
      </c>
      <c r="H730" t="s">
        <v>4188</v>
      </c>
      <c r="I730" t="s">
        <v>4184</v>
      </c>
      <c r="J730" s="51">
        <v>2.2152777777777778E-2</v>
      </c>
      <c r="K730" t="s">
        <v>160</v>
      </c>
      <c r="L730" t="s">
        <v>4189</v>
      </c>
      <c r="M730" t="s">
        <v>4190</v>
      </c>
      <c r="N730" t="s">
        <v>246</v>
      </c>
      <c r="O730" t="s">
        <v>144</v>
      </c>
      <c r="P730" t="s">
        <v>165</v>
      </c>
      <c r="Q730" t="s">
        <v>337</v>
      </c>
      <c r="R730" t="s">
        <v>167</v>
      </c>
      <c r="S730" t="s">
        <v>168</v>
      </c>
      <c r="T730" t="s">
        <v>603</v>
      </c>
      <c r="U730" t="s">
        <v>183</v>
      </c>
      <c r="V730">
        <v>2</v>
      </c>
      <c r="W730" t="s">
        <v>170</v>
      </c>
      <c r="X730" t="s">
        <v>4191</v>
      </c>
      <c r="Y730" t="s">
        <v>153</v>
      </c>
      <c r="Z730" s="53" t="s">
        <v>4192</v>
      </c>
      <c r="AA730">
        <v>1</v>
      </c>
      <c r="AB730"/>
      <c r="AC730">
        <v>1</v>
      </c>
      <c r="AD730"/>
      <c r="AE730"/>
      <c r="AF730"/>
      <c r="BG730" t="str">
        <f t="shared" si="12"/>
        <v/>
      </c>
      <c r="BH730" s="3" t="str" cm="1">
        <f t="array" ref="BH730">IF(AE730=1, _xlfn.TEXTJOIN(" &amp; ", TRUE, _xlfn._xlws.FILTER($AG$2:$BC$2, AG730:BC730=1)), "")</f>
        <v/>
      </c>
    </row>
    <row r="731" spans="1:60" x14ac:dyDescent="0.3">
      <c r="A731" t="s">
        <v>4184</v>
      </c>
      <c r="B731" t="s">
        <v>4193</v>
      </c>
      <c r="C731" t="s">
        <v>4186</v>
      </c>
      <c r="D731">
        <v>2022</v>
      </c>
      <c r="E731" s="52" t="s">
        <v>4194</v>
      </c>
      <c r="F731">
        <v>519741</v>
      </c>
      <c r="G731">
        <v>523938</v>
      </c>
      <c r="H731" t="s">
        <v>4188</v>
      </c>
      <c r="I731" t="s">
        <v>4184</v>
      </c>
      <c r="J731" s="51">
        <v>2.2152777777777778E-2</v>
      </c>
      <c r="K731" t="s">
        <v>160</v>
      </c>
      <c r="L731" t="s">
        <v>4189</v>
      </c>
      <c r="M731" t="s">
        <v>4190</v>
      </c>
      <c r="N731" t="s">
        <v>246</v>
      </c>
      <c r="O731" t="s">
        <v>144</v>
      </c>
      <c r="P731" t="s">
        <v>165</v>
      </c>
      <c r="Q731" t="s">
        <v>337</v>
      </c>
      <c r="R731" t="s">
        <v>167</v>
      </c>
      <c r="S731" t="s">
        <v>168</v>
      </c>
      <c r="T731" t="s">
        <v>603</v>
      </c>
      <c r="U731" t="s">
        <v>183</v>
      </c>
      <c r="V731">
        <v>2</v>
      </c>
      <c r="W731" t="s">
        <v>170</v>
      </c>
      <c r="X731" t="s">
        <v>4195</v>
      </c>
      <c r="Y731" t="s">
        <v>153</v>
      </c>
      <c r="Z731" s="53" t="s">
        <v>4196</v>
      </c>
      <c r="AA731">
        <v>1</v>
      </c>
      <c r="AB731"/>
      <c r="AC731">
        <v>1</v>
      </c>
      <c r="AD731"/>
      <c r="AE731"/>
      <c r="AF731"/>
      <c r="BG731" t="str">
        <f t="shared" si="12"/>
        <v/>
      </c>
      <c r="BH731" s="3" t="str" cm="1">
        <f t="array" ref="BH731">IF(AE731=1, _xlfn.TEXTJOIN(" &amp; ", TRUE, _xlfn._xlws.FILTER($AG$2:$BC$2, AG731:BC731=1)), "")</f>
        <v/>
      </c>
    </row>
    <row r="732" spans="1:60" x14ac:dyDescent="0.3">
      <c r="A732" t="s">
        <v>4184</v>
      </c>
      <c r="B732" t="s">
        <v>4197</v>
      </c>
      <c r="C732" t="s">
        <v>4186</v>
      </c>
      <c r="D732">
        <v>2022</v>
      </c>
      <c r="E732" s="52" t="s">
        <v>4198</v>
      </c>
      <c r="F732">
        <v>1463280</v>
      </c>
      <c r="G732">
        <v>1468045</v>
      </c>
      <c r="H732" t="s">
        <v>4188</v>
      </c>
      <c r="I732" t="s">
        <v>4184</v>
      </c>
      <c r="J732" s="51">
        <v>2.2152777777777778E-2</v>
      </c>
      <c r="K732" t="s">
        <v>160</v>
      </c>
      <c r="L732" t="s">
        <v>4189</v>
      </c>
      <c r="M732" t="s">
        <v>4190</v>
      </c>
      <c r="N732" t="s">
        <v>246</v>
      </c>
      <c r="O732" t="s">
        <v>144</v>
      </c>
      <c r="P732" t="s">
        <v>165</v>
      </c>
      <c r="Q732" t="s">
        <v>337</v>
      </c>
      <c r="R732" t="s">
        <v>167</v>
      </c>
      <c r="S732" t="s">
        <v>168</v>
      </c>
      <c r="T732" t="s">
        <v>603</v>
      </c>
      <c r="U732" t="s">
        <v>183</v>
      </c>
      <c r="V732">
        <v>2</v>
      </c>
      <c r="W732" t="s">
        <v>170</v>
      </c>
      <c r="X732" t="s">
        <v>4199</v>
      </c>
      <c r="Y732" t="s">
        <v>153</v>
      </c>
      <c r="Z732" s="53" t="s">
        <v>4200</v>
      </c>
      <c r="AA732"/>
      <c r="AB732"/>
      <c r="AC732"/>
      <c r="AD732"/>
      <c r="AE732">
        <v>1</v>
      </c>
      <c r="AF732"/>
      <c r="AU732" s="21">
        <v>1</v>
      </c>
      <c r="BG732" t="str">
        <f t="shared" si="12"/>
        <v>Metatestuale</v>
      </c>
      <c r="BH732" s="3" t="str" cm="1">
        <f t="array" ref="BH732">IF(AE732=1, _xlfn.TEXTJOIN(" &amp; ", TRUE, _xlfn._xlws.FILTER($AG$2:$BC$2, AG732:BC732=1)), "")</f>
        <v>Esemplificazione</v>
      </c>
    </row>
    <row r="733" spans="1:60" x14ac:dyDescent="0.3">
      <c r="A733" t="s">
        <v>4184</v>
      </c>
      <c r="B733" t="s">
        <v>4201</v>
      </c>
      <c r="C733" t="s">
        <v>4186</v>
      </c>
      <c r="D733">
        <v>2022</v>
      </c>
      <c r="E733" s="52" t="s">
        <v>4202</v>
      </c>
      <c r="F733">
        <v>1619638</v>
      </c>
      <c r="G733">
        <v>1624600</v>
      </c>
      <c r="H733" t="s">
        <v>4188</v>
      </c>
      <c r="I733" t="s">
        <v>4184</v>
      </c>
      <c r="J733" s="51">
        <v>2.2152777777777778E-2</v>
      </c>
      <c r="K733" t="s">
        <v>160</v>
      </c>
      <c r="L733" t="s">
        <v>4189</v>
      </c>
      <c r="M733" t="s">
        <v>4190</v>
      </c>
      <c r="N733" t="s">
        <v>246</v>
      </c>
      <c r="O733" t="s">
        <v>144</v>
      </c>
      <c r="P733" t="s">
        <v>165</v>
      </c>
      <c r="Q733" t="s">
        <v>337</v>
      </c>
      <c r="R733" t="s">
        <v>167</v>
      </c>
      <c r="S733" t="s">
        <v>168</v>
      </c>
      <c r="T733" t="s">
        <v>603</v>
      </c>
      <c r="U733" t="s">
        <v>183</v>
      </c>
      <c r="V733">
        <v>2</v>
      </c>
      <c r="W733" t="s">
        <v>170</v>
      </c>
      <c r="X733" t="s">
        <v>4203</v>
      </c>
      <c r="Y733" t="s">
        <v>153</v>
      </c>
      <c r="Z733" s="53" t="s">
        <v>4204</v>
      </c>
      <c r="AA733">
        <v>1</v>
      </c>
      <c r="AB733">
        <v>1</v>
      </c>
      <c r="AC733"/>
      <c r="AD733"/>
      <c r="AE733"/>
      <c r="AF733"/>
      <c r="BG733" t="str">
        <f t="shared" si="12"/>
        <v/>
      </c>
      <c r="BH733" s="3" t="str" cm="1">
        <f t="array" ref="BH733">IF(AE733=1, _xlfn.TEXTJOIN(" &amp; ", TRUE, _xlfn._xlws.FILTER($AG$2:$BC$2, AG733:BC733=1)), "")</f>
        <v/>
      </c>
    </row>
    <row r="734" spans="1:60" x14ac:dyDescent="0.3">
      <c r="A734" t="s">
        <v>4184</v>
      </c>
      <c r="B734" t="s">
        <v>4205</v>
      </c>
      <c r="C734" t="s">
        <v>4186</v>
      </c>
      <c r="D734">
        <v>2022</v>
      </c>
      <c r="E734" s="52" t="s">
        <v>4202</v>
      </c>
      <c r="F734">
        <v>1619638</v>
      </c>
      <c r="G734">
        <v>1624600</v>
      </c>
      <c r="H734" t="s">
        <v>4188</v>
      </c>
      <c r="I734" t="s">
        <v>4184</v>
      </c>
      <c r="J734" s="51">
        <v>2.2152777777777778E-2</v>
      </c>
      <c r="K734" t="s">
        <v>160</v>
      </c>
      <c r="L734" t="s">
        <v>4189</v>
      </c>
      <c r="M734" t="s">
        <v>4190</v>
      </c>
      <c r="N734" t="s">
        <v>246</v>
      </c>
      <c r="O734" t="s">
        <v>144</v>
      </c>
      <c r="P734" t="s">
        <v>165</v>
      </c>
      <c r="Q734" t="s">
        <v>337</v>
      </c>
      <c r="R734" t="s">
        <v>167</v>
      </c>
      <c r="S734" t="s">
        <v>168</v>
      </c>
      <c r="T734" t="s">
        <v>603</v>
      </c>
      <c r="U734" t="s">
        <v>183</v>
      </c>
      <c r="V734">
        <v>2</v>
      </c>
      <c r="W734" t="s">
        <v>170</v>
      </c>
      <c r="X734" t="s">
        <v>4206</v>
      </c>
      <c r="Y734" t="s">
        <v>153</v>
      </c>
      <c r="Z734" s="53" t="s">
        <v>4207</v>
      </c>
      <c r="AA734">
        <v>1</v>
      </c>
      <c r="AB734">
        <v>1</v>
      </c>
      <c r="AC734"/>
      <c r="AD734"/>
      <c r="AE734"/>
      <c r="AF734"/>
      <c r="BG734" t="str">
        <f t="shared" si="12"/>
        <v/>
      </c>
      <c r="BH734" s="3" t="str" cm="1">
        <f t="array" ref="BH734">IF(AE734=1, _xlfn.TEXTJOIN(" &amp; ", TRUE, _xlfn._xlws.FILTER($AG$2:$BC$2, AG734:BC734=1)), "")</f>
        <v/>
      </c>
    </row>
    <row r="735" spans="1:60" x14ac:dyDescent="0.3">
      <c r="A735" t="s">
        <v>4184</v>
      </c>
      <c r="B735" t="s">
        <v>4208</v>
      </c>
      <c r="C735" t="s">
        <v>4186</v>
      </c>
      <c r="D735">
        <v>2022</v>
      </c>
      <c r="E735" s="52" t="s">
        <v>4202</v>
      </c>
      <c r="F735">
        <v>1619638</v>
      </c>
      <c r="G735">
        <v>1624600</v>
      </c>
      <c r="H735" t="s">
        <v>4188</v>
      </c>
      <c r="I735" t="s">
        <v>4184</v>
      </c>
      <c r="J735" s="51">
        <v>2.2152777777777778E-2</v>
      </c>
      <c r="K735" t="s">
        <v>160</v>
      </c>
      <c r="L735" t="s">
        <v>4189</v>
      </c>
      <c r="M735" t="s">
        <v>4190</v>
      </c>
      <c r="N735" t="s">
        <v>246</v>
      </c>
      <c r="O735" t="s">
        <v>144</v>
      </c>
      <c r="P735" t="s">
        <v>165</v>
      </c>
      <c r="Q735" t="s">
        <v>337</v>
      </c>
      <c r="R735" t="s">
        <v>167</v>
      </c>
      <c r="S735" t="s">
        <v>168</v>
      </c>
      <c r="T735" t="s">
        <v>603</v>
      </c>
      <c r="U735" t="s">
        <v>183</v>
      </c>
      <c r="V735">
        <v>2</v>
      </c>
      <c r="W735" t="s">
        <v>170</v>
      </c>
      <c r="X735" t="s">
        <v>4209</v>
      </c>
      <c r="Y735" t="s">
        <v>153</v>
      </c>
      <c r="Z735" s="53" t="s">
        <v>4210</v>
      </c>
      <c r="AA735">
        <v>1</v>
      </c>
      <c r="AB735">
        <v>1</v>
      </c>
      <c r="AC735"/>
      <c r="AD735"/>
      <c r="AE735"/>
      <c r="AF735"/>
      <c r="BG735" t="str">
        <f t="shared" si="12"/>
        <v/>
      </c>
      <c r="BH735" s="3" t="str" cm="1">
        <f t="array" ref="BH735">IF(AE735=1, _xlfn.TEXTJOIN(" &amp; ", TRUE, _xlfn._xlws.FILTER($AG$2:$BC$2, AG735:BC735=1)), "")</f>
        <v/>
      </c>
    </row>
    <row r="736" spans="1:60" x14ac:dyDescent="0.3">
      <c r="A736" t="s">
        <v>4184</v>
      </c>
      <c r="B736" t="s">
        <v>4211</v>
      </c>
      <c r="C736" t="s">
        <v>4186</v>
      </c>
      <c r="D736">
        <v>2022</v>
      </c>
      <c r="E736" s="52" t="s">
        <v>4212</v>
      </c>
      <c r="F736">
        <v>1823138</v>
      </c>
      <c r="G736">
        <v>1825594</v>
      </c>
      <c r="H736" t="s">
        <v>1797</v>
      </c>
      <c r="I736" t="s">
        <v>4184</v>
      </c>
      <c r="J736" s="51">
        <v>2.2152777777777778E-2</v>
      </c>
      <c r="K736" t="s">
        <v>160</v>
      </c>
      <c r="L736" t="s">
        <v>4189</v>
      </c>
      <c r="M736" t="s">
        <v>4190</v>
      </c>
      <c r="N736" t="s">
        <v>143</v>
      </c>
      <c r="O736" t="s">
        <v>164</v>
      </c>
      <c r="P736" t="s">
        <v>165</v>
      </c>
      <c r="Q736" t="s">
        <v>146</v>
      </c>
      <c r="R736" t="s">
        <v>167</v>
      </c>
      <c r="S736" t="s">
        <v>168</v>
      </c>
      <c r="T736" t="s">
        <v>491</v>
      </c>
      <c r="U736" t="s">
        <v>151</v>
      </c>
      <c r="V736">
        <v>2</v>
      </c>
      <c r="W736" t="s">
        <v>170</v>
      </c>
      <c r="X736" t="s">
        <v>4213</v>
      </c>
      <c r="Y736" t="s">
        <v>153</v>
      </c>
      <c r="Z736" s="53" t="s">
        <v>4214</v>
      </c>
      <c r="AA736">
        <v>1</v>
      </c>
      <c r="AB736">
        <v>1</v>
      </c>
      <c r="AC736"/>
      <c r="AD736"/>
      <c r="AE736"/>
      <c r="AF736"/>
      <c r="BG736" t="str">
        <f t="shared" si="12"/>
        <v/>
      </c>
      <c r="BH736" s="3" t="str" cm="1">
        <f t="array" ref="BH736">IF(AE736=1, _xlfn.TEXTJOIN(" &amp; ", TRUE, _xlfn._xlws.FILTER($AG$2:$BC$2, AG736:BC736=1)), "")</f>
        <v/>
      </c>
    </row>
    <row r="737" spans="1:60" x14ac:dyDescent="0.3">
      <c r="A737" t="s">
        <v>4184</v>
      </c>
      <c r="B737" t="s">
        <v>4215</v>
      </c>
      <c r="C737" t="s">
        <v>4186</v>
      </c>
      <c r="D737">
        <v>2022</v>
      </c>
      <c r="E737" s="52" t="s">
        <v>4212</v>
      </c>
      <c r="F737">
        <v>1823138</v>
      </c>
      <c r="G737">
        <v>1825594</v>
      </c>
      <c r="H737" t="s">
        <v>1797</v>
      </c>
      <c r="I737" t="s">
        <v>4184</v>
      </c>
      <c r="J737" s="51">
        <v>2.2152777777777778E-2</v>
      </c>
      <c r="K737" t="s">
        <v>160</v>
      </c>
      <c r="L737" t="s">
        <v>4189</v>
      </c>
      <c r="M737" t="s">
        <v>4190</v>
      </c>
      <c r="N737" t="s">
        <v>143</v>
      </c>
      <c r="O737" t="s">
        <v>164</v>
      </c>
      <c r="P737" t="s">
        <v>165</v>
      </c>
      <c r="Q737" t="s">
        <v>146</v>
      </c>
      <c r="R737" t="s">
        <v>167</v>
      </c>
      <c r="S737" t="s">
        <v>168</v>
      </c>
      <c r="T737" t="s">
        <v>491</v>
      </c>
      <c r="U737" t="s">
        <v>151</v>
      </c>
      <c r="V737">
        <v>2</v>
      </c>
      <c r="W737" t="s">
        <v>170</v>
      </c>
      <c r="X737" t="s">
        <v>4216</v>
      </c>
      <c r="Y737" t="s">
        <v>153</v>
      </c>
      <c r="Z737" s="53" t="s">
        <v>4217</v>
      </c>
      <c r="AA737">
        <v>1</v>
      </c>
      <c r="AB737">
        <v>1</v>
      </c>
      <c r="AC737"/>
      <c r="AD737"/>
      <c r="AE737"/>
      <c r="AF737"/>
      <c r="BG737" t="str">
        <f t="shared" si="12"/>
        <v/>
      </c>
      <c r="BH737" s="3" t="str" cm="1">
        <f t="array" ref="BH737">IF(AE737=1, _xlfn.TEXTJOIN(" &amp; ", TRUE, _xlfn._xlws.FILTER($AG$2:$BC$2, AG737:BC737=1)), "")</f>
        <v/>
      </c>
    </row>
    <row r="738" spans="1:60" x14ac:dyDescent="0.3">
      <c r="A738" t="s">
        <v>919</v>
      </c>
      <c r="B738" t="s">
        <v>4218</v>
      </c>
      <c r="C738" t="s">
        <v>920</v>
      </c>
      <c r="D738">
        <v>2019</v>
      </c>
      <c r="E738" s="52" t="s">
        <v>4219</v>
      </c>
      <c r="F738">
        <v>1690747</v>
      </c>
      <c r="G738">
        <v>1692801</v>
      </c>
      <c r="H738" t="s">
        <v>921</v>
      </c>
      <c r="I738" t="s">
        <v>919</v>
      </c>
      <c r="J738" s="51">
        <v>4.5277777777777778E-2</v>
      </c>
      <c r="K738" t="s">
        <v>160</v>
      </c>
      <c r="L738" t="s">
        <v>922</v>
      </c>
      <c r="M738" t="s">
        <v>923</v>
      </c>
      <c r="N738" t="s">
        <v>336</v>
      </c>
      <c r="O738" t="s">
        <v>164</v>
      </c>
      <c r="P738" t="s">
        <v>145</v>
      </c>
      <c r="Q738" t="s">
        <v>527</v>
      </c>
      <c r="R738" t="s">
        <v>167</v>
      </c>
      <c r="S738" t="s">
        <v>168</v>
      </c>
      <c r="T738" t="s">
        <v>149</v>
      </c>
      <c r="U738" t="s">
        <v>171</v>
      </c>
      <c r="V738">
        <v>4</v>
      </c>
      <c r="W738" t="s">
        <v>170</v>
      </c>
      <c r="X738" t="s">
        <v>4220</v>
      </c>
      <c r="Y738" t="s">
        <v>153</v>
      </c>
      <c r="Z738" s="53" t="s">
        <v>4221</v>
      </c>
      <c r="AA738"/>
      <c r="AB738"/>
      <c r="AC738"/>
      <c r="AD738"/>
      <c r="AE738">
        <v>1</v>
      </c>
      <c r="AF738"/>
      <c r="AM738" s="7">
        <v>1</v>
      </c>
      <c r="BG738" t="str">
        <f t="shared" si="12"/>
        <v>Interazionale</v>
      </c>
      <c r="BH738" s="3" t="str" cm="1">
        <f t="array" ref="BH738">IF(AE738=1, _xlfn.TEXTJOIN(" &amp; ", TRUE, _xlfn._xlws.FILTER($AG$2:$BC$2, AG738:BC738=1)), "")</f>
        <v>Marcatura della conoscenza condivisa</v>
      </c>
    </row>
    <row r="739" spans="1:60" x14ac:dyDescent="0.3">
      <c r="A739" t="s">
        <v>919</v>
      </c>
      <c r="B739" t="s">
        <v>4222</v>
      </c>
      <c r="C739" t="s">
        <v>920</v>
      </c>
      <c r="D739">
        <v>2019</v>
      </c>
      <c r="E739" s="52" t="s">
        <v>4223</v>
      </c>
      <c r="F739">
        <v>1932019</v>
      </c>
      <c r="G739">
        <v>1937810</v>
      </c>
      <c r="H739" t="s">
        <v>921</v>
      </c>
      <c r="I739" t="s">
        <v>919</v>
      </c>
      <c r="J739" s="51">
        <v>4.5277777777777778E-2</v>
      </c>
      <c r="K739" t="s">
        <v>160</v>
      </c>
      <c r="L739" t="s">
        <v>922</v>
      </c>
      <c r="M739" t="s">
        <v>923</v>
      </c>
      <c r="N739" t="s">
        <v>336</v>
      </c>
      <c r="O739" t="s">
        <v>164</v>
      </c>
      <c r="P739" t="s">
        <v>145</v>
      </c>
      <c r="Q739" t="s">
        <v>527</v>
      </c>
      <c r="R739" t="s">
        <v>167</v>
      </c>
      <c r="S739" t="s">
        <v>168</v>
      </c>
      <c r="T739" t="s">
        <v>149</v>
      </c>
      <c r="U739" t="s">
        <v>171</v>
      </c>
      <c r="V739">
        <v>4</v>
      </c>
      <c r="W739" t="s">
        <v>170</v>
      </c>
      <c r="X739" t="s">
        <v>4224</v>
      </c>
      <c r="Y739" t="s">
        <v>153</v>
      </c>
      <c r="Z739" s="53" t="s">
        <v>4225</v>
      </c>
      <c r="AA739">
        <v>1</v>
      </c>
      <c r="AB739"/>
      <c r="AC739"/>
      <c r="AD739">
        <v>1</v>
      </c>
      <c r="AE739"/>
      <c r="AF739"/>
      <c r="BG739" t="str">
        <f t="shared" si="12"/>
        <v/>
      </c>
      <c r="BH739" s="3" t="str" cm="1">
        <f t="array" ref="BH739">IF(AE739=1, _xlfn.TEXTJOIN(" &amp; ", TRUE, _xlfn._xlws.FILTER($AG$2:$BC$2, AG739:BC739=1)), "")</f>
        <v/>
      </c>
    </row>
    <row r="740" spans="1:60" x14ac:dyDescent="0.3">
      <c r="A740" t="s">
        <v>919</v>
      </c>
      <c r="B740" t="s">
        <v>4226</v>
      </c>
      <c r="C740" t="s">
        <v>920</v>
      </c>
      <c r="D740">
        <v>2019</v>
      </c>
      <c r="E740" s="52" t="s">
        <v>4227</v>
      </c>
      <c r="F740">
        <v>3552915</v>
      </c>
      <c r="G740">
        <v>3555400</v>
      </c>
      <c r="H740" t="s">
        <v>921</v>
      </c>
      <c r="I740" t="s">
        <v>919</v>
      </c>
      <c r="J740" s="51">
        <v>4.5277777777777778E-2</v>
      </c>
      <c r="K740" t="s">
        <v>160</v>
      </c>
      <c r="L740" t="s">
        <v>922</v>
      </c>
      <c r="M740" t="s">
        <v>923</v>
      </c>
      <c r="N740" t="s">
        <v>336</v>
      </c>
      <c r="O740" t="s">
        <v>164</v>
      </c>
      <c r="P740" t="s">
        <v>145</v>
      </c>
      <c r="Q740" t="s">
        <v>527</v>
      </c>
      <c r="R740" t="s">
        <v>167</v>
      </c>
      <c r="S740" t="s">
        <v>168</v>
      </c>
      <c r="T740" t="s">
        <v>149</v>
      </c>
      <c r="U740" t="s">
        <v>171</v>
      </c>
      <c r="V740">
        <v>4</v>
      </c>
      <c r="W740" t="s">
        <v>170</v>
      </c>
      <c r="X740" t="s">
        <v>4228</v>
      </c>
      <c r="Y740" t="s">
        <v>153</v>
      </c>
      <c r="Z740" s="53" t="s">
        <v>4229</v>
      </c>
      <c r="AA740">
        <v>1</v>
      </c>
      <c r="AB740"/>
      <c r="AC740">
        <v>1</v>
      </c>
      <c r="AD740"/>
      <c r="AE740"/>
      <c r="AF740"/>
      <c r="BG740" t="str">
        <f t="shared" si="12"/>
        <v/>
      </c>
      <c r="BH740" s="3" t="str" cm="1">
        <f t="array" ref="BH740">IF(AE740=1, _xlfn.TEXTJOIN(" &amp; ", TRUE, _xlfn._xlws.FILTER($AG$2:$BC$2, AG740:BC740=1)), "")</f>
        <v/>
      </c>
    </row>
    <row r="741" spans="1:60" x14ac:dyDescent="0.3">
      <c r="A741" t="s">
        <v>919</v>
      </c>
      <c r="B741" t="s">
        <v>4230</v>
      </c>
      <c r="C741" t="s">
        <v>920</v>
      </c>
      <c r="D741">
        <v>2019</v>
      </c>
      <c r="E741" s="52" t="s">
        <v>4231</v>
      </c>
      <c r="F741">
        <v>3859725</v>
      </c>
      <c r="G741">
        <v>3860460</v>
      </c>
      <c r="H741" t="s">
        <v>921</v>
      </c>
      <c r="I741" t="s">
        <v>919</v>
      </c>
      <c r="J741" s="51">
        <v>4.5277777777777778E-2</v>
      </c>
      <c r="K741" t="s">
        <v>160</v>
      </c>
      <c r="L741" t="s">
        <v>922</v>
      </c>
      <c r="M741" t="s">
        <v>923</v>
      </c>
      <c r="N741" t="s">
        <v>336</v>
      </c>
      <c r="O741" t="s">
        <v>164</v>
      </c>
      <c r="P741" t="s">
        <v>145</v>
      </c>
      <c r="Q741" t="s">
        <v>527</v>
      </c>
      <c r="R741" t="s">
        <v>167</v>
      </c>
      <c r="S741" t="s">
        <v>168</v>
      </c>
      <c r="T741" t="s">
        <v>149</v>
      </c>
      <c r="U741" t="s">
        <v>171</v>
      </c>
      <c r="V741">
        <v>4</v>
      </c>
      <c r="W741" t="s">
        <v>170</v>
      </c>
      <c r="X741" t="s">
        <v>4232</v>
      </c>
      <c r="Y741" t="s">
        <v>153</v>
      </c>
      <c r="Z741" s="53" t="s">
        <v>4233</v>
      </c>
      <c r="AA741"/>
      <c r="AB741"/>
      <c r="AC741"/>
      <c r="AD741"/>
      <c r="AE741">
        <v>1</v>
      </c>
      <c r="AF741">
        <v>1</v>
      </c>
      <c r="AV741" s="9">
        <v>1</v>
      </c>
      <c r="BG741" t="str">
        <f t="shared" si="12"/>
        <v>Metatestuale</v>
      </c>
      <c r="BH741" s="3" t="str" cm="1">
        <f t="array" ref="BH741">IF(AE741=1, _xlfn.TEXTJOIN(" &amp; ", TRUE, _xlfn._xlws.FILTER($AG$2:$BC$2, AG741:BC741=1)), "")</f>
        <v>Filler, riempimento dei tempi di formulazione</v>
      </c>
    </row>
    <row r="742" spans="1:60" x14ac:dyDescent="0.3">
      <c r="A742" t="s">
        <v>4234</v>
      </c>
      <c r="B742" t="s">
        <v>4235</v>
      </c>
      <c r="C742" t="s">
        <v>4236</v>
      </c>
      <c r="D742">
        <v>2022</v>
      </c>
      <c r="E742" s="52" t="s">
        <v>4237</v>
      </c>
      <c r="F742">
        <v>1978337</v>
      </c>
      <c r="G742">
        <v>1983513</v>
      </c>
      <c r="H742" t="s">
        <v>4238</v>
      </c>
      <c r="I742" t="s">
        <v>4234</v>
      </c>
      <c r="J742" s="51">
        <v>4.1747685185185186E-2</v>
      </c>
      <c r="K742" t="s">
        <v>160</v>
      </c>
      <c r="L742" t="s">
        <v>4239</v>
      </c>
      <c r="M742" t="s">
        <v>4240</v>
      </c>
      <c r="N742" t="s">
        <v>163</v>
      </c>
      <c r="O742" t="s">
        <v>164</v>
      </c>
      <c r="P742" t="s">
        <v>165</v>
      </c>
      <c r="Q742" t="s">
        <v>228</v>
      </c>
      <c r="R742" t="s">
        <v>167</v>
      </c>
      <c r="S742" t="s">
        <v>168</v>
      </c>
      <c r="T742" t="s">
        <v>169</v>
      </c>
      <c r="U742" t="s">
        <v>229</v>
      </c>
      <c r="V742">
        <v>2</v>
      </c>
      <c r="W742" t="s">
        <v>170</v>
      </c>
      <c r="X742" t="s">
        <v>4241</v>
      </c>
      <c r="Y742" t="s">
        <v>153</v>
      </c>
      <c r="Z742" s="53" t="s">
        <v>4242</v>
      </c>
      <c r="AA742">
        <v>1</v>
      </c>
      <c r="AB742"/>
      <c r="AC742">
        <v>1</v>
      </c>
      <c r="AD742"/>
      <c r="AE742"/>
      <c r="AF742"/>
      <c r="BG742" t="str">
        <f t="shared" si="12"/>
        <v/>
      </c>
      <c r="BH742" s="3" t="str" cm="1">
        <f t="array" ref="BH742">IF(AE742=1, _xlfn.TEXTJOIN(" &amp; ", TRUE, _xlfn._xlws.FILTER($AG$2:$BC$2, AG742:BC742=1)), "")</f>
        <v/>
      </c>
    </row>
    <row r="743" spans="1:60" x14ac:dyDescent="0.3">
      <c r="A743" t="s">
        <v>4243</v>
      </c>
      <c r="B743" t="s">
        <v>4244</v>
      </c>
      <c r="C743" t="s">
        <v>4245</v>
      </c>
      <c r="D743">
        <v>2024</v>
      </c>
      <c r="E743" s="52" t="s">
        <v>4246</v>
      </c>
      <c r="F743">
        <v>1062462</v>
      </c>
      <c r="G743">
        <v>1065846</v>
      </c>
      <c r="H743" t="s">
        <v>4247</v>
      </c>
      <c r="I743" t="s">
        <v>4243</v>
      </c>
      <c r="J743" s="51">
        <v>3.8854166666666669E-2</v>
      </c>
      <c r="K743" t="s">
        <v>160</v>
      </c>
      <c r="L743" t="s">
        <v>4248</v>
      </c>
      <c r="M743" t="s">
        <v>4249</v>
      </c>
      <c r="N743" t="s">
        <v>317</v>
      </c>
      <c r="O743" t="s">
        <v>164</v>
      </c>
      <c r="P743" t="s">
        <v>165</v>
      </c>
      <c r="Q743" t="s">
        <v>699</v>
      </c>
      <c r="R743" t="s">
        <v>167</v>
      </c>
      <c r="S743" t="s">
        <v>168</v>
      </c>
      <c r="T743" t="s">
        <v>169</v>
      </c>
      <c r="U743" t="s">
        <v>171</v>
      </c>
      <c r="V743">
        <v>2</v>
      </c>
      <c r="W743" t="s">
        <v>170</v>
      </c>
      <c r="X743" t="s">
        <v>4250</v>
      </c>
      <c r="Y743" t="s">
        <v>153</v>
      </c>
      <c r="Z743" s="53" t="s">
        <v>4251</v>
      </c>
      <c r="AA743"/>
      <c r="AB743"/>
      <c r="AC743"/>
      <c r="AD743"/>
      <c r="AE743">
        <v>1</v>
      </c>
      <c r="AF743">
        <v>1</v>
      </c>
      <c r="AM743" s="7">
        <v>1</v>
      </c>
      <c r="BG743" t="str">
        <f t="shared" si="12"/>
        <v>Interazionale</v>
      </c>
      <c r="BH743" s="3" t="str" cm="1">
        <f t="array" ref="BH743">IF(AE743=1, _xlfn.TEXTJOIN(" &amp; ", TRUE, _xlfn._xlws.FILTER($AG$2:$BC$2, AG743:BC743=1)), "")</f>
        <v>Marcatura della conoscenza condivisa</v>
      </c>
    </row>
    <row r="744" spans="1:60" x14ac:dyDescent="0.3">
      <c r="A744" t="s">
        <v>4252</v>
      </c>
      <c r="B744" t="s">
        <v>4253</v>
      </c>
      <c r="C744" t="s">
        <v>4254</v>
      </c>
      <c r="D744">
        <v>2022</v>
      </c>
      <c r="E744" s="52" t="s">
        <v>4255</v>
      </c>
      <c r="F744">
        <v>704420</v>
      </c>
      <c r="G744">
        <v>708340</v>
      </c>
      <c r="H744" t="s">
        <v>4256</v>
      </c>
      <c r="I744" t="s">
        <v>4252</v>
      </c>
      <c r="J744" s="51">
        <v>2.1354166666666667E-2</v>
      </c>
      <c r="K744" t="s">
        <v>160</v>
      </c>
      <c r="L744" t="s">
        <v>4257</v>
      </c>
      <c r="M744" t="s">
        <v>4258</v>
      </c>
      <c r="N744" t="s">
        <v>163</v>
      </c>
      <c r="O744" t="s">
        <v>144</v>
      </c>
      <c r="P744" t="s">
        <v>165</v>
      </c>
      <c r="Q744" t="s">
        <v>228</v>
      </c>
      <c r="R744" t="s">
        <v>167</v>
      </c>
      <c r="S744" t="s">
        <v>168</v>
      </c>
      <c r="T744" t="s">
        <v>169</v>
      </c>
      <c r="U744" t="s">
        <v>229</v>
      </c>
      <c r="V744">
        <v>2</v>
      </c>
      <c r="W744" t="s">
        <v>170</v>
      </c>
      <c r="X744" t="s">
        <v>4259</v>
      </c>
      <c r="Y744" t="s">
        <v>153</v>
      </c>
      <c r="Z744" s="53" t="s">
        <v>4260</v>
      </c>
      <c r="AA744">
        <v>1</v>
      </c>
      <c r="AB744"/>
      <c r="AC744">
        <v>1</v>
      </c>
      <c r="AD744"/>
      <c r="AE744"/>
      <c r="AF744"/>
      <c r="BG744" t="str">
        <f t="shared" si="12"/>
        <v/>
      </c>
      <c r="BH744" s="3" t="str" cm="1">
        <f t="array" ref="BH744">IF(AE744=1, _xlfn.TEXTJOIN(" &amp; ", TRUE, _xlfn._xlws.FILTER($AG$2:$BC$2, AG744:BC744=1)), "")</f>
        <v/>
      </c>
    </row>
    <row r="745" spans="1:60" x14ac:dyDescent="0.3">
      <c r="A745" t="s">
        <v>924</v>
      </c>
      <c r="B745" t="s">
        <v>4261</v>
      </c>
      <c r="C745" t="s">
        <v>926</v>
      </c>
      <c r="D745">
        <v>2019</v>
      </c>
      <c r="E745" s="52" t="s">
        <v>4262</v>
      </c>
      <c r="F745">
        <v>319606</v>
      </c>
      <c r="G745">
        <v>322365</v>
      </c>
      <c r="H745" t="s">
        <v>4263</v>
      </c>
      <c r="I745" t="s">
        <v>924</v>
      </c>
      <c r="J745" s="51">
        <v>1.6597222222222222E-2</v>
      </c>
      <c r="K745" t="s">
        <v>140</v>
      </c>
      <c r="L745" t="s">
        <v>928</v>
      </c>
      <c r="M745" t="s">
        <v>929</v>
      </c>
      <c r="N745" t="s">
        <v>143</v>
      </c>
      <c r="O745" t="s">
        <v>144</v>
      </c>
      <c r="P745" t="s">
        <v>145</v>
      </c>
      <c r="Q745" t="s">
        <v>146</v>
      </c>
      <c r="R745" t="s">
        <v>147</v>
      </c>
      <c r="S745" t="s">
        <v>148</v>
      </c>
      <c r="T745" t="s">
        <v>149</v>
      </c>
      <c r="U745" t="s">
        <v>151</v>
      </c>
      <c r="V745">
        <v>4</v>
      </c>
      <c r="W745" t="s">
        <v>150</v>
      </c>
      <c r="X745" t="s">
        <v>4264</v>
      </c>
      <c r="Y745" t="s">
        <v>153</v>
      </c>
      <c r="Z745" s="53" t="s">
        <v>4265</v>
      </c>
      <c r="AA745">
        <v>1</v>
      </c>
      <c r="AB745"/>
      <c r="AC745">
        <v>1</v>
      </c>
      <c r="AD745"/>
      <c r="AE745"/>
      <c r="AF745"/>
      <c r="BG745" t="str">
        <f t="shared" si="12"/>
        <v/>
      </c>
      <c r="BH745" s="3" t="str" cm="1">
        <f t="array" ref="BH745">IF(AE745=1, _xlfn.TEXTJOIN(" &amp; ", TRUE, _xlfn._xlws.FILTER($AG$2:$BC$2, AG745:BC745=1)), "")</f>
        <v/>
      </c>
    </row>
    <row r="746" spans="1:60" x14ac:dyDescent="0.3">
      <c r="A746" t="s">
        <v>924</v>
      </c>
      <c r="B746" t="s">
        <v>4266</v>
      </c>
      <c r="C746" t="s">
        <v>926</v>
      </c>
      <c r="D746">
        <v>2019</v>
      </c>
      <c r="E746" s="52" t="s">
        <v>4267</v>
      </c>
      <c r="F746">
        <v>422135</v>
      </c>
      <c r="G746">
        <v>426075</v>
      </c>
      <c r="H746" t="s">
        <v>4268</v>
      </c>
      <c r="I746" t="s">
        <v>924</v>
      </c>
      <c r="J746" s="51">
        <v>1.6597222222222222E-2</v>
      </c>
      <c r="K746" t="s">
        <v>140</v>
      </c>
      <c r="L746" t="s">
        <v>928</v>
      </c>
      <c r="M746" t="s">
        <v>929</v>
      </c>
      <c r="N746" t="s">
        <v>143</v>
      </c>
      <c r="O746" t="s">
        <v>144</v>
      </c>
      <c r="P746" t="s">
        <v>145</v>
      </c>
      <c r="Q746" t="s">
        <v>146</v>
      </c>
      <c r="R746" t="s">
        <v>147</v>
      </c>
      <c r="S746" t="s">
        <v>148</v>
      </c>
      <c r="T746" t="s">
        <v>149</v>
      </c>
      <c r="U746" t="s">
        <v>151</v>
      </c>
      <c r="V746">
        <v>4</v>
      </c>
      <c r="W746" t="s">
        <v>150</v>
      </c>
      <c r="X746" t="s">
        <v>4269</v>
      </c>
      <c r="Y746" t="s">
        <v>153</v>
      </c>
      <c r="Z746" s="53" t="s">
        <v>4270</v>
      </c>
      <c r="AA746">
        <v>1</v>
      </c>
      <c r="AB746">
        <v>1</v>
      </c>
      <c r="AC746"/>
      <c r="AD746"/>
      <c r="AE746"/>
      <c r="AF746"/>
      <c r="BG746" t="str">
        <f t="shared" si="12"/>
        <v/>
      </c>
      <c r="BH746" s="3" t="str" cm="1">
        <f t="array" ref="BH746">IF(AE746=1, _xlfn.TEXTJOIN(" &amp; ", TRUE, _xlfn._xlws.FILTER($AG$2:$BC$2, AG746:BC746=1)), "")</f>
        <v/>
      </c>
    </row>
    <row r="747" spans="1:60" x14ac:dyDescent="0.3">
      <c r="A747" t="s">
        <v>924</v>
      </c>
      <c r="B747" t="s">
        <v>4271</v>
      </c>
      <c r="C747" t="s">
        <v>926</v>
      </c>
      <c r="D747">
        <v>2019</v>
      </c>
      <c r="E747" s="52" t="s">
        <v>4272</v>
      </c>
      <c r="F747">
        <v>557074</v>
      </c>
      <c r="G747">
        <v>558915</v>
      </c>
      <c r="H747" t="s">
        <v>811</v>
      </c>
      <c r="I747" t="s">
        <v>924</v>
      </c>
      <c r="J747" s="51">
        <v>1.6597222222222222E-2</v>
      </c>
      <c r="K747" t="s">
        <v>140</v>
      </c>
      <c r="L747" t="s">
        <v>928</v>
      </c>
      <c r="M747" t="s">
        <v>929</v>
      </c>
      <c r="N747" t="s">
        <v>143</v>
      </c>
      <c r="O747" t="s">
        <v>144</v>
      </c>
      <c r="P747" t="s">
        <v>145</v>
      </c>
      <c r="Q747" t="s">
        <v>146</v>
      </c>
      <c r="R747" t="s">
        <v>147</v>
      </c>
      <c r="S747" t="s">
        <v>148</v>
      </c>
      <c r="T747" t="s">
        <v>666</v>
      </c>
      <c r="U747" t="s">
        <v>151</v>
      </c>
      <c r="V747">
        <v>4</v>
      </c>
      <c r="W747" t="s">
        <v>150</v>
      </c>
      <c r="X747" t="s">
        <v>4273</v>
      </c>
      <c r="Y747" t="s">
        <v>153</v>
      </c>
      <c r="Z747" s="53" t="s">
        <v>4274</v>
      </c>
      <c r="AA747">
        <v>1</v>
      </c>
      <c r="AB747"/>
      <c r="AC747">
        <v>1</v>
      </c>
      <c r="AD747"/>
      <c r="AE747"/>
      <c r="AF747"/>
      <c r="BG747" t="str">
        <f t="shared" si="12"/>
        <v/>
      </c>
      <c r="BH747" s="3" t="str" cm="1">
        <f t="array" ref="BH747">IF(AE747=1, _xlfn.TEXTJOIN(" &amp; ", TRUE, _xlfn._xlws.FILTER($AG$2:$BC$2, AG747:BC747=1)), "")</f>
        <v/>
      </c>
    </row>
    <row r="748" spans="1:60" x14ac:dyDescent="0.3">
      <c r="A748" t="s">
        <v>924</v>
      </c>
      <c r="B748" t="s">
        <v>4275</v>
      </c>
      <c r="C748" t="s">
        <v>926</v>
      </c>
      <c r="D748">
        <v>2019</v>
      </c>
      <c r="E748" s="52" t="s">
        <v>4276</v>
      </c>
      <c r="F748">
        <v>567540</v>
      </c>
      <c r="G748">
        <v>569426</v>
      </c>
      <c r="H748" t="s">
        <v>4268</v>
      </c>
      <c r="I748" t="s">
        <v>924</v>
      </c>
      <c r="J748" s="51">
        <v>1.6597222222222222E-2</v>
      </c>
      <c r="K748" t="s">
        <v>140</v>
      </c>
      <c r="L748" t="s">
        <v>928</v>
      </c>
      <c r="M748" t="s">
        <v>929</v>
      </c>
      <c r="N748" t="s">
        <v>143</v>
      </c>
      <c r="O748" t="s">
        <v>144</v>
      </c>
      <c r="P748" t="s">
        <v>145</v>
      </c>
      <c r="Q748" t="s">
        <v>146</v>
      </c>
      <c r="R748" t="s">
        <v>147</v>
      </c>
      <c r="S748" t="s">
        <v>148</v>
      </c>
      <c r="T748" t="s">
        <v>149</v>
      </c>
      <c r="U748" t="s">
        <v>151</v>
      </c>
      <c r="V748">
        <v>4</v>
      </c>
      <c r="W748" t="s">
        <v>150</v>
      </c>
      <c r="X748" t="s">
        <v>4277</v>
      </c>
      <c r="Y748" t="s">
        <v>153</v>
      </c>
      <c r="Z748" s="53" t="s">
        <v>4278</v>
      </c>
      <c r="AA748">
        <v>1</v>
      </c>
      <c r="AB748"/>
      <c r="AC748">
        <v>1</v>
      </c>
      <c r="AD748"/>
      <c r="AE748"/>
      <c r="AF748"/>
      <c r="BG748" t="str">
        <f t="shared" si="12"/>
        <v/>
      </c>
      <c r="BH748" s="3" t="str" cm="1">
        <f t="array" ref="BH748">IF(AE748=1, _xlfn.TEXTJOIN(" &amp; ", TRUE, _xlfn._xlws.FILTER($AG$2:$BC$2, AG748:BC748=1)), "")</f>
        <v/>
      </c>
    </row>
    <row r="749" spans="1:60" x14ac:dyDescent="0.3">
      <c r="A749" t="s">
        <v>924</v>
      </c>
      <c r="B749" t="s">
        <v>4279</v>
      </c>
      <c r="C749" t="s">
        <v>926</v>
      </c>
      <c r="D749">
        <v>2019</v>
      </c>
      <c r="E749" s="52" t="s">
        <v>4280</v>
      </c>
      <c r="F749">
        <v>750162</v>
      </c>
      <c r="G749">
        <v>752119</v>
      </c>
      <c r="H749" t="s">
        <v>811</v>
      </c>
      <c r="I749" t="s">
        <v>924</v>
      </c>
      <c r="J749" s="51">
        <v>1.6597222222222222E-2</v>
      </c>
      <c r="K749" t="s">
        <v>140</v>
      </c>
      <c r="L749" t="s">
        <v>928</v>
      </c>
      <c r="M749" t="s">
        <v>929</v>
      </c>
      <c r="N749" t="s">
        <v>143</v>
      </c>
      <c r="O749" t="s">
        <v>144</v>
      </c>
      <c r="P749" t="s">
        <v>145</v>
      </c>
      <c r="Q749" t="s">
        <v>146</v>
      </c>
      <c r="R749" t="s">
        <v>147</v>
      </c>
      <c r="S749" t="s">
        <v>148</v>
      </c>
      <c r="T749" t="s">
        <v>666</v>
      </c>
      <c r="U749" t="s">
        <v>151</v>
      </c>
      <c r="V749">
        <v>4</v>
      </c>
      <c r="W749" t="s">
        <v>150</v>
      </c>
      <c r="X749" t="s">
        <v>4281</v>
      </c>
      <c r="Y749" t="s">
        <v>153</v>
      </c>
      <c r="Z749" s="53" t="s">
        <v>4282</v>
      </c>
      <c r="AA749">
        <v>1</v>
      </c>
      <c r="AB749">
        <v>1</v>
      </c>
      <c r="AC749"/>
      <c r="AD749"/>
      <c r="AE749"/>
      <c r="AF749"/>
      <c r="BG749" t="str">
        <f t="shared" si="12"/>
        <v/>
      </c>
      <c r="BH749" s="3" t="str" cm="1">
        <f t="array" ref="BH749">IF(AE749=1, _xlfn.TEXTJOIN(" &amp; ", TRUE, _xlfn._xlws.FILTER($AG$2:$BC$2, AG749:BC749=1)), "")</f>
        <v/>
      </c>
    </row>
    <row r="750" spans="1:60" x14ac:dyDescent="0.3">
      <c r="A750" t="s">
        <v>924</v>
      </c>
      <c r="B750" t="s">
        <v>925</v>
      </c>
      <c r="C750" t="s">
        <v>926</v>
      </c>
      <c r="D750">
        <v>2019</v>
      </c>
      <c r="E750" s="52" t="s">
        <v>927</v>
      </c>
      <c r="F750">
        <v>870123</v>
      </c>
      <c r="G750">
        <v>872507</v>
      </c>
      <c r="H750" t="s">
        <v>811</v>
      </c>
      <c r="I750" t="s">
        <v>924</v>
      </c>
      <c r="J750" s="51">
        <v>1.6597222222222222E-2</v>
      </c>
      <c r="K750" t="s">
        <v>140</v>
      </c>
      <c r="L750" t="s">
        <v>928</v>
      </c>
      <c r="M750" t="s">
        <v>929</v>
      </c>
      <c r="N750" t="s">
        <v>143</v>
      </c>
      <c r="O750" t="s">
        <v>144</v>
      </c>
      <c r="P750" t="s">
        <v>145</v>
      </c>
      <c r="Q750" t="s">
        <v>146</v>
      </c>
      <c r="R750" t="s">
        <v>147</v>
      </c>
      <c r="S750" t="s">
        <v>148</v>
      </c>
      <c r="T750" t="s">
        <v>666</v>
      </c>
      <c r="U750" t="s">
        <v>151</v>
      </c>
      <c r="V750">
        <v>4</v>
      </c>
      <c r="W750" t="s">
        <v>150</v>
      </c>
      <c r="X750" t="s">
        <v>930</v>
      </c>
      <c r="Y750" t="s">
        <v>153</v>
      </c>
      <c r="Z750" s="53" t="s">
        <v>931</v>
      </c>
      <c r="AA750">
        <v>1</v>
      </c>
      <c r="AB750"/>
      <c r="AC750"/>
      <c r="AD750">
        <v>1</v>
      </c>
      <c r="AE750"/>
      <c r="AF750"/>
      <c r="BG750" t="str">
        <f t="shared" si="12"/>
        <v/>
      </c>
      <c r="BH750" s="3" t="str" cm="1">
        <f t="array" ref="BH750">IF(AE750=1, _xlfn.TEXTJOIN(" &amp; ", TRUE, _xlfn._xlws.FILTER($AG$2:$BC$2, AG750:BC750=1)), "")</f>
        <v/>
      </c>
    </row>
    <row r="751" spans="1:60" x14ac:dyDescent="0.3">
      <c r="A751" t="s">
        <v>924</v>
      </c>
      <c r="B751" t="s">
        <v>4283</v>
      </c>
      <c r="C751" t="s">
        <v>926</v>
      </c>
      <c r="D751">
        <v>2019</v>
      </c>
      <c r="E751" s="52" t="s">
        <v>4284</v>
      </c>
      <c r="F751">
        <v>1313686</v>
      </c>
      <c r="G751">
        <v>1318527</v>
      </c>
      <c r="H751" t="s">
        <v>4263</v>
      </c>
      <c r="I751" t="s">
        <v>924</v>
      </c>
      <c r="J751" s="51">
        <v>1.6597222222222222E-2</v>
      </c>
      <c r="K751" t="s">
        <v>140</v>
      </c>
      <c r="L751" t="s">
        <v>928</v>
      </c>
      <c r="M751" t="s">
        <v>929</v>
      </c>
      <c r="N751" t="s">
        <v>143</v>
      </c>
      <c r="O751" t="s">
        <v>144</v>
      </c>
      <c r="P751" t="s">
        <v>145</v>
      </c>
      <c r="Q751" t="s">
        <v>146</v>
      </c>
      <c r="R751" t="s">
        <v>147</v>
      </c>
      <c r="S751" t="s">
        <v>148</v>
      </c>
      <c r="T751" t="s">
        <v>149</v>
      </c>
      <c r="U751" t="s">
        <v>151</v>
      </c>
      <c r="V751">
        <v>4</v>
      </c>
      <c r="W751" t="s">
        <v>150</v>
      </c>
      <c r="X751" t="s">
        <v>4285</v>
      </c>
      <c r="Y751" t="s">
        <v>153</v>
      </c>
      <c r="Z751" s="53" t="s">
        <v>4286</v>
      </c>
      <c r="AA751">
        <v>1</v>
      </c>
      <c r="AB751"/>
      <c r="AC751"/>
      <c r="AD751">
        <v>1</v>
      </c>
      <c r="AE751"/>
      <c r="AF751"/>
      <c r="BG751" t="str">
        <f t="shared" si="12"/>
        <v/>
      </c>
      <c r="BH751" s="3" t="str" cm="1">
        <f t="array" ref="BH751">IF(AE751=1, _xlfn.TEXTJOIN(" &amp; ", TRUE, _xlfn._xlws.FILTER($AG$2:$BC$2, AG751:BC751=1)), "")</f>
        <v/>
      </c>
    </row>
    <row r="752" spans="1:60" x14ac:dyDescent="0.3">
      <c r="A752" t="s">
        <v>4287</v>
      </c>
      <c r="B752" t="s">
        <v>4288</v>
      </c>
      <c r="C752" t="s">
        <v>4289</v>
      </c>
      <c r="D752" t="s">
        <v>204</v>
      </c>
      <c r="E752" s="52" t="s">
        <v>4290</v>
      </c>
      <c r="F752">
        <v>596231</v>
      </c>
      <c r="G752">
        <v>597661</v>
      </c>
      <c r="H752" t="s">
        <v>4291</v>
      </c>
      <c r="I752" t="s">
        <v>4287</v>
      </c>
      <c r="J752" s="51">
        <v>1.7372685185185185E-2</v>
      </c>
      <c r="K752" t="s">
        <v>160</v>
      </c>
      <c r="L752" t="s">
        <v>4292</v>
      </c>
      <c r="M752" t="s">
        <v>4293</v>
      </c>
      <c r="N752" t="s">
        <v>143</v>
      </c>
      <c r="O752" t="s">
        <v>164</v>
      </c>
      <c r="P752" t="s">
        <v>165</v>
      </c>
      <c r="Q752" t="s">
        <v>146</v>
      </c>
      <c r="R752" t="s">
        <v>167</v>
      </c>
      <c r="S752" t="s">
        <v>148</v>
      </c>
      <c r="T752" t="s">
        <v>169</v>
      </c>
      <c r="U752" t="s">
        <v>151</v>
      </c>
      <c r="V752">
        <v>2</v>
      </c>
      <c r="W752" t="s">
        <v>170</v>
      </c>
      <c r="X752" t="s">
        <v>4294</v>
      </c>
      <c r="Y752" t="s">
        <v>153</v>
      </c>
      <c r="Z752" s="53" t="s">
        <v>4295</v>
      </c>
      <c r="AA752">
        <v>1</v>
      </c>
      <c r="AB752">
        <v>1</v>
      </c>
      <c r="AC752"/>
      <c r="AD752"/>
      <c r="AE752"/>
      <c r="AF752"/>
      <c r="BG752" t="str">
        <f t="shared" si="12"/>
        <v/>
      </c>
      <c r="BH752" s="3" t="str" cm="1">
        <f t="array" ref="BH752">IF(AE752=1, _xlfn.TEXTJOIN(" &amp; ", TRUE, _xlfn._xlws.FILTER($AG$2:$BC$2, AG752:BC752=1)), "")</f>
        <v/>
      </c>
    </row>
    <row r="753" spans="1:60" x14ac:dyDescent="0.3">
      <c r="A753" t="s">
        <v>4287</v>
      </c>
      <c r="B753" t="s">
        <v>4296</v>
      </c>
      <c r="C753" t="s">
        <v>4289</v>
      </c>
      <c r="D753" t="s">
        <v>204</v>
      </c>
      <c r="E753" s="52" t="s">
        <v>4297</v>
      </c>
      <c r="F753">
        <v>922061</v>
      </c>
      <c r="G753">
        <v>923350</v>
      </c>
      <c r="H753" t="s">
        <v>4291</v>
      </c>
      <c r="I753" t="s">
        <v>4287</v>
      </c>
      <c r="J753" s="51">
        <v>1.7372685185185185E-2</v>
      </c>
      <c r="K753" t="s">
        <v>160</v>
      </c>
      <c r="L753" t="s">
        <v>4292</v>
      </c>
      <c r="M753" t="s">
        <v>4293</v>
      </c>
      <c r="N753" t="s">
        <v>143</v>
      </c>
      <c r="O753" t="s">
        <v>164</v>
      </c>
      <c r="P753" t="s">
        <v>165</v>
      </c>
      <c r="Q753" t="s">
        <v>146</v>
      </c>
      <c r="R753" t="s">
        <v>167</v>
      </c>
      <c r="S753" t="s">
        <v>148</v>
      </c>
      <c r="T753" t="s">
        <v>169</v>
      </c>
      <c r="U753" t="s">
        <v>151</v>
      </c>
      <c r="V753">
        <v>2</v>
      </c>
      <c r="W753" t="s">
        <v>170</v>
      </c>
      <c r="X753" t="s">
        <v>4298</v>
      </c>
      <c r="Y753" t="s">
        <v>153</v>
      </c>
      <c r="Z753" s="53" t="s">
        <v>4299</v>
      </c>
      <c r="AA753">
        <v>1</v>
      </c>
      <c r="AB753"/>
      <c r="AC753">
        <v>1</v>
      </c>
      <c r="AD753"/>
      <c r="AE753"/>
      <c r="AF753"/>
      <c r="BG753" t="str">
        <f t="shared" si="12"/>
        <v/>
      </c>
      <c r="BH753" s="3" t="str" cm="1">
        <f t="array" ref="BH753">IF(AE753=1, _xlfn.TEXTJOIN(" &amp; ", TRUE, _xlfn._xlws.FILTER($AG$2:$BC$2, AG753:BC753=1)), "")</f>
        <v/>
      </c>
    </row>
    <row r="754" spans="1:60" x14ac:dyDescent="0.3">
      <c r="A754" t="s">
        <v>4287</v>
      </c>
      <c r="B754" t="s">
        <v>4300</v>
      </c>
      <c r="C754" t="s">
        <v>4289</v>
      </c>
      <c r="D754" t="s">
        <v>204</v>
      </c>
      <c r="E754" s="52" t="s">
        <v>4301</v>
      </c>
      <c r="F754">
        <v>968075</v>
      </c>
      <c r="G754">
        <v>969561</v>
      </c>
      <c r="H754" t="s">
        <v>4291</v>
      </c>
      <c r="I754" t="s">
        <v>4287</v>
      </c>
      <c r="J754" s="51">
        <v>1.7372685185185185E-2</v>
      </c>
      <c r="K754" t="s">
        <v>160</v>
      </c>
      <c r="L754" t="s">
        <v>4292</v>
      </c>
      <c r="M754" t="s">
        <v>4293</v>
      </c>
      <c r="N754" t="s">
        <v>143</v>
      </c>
      <c r="O754" t="s">
        <v>164</v>
      </c>
      <c r="P754" t="s">
        <v>165</v>
      </c>
      <c r="Q754" t="s">
        <v>146</v>
      </c>
      <c r="R754" t="s">
        <v>167</v>
      </c>
      <c r="S754" t="s">
        <v>148</v>
      </c>
      <c r="T754" t="s">
        <v>169</v>
      </c>
      <c r="U754" t="s">
        <v>151</v>
      </c>
      <c r="V754">
        <v>2</v>
      </c>
      <c r="W754" t="s">
        <v>170</v>
      </c>
      <c r="X754" t="s">
        <v>4302</v>
      </c>
      <c r="Y754" t="s">
        <v>153</v>
      </c>
      <c r="Z754" s="53" t="s">
        <v>4303</v>
      </c>
      <c r="AA754">
        <v>1</v>
      </c>
      <c r="AB754"/>
      <c r="AC754"/>
      <c r="AD754">
        <v>1</v>
      </c>
      <c r="AE754"/>
      <c r="AF754"/>
      <c r="BG754" t="str">
        <f t="shared" si="12"/>
        <v/>
      </c>
      <c r="BH754" s="3" t="str" cm="1">
        <f t="array" ref="BH754">IF(AE754=1, _xlfn.TEXTJOIN(" &amp; ", TRUE, _xlfn._xlws.FILTER($AG$2:$BC$2, AG754:BC754=1)), "")</f>
        <v/>
      </c>
    </row>
    <row r="755" spans="1:60" x14ac:dyDescent="0.3">
      <c r="A755" t="s">
        <v>4287</v>
      </c>
      <c r="B755" t="s">
        <v>4304</v>
      </c>
      <c r="C755" t="s">
        <v>4289</v>
      </c>
      <c r="D755" t="s">
        <v>204</v>
      </c>
      <c r="E755" s="52" t="s">
        <v>4305</v>
      </c>
      <c r="F755">
        <v>1092083</v>
      </c>
      <c r="G755">
        <v>1095036</v>
      </c>
      <c r="H755" t="s">
        <v>4291</v>
      </c>
      <c r="I755" t="s">
        <v>4287</v>
      </c>
      <c r="J755" s="51">
        <v>1.7372685185185185E-2</v>
      </c>
      <c r="K755" t="s">
        <v>160</v>
      </c>
      <c r="L755" t="s">
        <v>4292</v>
      </c>
      <c r="M755" t="s">
        <v>4293</v>
      </c>
      <c r="N755" t="s">
        <v>143</v>
      </c>
      <c r="O755" t="s">
        <v>164</v>
      </c>
      <c r="P755" t="s">
        <v>165</v>
      </c>
      <c r="Q755" t="s">
        <v>146</v>
      </c>
      <c r="R755" t="s">
        <v>167</v>
      </c>
      <c r="S755" t="s">
        <v>148</v>
      </c>
      <c r="T755" t="s">
        <v>169</v>
      </c>
      <c r="U755" t="s">
        <v>151</v>
      </c>
      <c r="V755">
        <v>2</v>
      </c>
      <c r="W755" t="s">
        <v>170</v>
      </c>
      <c r="X755" t="s">
        <v>4306</v>
      </c>
      <c r="Y755" t="s">
        <v>153</v>
      </c>
      <c r="Z755" s="53" t="s">
        <v>4307</v>
      </c>
      <c r="AA755"/>
      <c r="AB755"/>
      <c r="AC755"/>
      <c r="AD755"/>
      <c r="AE755">
        <v>1</v>
      </c>
      <c r="AF755"/>
      <c r="AM755" s="7">
        <v>1</v>
      </c>
      <c r="BG755" t="str">
        <f t="shared" si="12"/>
        <v>Interazionale</v>
      </c>
      <c r="BH755" s="3" t="str" cm="1">
        <f t="array" ref="BH755">IF(AE755=1, _xlfn.TEXTJOIN(" &amp; ", TRUE, _xlfn._xlws.FILTER($AG$2:$BC$2, AG755:BC755=1)), "")</f>
        <v>Marcatura della conoscenza condivisa</v>
      </c>
    </row>
    <row r="756" spans="1:60" ht="13.2" customHeight="1" x14ac:dyDescent="0.3">
      <c r="A756" t="s">
        <v>4287</v>
      </c>
      <c r="B756" t="s">
        <v>4308</v>
      </c>
      <c r="C756" t="s">
        <v>4289</v>
      </c>
      <c r="D756" t="s">
        <v>204</v>
      </c>
      <c r="E756" s="52" t="s">
        <v>4309</v>
      </c>
      <c r="F756">
        <v>1101290</v>
      </c>
      <c r="G756">
        <v>1102910</v>
      </c>
      <c r="H756" t="s">
        <v>4291</v>
      </c>
      <c r="I756" t="s">
        <v>4287</v>
      </c>
      <c r="J756" s="51">
        <v>1.7372685185185185E-2</v>
      </c>
      <c r="K756" t="s">
        <v>160</v>
      </c>
      <c r="L756" t="s">
        <v>4292</v>
      </c>
      <c r="M756" t="s">
        <v>4293</v>
      </c>
      <c r="N756" t="s">
        <v>143</v>
      </c>
      <c r="O756" t="s">
        <v>164</v>
      </c>
      <c r="P756" t="s">
        <v>165</v>
      </c>
      <c r="Q756" t="s">
        <v>146</v>
      </c>
      <c r="R756" t="s">
        <v>167</v>
      </c>
      <c r="S756" t="s">
        <v>148</v>
      </c>
      <c r="T756" t="s">
        <v>169</v>
      </c>
      <c r="U756" t="s">
        <v>151</v>
      </c>
      <c r="V756">
        <v>2</v>
      </c>
      <c r="W756" t="s">
        <v>170</v>
      </c>
      <c r="X756" t="s">
        <v>4310</v>
      </c>
      <c r="Y756" t="s">
        <v>153</v>
      </c>
      <c r="Z756" s="53" t="s">
        <v>4311</v>
      </c>
      <c r="AA756"/>
      <c r="AB756"/>
      <c r="AC756"/>
      <c r="AD756"/>
      <c r="AE756">
        <v>1</v>
      </c>
      <c r="AF756"/>
      <c r="AM756" s="7">
        <v>1</v>
      </c>
      <c r="AP756" s="9">
        <v>1</v>
      </c>
      <c r="BD756" s="3">
        <v>1</v>
      </c>
      <c r="BG756" t="str">
        <f t="shared" si="12"/>
        <v>Interazionale &amp; Metatestuale</v>
      </c>
      <c r="BH756" s="3" t="str" cm="1">
        <f t="array" ref="BH756">IF(AE756=1, _xlfn.TEXTJOIN(" &amp; ", TRUE, _xlfn._xlws.FILTER($AG$2:$BC$2, AG756:BC756=1)), "")</f>
        <v>Marcatura della conoscenza condivisa &amp; Gestione del topic: introduzione o ripresa di topic</v>
      </c>
    </row>
    <row r="757" spans="1:60" x14ac:dyDescent="0.3">
      <c r="A757" t="s">
        <v>932</v>
      </c>
      <c r="B757" t="s">
        <v>4312</v>
      </c>
      <c r="C757" t="s">
        <v>933</v>
      </c>
      <c r="D757" t="s">
        <v>204</v>
      </c>
      <c r="E757" s="52" t="s">
        <v>4313</v>
      </c>
      <c r="F757">
        <v>1334720</v>
      </c>
      <c r="G757">
        <v>1337561</v>
      </c>
      <c r="H757" t="s">
        <v>4314</v>
      </c>
      <c r="I757" t="s">
        <v>932</v>
      </c>
      <c r="J757" s="51">
        <v>1.5613425925925926E-2</v>
      </c>
      <c r="K757" t="s">
        <v>140</v>
      </c>
      <c r="L757" t="s">
        <v>934</v>
      </c>
      <c r="M757" t="s">
        <v>935</v>
      </c>
      <c r="N757" t="s">
        <v>143</v>
      </c>
      <c r="O757" t="s">
        <v>144</v>
      </c>
      <c r="P757" t="s">
        <v>145</v>
      </c>
      <c r="Q757" t="s">
        <v>146</v>
      </c>
      <c r="R757" t="s">
        <v>147</v>
      </c>
      <c r="S757" t="s">
        <v>148</v>
      </c>
      <c r="T757" t="s">
        <v>364</v>
      </c>
      <c r="U757" t="s">
        <v>151</v>
      </c>
      <c r="V757">
        <v>3</v>
      </c>
      <c r="W757" t="s">
        <v>150</v>
      </c>
      <c r="X757" t="s">
        <v>4315</v>
      </c>
      <c r="Y757" t="s">
        <v>153</v>
      </c>
      <c r="Z757" s="53" t="s">
        <v>4316</v>
      </c>
      <c r="AA757">
        <v>1</v>
      </c>
      <c r="AB757"/>
      <c r="AC757">
        <v>1</v>
      </c>
      <c r="AD757"/>
      <c r="AE757"/>
      <c r="AF757"/>
      <c r="BG757" t="str">
        <f t="shared" si="12"/>
        <v/>
      </c>
      <c r="BH757" s="3" t="str" cm="1">
        <f t="array" ref="BH757">IF(AE757=1, _xlfn.TEXTJOIN(" &amp; ", TRUE, _xlfn._xlws.FILTER($AG$2:$BC$2, AG757:BC757=1)), "")</f>
        <v/>
      </c>
    </row>
    <row r="758" spans="1:60" x14ac:dyDescent="0.3">
      <c r="A758" t="s">
        <v>4317</v>
      </c>
      <c r="B758" t="s">
        <v>4318</v>
      </c>
      <c r="C758" t="s">
        <v>4319</v>
      </c>
      <c r="D758">
        <v>2021</v>
      </c>
      <c r="E758" s="52" t="s">
        <v>4320</v>
      </c>
      <c r="F758">
        <v>673557</v>
      </c>
      <c r="G758">
        <v>675640</v>
      </c>
      <c r="H758" t="s">
        <v>4321</v>
      </c>
      <c r="I758" t="s">
        <v>4317</v>
      </c>
      <c r="J758" s="51">
        <v>3.3773148148148149E-2</v>
      </c>
      <c r="K758" t="s">
        <v>140</v>
      </c>
      <c r="L758" t="s">
        <v>4322</v>
      </c>
      <c r="M758" t="s">
        <v>4323</v>
      </c>
      <c r="N758" t="s">
        <v>143</v>
      </c>
      <c r="O758" t="s">
        <v>144</v>
      </c>
      <c r="P758" t="s">
        <v>115</v>
      </c>
      <c r="Q758" t="s">
        <v>146</v>
      </c>
      <c r="R758" t="s">
        <v>147</v>
      </c>
      <c r="S758" t="s">
        <v>148</v>
      </c>
      <c r="T758" t="s">
        <v>491</v>
      </c>
      <c r="U758" t="s">
        <v>151</v>
      </c>
      <c r="V758">
        <v>3</v>
      </c>
      <c r="W758" t="s">
        <v>269</v>
      </c>
      <c r="X758" t="s">
        <v>4324</v>
      </c>
      <c r="Y758" t="s">
        <v>153</v>
      </c>
      <c r="Z758" s="53" t="s">
        <v>4325</v>
      </c>
      <c r="AA758">
        <v>1</v>
      </c>
      <c r="AB758"/>
      <c r="AC758">
        <v>1</v>
      </c>
      <c r="AD758"/>
      <c r="AE758"/>
      <c r="AF758"/>
      <c r="BG758" t="str">
        <f t="shared" si="12"/>
        <v/>
      </c>
      <c r="BH758" s="3" t="str" cm="1">
        <f t="array" ref="BH758">IF(AE758=1, _xlfn.TEXTJOIN(" &amp; ", TRUE, _xlfn._xlws.FILTER($AG$2:$BC$2, AG758:BC758=1)), "")</f>
        <v/>
      </c>
    </row>
    <row r="759" spans="1:60" x14ac:dyDescent="0.3">
      <c r="A759" t="s">
        <v>4317</v>
      </c>
      <c r="B759" t="s">
        <v>4326</v>
      </c>
      <c r="C759" t="s">
        <v>4319</v>
      </c>
      <c r="D759">
        <v>2021</v>
      </c>
      <c r="E759" s="52" t="s">
        <v>4327</v>
      </c>
      <c r="F759">
        <v>1324624</v>
      </c>
      <c r="G759">
        <v>1330682</v>
      </c>
      <c r="H759" t="s">
        <v>4321</v>
      </c>
      <c r="I759" t="s">
        <v>4317</v>
      </c>
      <c r="J759" s="51">
        <v>3.3773148148148149E-2</v>
      </c>
      <c r="K759" t="s">
        <v>140</v>
      </c>
      <c r="L759" t="s">
        <v>4322</v>
      </c>
      <c r="M759" t="s">
        <v>4323</v>
      </c>
      <c r="N759" t="s">
        <v>143</v>
      </c>
      <c r="O759" t="s">
        <v>144</v>
      </c>
      <c r="P759" t="s">
        <v>115</v>
      </c>
      <c r="Q759" t="s">
        <v>146</v>
      </c>
      <c r="R759" t="s">
        <v>147</v>
      </c>
      <c r="S759" t="s">
        <v>148</v>
      </c>
      <c r="T759" t="s">
        <v>491</v>
      </c>
      <c r="U759" t="s">
        <v>151</v>
      </c>
      <c r="V759">
        <v>3</v>
      </c>
      <c r="W759" t="s">
        <v>269</v>
      </c>
      <c r="X759" t="s">
        <v>4328</v>
      </c>
      <c r="Y759" t="s">
        <v>153</v>
      </c>
      <c r="Z759" s="53" t="s">
        <v>4329</v>
      </c>
      <c r="AA759"/>
      <c r="AB759"/>
      <c r="AC759"/>
      <c r="AD759"/>
      <c r="AE759">
        <v>1</v>
      </c>
      <c r="AF759"/>
      <c r="AM759" s="7">
        <v>1</v>
      </c>
      <c r="BG759" t="str">
        <f t="shared" si="12"/>
        <v>Interazionale</v>
      </c>
      <c r="BH759" s="3" t="str" cm="1">
        <f t="array" ref="BH759">IF(AE759=1, _xlfn.TEXTJOIN(" &amp; ", TRUE, _xlfn._xlws.FILTER($AG$2:$BC$2, AG759:BC759=1)), "")</f>
        <v>Marcatura della conoscenza condivisa</v>
      </c>
    </row>
    <row r="760" spans="1:60" x14ac:dyDescent="0.3">
      <c r="A760" t="s">
        <v>4317</v>
      </c>
      <c r="B760" t="s">
        <v>4330</v>
      </c>
      <c r="C760" t="s">
        <v>4319</v>
      </c>
      <c r="D760">
        <v>2021</v>
      </c>
      <c r="E760" s="52" t="s">
        <v>4331</v>
      </c>
      <c r="F760">
        <v>1650994</v>
      </c>
      <c r="G760">
        <v>1652950</v>
      </c>
      <c r="H760" t="s">
        <v>1678</v>
      </c>
      <c r="I760" t="s">
        <v>4317</v>
      </c>
      <c r="J760" s="51">
        <v>3.3773148148148149E-2</v>
      </c>
      <c r="K760" t="s">
        <v>140</v>
      </c>
      <c r="L760" t="s">
        <v>4322</v>
      </c>
      <c r="M760" t="s">
        <v>4323</v>
      </c>
      <c r="N760" t="s">
        <v>143</v>
      </c>
      <c r="O760" t="s">
        <v>164</v>
      </c>
      <c r="P760" t="s">
        <v>115</v>
      </c>
      <c r="Q760" t="s">
        <v>146</v>
      </c>
      <c r="R760" t="s">
        <v>147</v>
      </c>
      <c r="S760" t="s">
        <v>148</v>
      </c>
      <c r="T760" t="s">
        <v>491</v>
      </c>
      <c r="U760" t="s">
        <v>151</v>
      </c>
      <c r="V760">
        <v>3</v>
      </c>
      <c r="W760" t="s">
        <v>269</v>
      </c>
      <c r="X760" t="s">
        <v>4332</v>
      </c>
      <c r="Y760" t="s">
        <v>153</v>
      </c>
      <c r="Z760" s="53" t="s">
        <v>4333</v>
      </c>
      <c r="AA760">
        <v>1</v>
      </c>
      <c r="AB760"/>
      <c r="AC760">
        <v>1</v>
      </c>
      <c r="AD760"/>
      <c r="AE760"/>
      <c r="AF760"/>
      <c r="BG760" t="str">
        <f t="shared" si="12"/>
        <v/>
      </c>
      <c r="BH760" s="3" t="str" cm="1">
        <f t="array" ref="BH760">IF(AE760=1, _xlfn.TEXTJOIN(" &amp; ", TRUE, _xlfn._xlws.FILTER($AG$2:$BC$2, AG760:BC760=1)), "")</f>
        <v/>
      </c>
    </row>
    <row r="761" spans="1:60" x14ac:dyDescent="0.3">
      <c r="A761" t="s">
        <v>4317</v>
      </c>
      <c r="B761" t="s">
        <v>4334</v>
      </c>
      <c r="C761" t="s">
        <v>4319</v>
      </c>
      <c r="D761">
        <v>2021</v>
      </c>
      <c r="E761" s="52" t="s">
        <v>4335</v>
      </c>
      <c r="F761">
        <v>1689082</v>
      </c>
      <c r="G761">
        <v>1694000</v>
      </c>
      <c r="H761" t="s">
        <v>1678</v>
      </c>
      <c r="I761" t="s">
        <v>4317</v>
      </c>
      <c r="J761" s="51">
        <v>3.3773148148148149E-2</v>
      </c>
      <c r="K761" t="s">
        <v>140</v>
      </c>
      <c r="L761" t="s">
        <v>4322</v>
      </c>
      <c r="M761" t="s">
        <v>4323</v>
      </c>
      <c r="N761" t="s">
        <v>143</v>
      </c>
      <c r="O761" t="s">
        <v>164</v>
      </c>
      <c r="P761" t="s">
        <v>115</v>
      </c>
      <c r="Q761" t="s">
        <v>146</v>
      </c>
      <c r="R761" t="s">
        <v>147</v>
      </c>
      <c r="S761" t="s">
        <v>148</v>
      </c>
      <c r="T761" t="s">
        <v>491</v>
      </c>
      <c r="U761" t="s">
        <v>151</v>
      </c>
      <c r="V761">
        <v>3</v>
      </c>
      <c r="W761" t="s">
        <v>269</v>
      </c>
      <c r="X761" t="s">
        <v>4336</v>
      </c>
      <c r="Y761" t="s">
        <v>153</v>
      </c>
      <c r="Z761" s="53" t="s">
        <v>4337</v>
      </c>
      <c r="AA761">
        <v>1</v>
      </c>
      <c r="AB761"/>
      <c r="AC761">
        <v>1</v>
      </c>
      <c r="AD761"/>
      <c r="AE761"/>
      <c r="AF761"/>
      <c r="BG761" t="str">
        <f t="shared" si="12"/>
        <v/>
      </c>
      <c r="BH761" s="3" t="str" cm="1">
        <f t="array" ref="BH761">IF(AE761=1, _xlfn.TEXTJOIN(" &amp; ", TRUE, _xlfn._xlws.FILTER($AG$2:$BC$2, AG761:BC761=1)), "")</f>
        <v/>
      </c>
    </row>
    <row r="762" spans="1:60" x14ac:dyDescent="0.3">
      <c r="A762" t="s">
        <v>4317</v>
      </c>
      <c r="B762" t="s">
        <v>4338</v>
      </c>
      <c r="C762" t="s">
        <v>4319</v>
      </c>
      <c r="D762">
        <v>2021</v>
      </c>
      <c r="E762" s="52" t="s">
        <v>4339</v>
      </c>
      <c r="F762">
        <v>1932213</v>
      </c>
      <c r="G762">
        <v>1934000</v>
      </c>
      <c r="H762" t="s">
        <v>4321</v>
      </c>
      <c r="I762" t="s">
        <v>4317</v>
      </c>
      <c r="J762" s="51">
        <v>3.3773148148148149E-2</v>
      </c>
      <c r="K762" t="s">
        <v>140</v>
      </c>
      <c r="L762" t="s">
        <v>4322</v>
      </c>
      <c r="M762" t="s">
        <v>4323</v>
      </c>
      <c r="N762" t="s">
        <v>143</v>
      </c>
      <c r="O762" t="s">
        <v>144</v>
      </c>
      <c r="P762" t="s">
        <v>115</v>
      </c>
      <c r="Q762" t="s">
        <v>146</v>
      </c>
      <c r="R762" t="s">
        <v>147</v>
      </c>
      <c r="S762" t="s">
        <v>148</v>
      </c>
      <c r="T762" t="s">
        <v>491</v>
      </c>
      <c r="U762" t="s">
        <v>151</v>
      </c>
      <c r="V762">
        <v>3</v>
      </c>
      <c r="W762" t="s">
        <v>269</v>
      </c>
      <c r="X762" t="s">
        <v>4340</v>
      </c>
      <c r="Y762" t="s">
        <v>153</v>
      </c>
      <c r="Z762" s="53" t="s">
        <v>4341</v>
      </c>
      <c r="AA762">
        <v>1</v>
      </c>
      <c r="AB762">
        <v>1</v>
      </c>
      <c r="AC762"/>
      <c r="AD762"/>
      <c r="AE762"/>
      <c r="AF762"/>
      <c r="BG762" t="str">
        <f t="shared" si="12"/>
        <v/>
      </c>
      <c r="BH762" s="3" t="str" cm="1">
        <f t="array" ref="BH762">IF(AE762=1, _xlfn.TEXTJOIN(" &amp; ", TRUE, _xlfn._xlws.FILTER($AG$2:$BC$2, AG762:BC762=1)), "")</f>
        <v/>
      </c>
    </row>
    <row r="763" spans="1:60" x14ac:dyDescent="0.3">
      <c r="A763" t="s">
        <v>4317</v>
      </c>
      <c r="B763" t="s">
        <v>4342</v>
      </c>
      <c r="C763" t="s">
        <v>4319</v>
      </c>
      <c r="D763">
        <v>2021</v>
      </c>
      <c r="E763" s="52" t="s">
        <v>4343</v>
      </c>
      <c r="F763">
        <v>2042027</v>
      </c>
      <c r="G763">
        <v>2046000</v>
      </c>
      <c r="H763" t="s">
        <v>4344</v>
      </c>
      <c r="I763" t="s">
        <v>4317</v>
      </c>
      <c r="J763" s="51">
        <v>3.3773148148148149E-2</v>
      </c>
      <c r="K763" t="s">
        <v>140</v>
      </c>
      <c r="L763" t="s">
        <v>4322</v>
      </c>
      <c r="M763" t="s">
        <v>4323</v>
      </c>
      <c r="N763" t="s">
        <v>317</v>
      </c>
      <c r="O763" t="s">
        <v>144</v>
      </c>
      <c r="P763" t="s">
        <v>115</v>
      </c>
      <c r="Q763" t="s">
        <v>146</v>
      </c>
      <c r="R763" t="s">
        <v>147</v>
      </c>
      <c r="S763" t="s">
        <v>148</v>
      </c>
      <c r="T763" t="s">
        <v>491</v>
      </c>
      <c r="U763" t="s">
        <v>151</v>
      </c>
      <c r="V763">
        <v>3</v>
      </c>
      <c r="W763" t="s">
        <v>269</v>
      </c>
      <c r="X763" t="s">
        <v>4345</v>
      </c>
      <c r="Y763" t="s">
        <v>153</v>
      </c>
      <c r="Z763" s="53" t="s">
        <v>4346</v>
      </c>
      <c r="AA763"/>
      <c r="AB763"/>
      <c r="AC763"/>
      <c r="AD763"/>
      <c r="AE763">
        <v>1</v>
      </c>
      <c r="AF763"/>
      <c r="AG763" s="7">
        <v>1</v>
      </c>
      <c r="BG763" t="str">
        <f t="shared" si="12"/>
        <v>Interazionale</v>
      </c>
      <c r="BH763" s="3" t="str" cm="1">
        <f t="array" ref="BH763">IF(AE763=1, _xlfn.TEXTJOIN(" &amp; ", TRUE, _xlfn._xlws.FILTER($AG$2:$BC$2, AG763:BC763=1)), "")</f>
        <v>Presa di turno</v>
      </c>
    </row>
    <row r="764" spans="1:60" x14ac:dyDescent="0.3">
      <c r="A764" t="s">
        <v>4317</v>
      </c>
      <c r="B764" t="s">
        <v>4347</v>
      </c>
      <c r="C764" t="s">
        <v>4319</v>
      </c>
      <c r="D764">
        <v>2021</v>
      </c>
      <c r="E764" s="52" t="s">
        <v>4348</v>
      </c>
      <c r="F764">
        <v>2310370</v>
      </c>
      <c r="G764">
        <v>2313390</v>
      </c>
      <c r="H764" t="s">
        <v>4344</v>
      </c>
      <c r="I764" t="s">
        <v>4317</v>
      </c>
      <c r="J764" s="51">
        <v>3.3773148148148149E-2</v>
      </c>
      <c r="K764" t="s">
        <v>140</v>
      </c>
      <c r="L764" t="s">
        <v>4322</v>
      </c>
      <c r="M764" t="s">
        <v>4323</v>
      </c>
      <c r="N764" t="s">
        <v>317</v>
      </c>
      <c r="O764" t="s">
        <v>144</v>
      </c>
      <c r="P764" t="s">
        <v>115</v>
      </c>
      <c r="Q764" t="s">
        <v>146</v>
      </c>
      <c r="R764" t="s">
        <v>147</v>
      </c>
      <c r="S764" t="s">
        <v>148</v>
      </c>
      <c r="T764" t="s">
        <v>491</v>
      </c>
      <c r="U764" t="s">
        <v>151</v>
      </c>
      <c r="V764">
        <v>3</v>
      </c>
      <c r="W764" t="s">
        <v>269</v>
      </c>
      <c r="X764" t="s">
        <v>4349</v>
      </c>
      <c r="Y764" t="s">
        <v>153</v>
      </c>
      <c r="Z764" s="53" t="s">
        <v>4350</v>
      </c>
      <c r="AA764">
        <v>1</v>
      </c>
      <c r="AB764">
        <v>1</v>
      </c>
      <c r="AC764"/>
      <c r="AD764"/>
      <c r="AE764"/>
      <c r="AF764"/>
      <c r="BG764" t="str">
        <f t="shared" si="12"/>
        <v/>
      </c>
      <c r="BH764" s="3" t="str" cm="1">
        <f t="array" ref="BH764">IF(AE764=1, _xlfn.TEXTJOIN(" &amp; ", TRUE, _xlfn._xlws.FILTER($AG$2:$BC$2, AG764:BC764=1)), "")</f>
        <v/>
      </c>
    </row>
    <row r="765" spans="1:60" x14ac:dyDescent="0.3">
      <c r="A765" t="s">
        <v>4351</v>
      </c>
      <c r="B765" t="s">
        <v>4352</v>
      </c>
      <c r="C765" t="s">
        <v>4353</v>
      </c>
      <c r="D765">
        <v>2020</v>
      </c>
      <c r="E765" s="52" t="s">
        <v>4354</v>
      </c>
      <c r="F765">
        <v>599095</v>
      </c>
      <c r="G765">
        <v>600568</v>
      </c>
      <c r="H765" t="s">
        <v>4355</v>
      </c>
      <c r="I765" t="s">
        <v>4351</v>
      </c>
      <c r="J765" s="51">
        <v>3.802083333333333E-2</v>
      </c>
      <c r="K765" t="s">
        <v>140</v>
      </c>
      <c r="L765" t="s">
        <v>4356</v>
      </c>
      <c r="M765" t="s">
        <v>4357</v>
      </c>
      <c r="N765" t="s">
        <v>143</v>
      </c>
      <c r="O765" t="s">
        <v>144</v>
      </c>
      <c r="P765" t="s">
        <v>676</v>
      </c>
      <c r="Q765" t="s">
        <v>146</v>
      </c>
      <c r="R765" t="s">
        <v>147</v>
      </c>
      <c r="S765" t="s">
        <v>148</v>
      </c>
      <c r="T765" t="s">
        <v>169</v>
      </c>
      <c r="U765" t="s">
        <v>151</v>
      </c>
      <c r="V765">
        <v>3</v>
      </c>
      <c r="W765" t="s">
        <v>269</v>
      </c>
      <c r="X765" t="s">
        <v>4358</v>
      </c>
      <c r="Y765" t="s">
        <v>153</v>
      </c>
      <c r="Z765" s="53" t="s">
        <v>4359</v>
      </c>
      <c r="AA765">
        <v>1</v>
      </c>
      <c r="AB765">
        <v>1</v>
      </c>
      <c r="AC765"/>
      <c r="AD765"/>
      <c r="AE765"/>
      <c r="AF765"/>
      <c r="BG765" t="str">
        <f t="shared" si="12"/>
        <v/>
      </c>
      <c r="BH765" s="3" t="str" cm="1">
        <f t="array" ref="BH765">IF(AE765=1, _xlfn.TEXTJOIN(" &amp; ", TRUE, _xlfn._xlws.FILTER($AG$2:$BC$2, AG765:BC765=1)), "")</f>
        <v/>
      </c>
    </row>
    <row r="766" spans="1:60" x14ac:dyDescent="0.3">
      <c r="A766" t="s">
        <v>4351</v>
      </c>
      <c r="B766" t="s">
        <v>4360</v>
      </c>
      <c r="C766" t="s">
        <v>4353</v>
      </c>
      <c r="D766">
        <v>2020</v>
      </c>
      <c r="E766" s="52" t="s">
        <v>4361</v>
      </c>
      <c r="F766">
        <v>1063558</v>
      </c>
      <c r="G766">
        <v>1064546</v>
      </c>
      <c r="H766" t="s">
        <v>4355</v>
      </c>
      <c r="I766" t="s">
        <v>4351</v>
      </c>
      <c r="J766" s="51">
        <v>3.802083333333333E-2</v>
      </c>
      <c r="K766" t="s">
        <v>140</v>
      </c>
      <c r="L766" t="s">
        <v>4356</v>
      </c>
      <c r="M766" t="s">
        <v>4357</v>
      </c>
      <c r="N766" t="s">
        <v>143</v>
      </c>
      <c r="O766" t="s">
        <v>144</v>
      </c>
      <c r="P766" t="s">
        <v>676</v>
      </c>
      <c r="Q766" t="s">
        <v>146</v>
      </c>
      <c r="R766" t="s">
        <v>147</v>
      </c>
      <c r="S766" t="s">
        <v>148</v>
      </c>
      <c r="T766" t="s">
        <v>169</v>
      </c>
      <c r="U766" t="s">
        <v>151</v>
      </c>
      <c r="V766">
        <v>3</v>
      </c>
      <c r="W766" t="s">
        <v>269</v>
      </c>
      <c r="X766" t="s">
        <v>4362</v>
      </c>
      <c r="Y766" t="s">
        <v>153</v>
      </c>
      <c r="Z766" s="53" t="s">
        <v>4363</v>
      </c>
      <c r="AA766">
        <v>1</v>
      </c>
      <c r="AB766">
        <v>1</v>
      </c>
      <c r="AC766"/>
      <c r="AD766"/>
      <c r="AE766"/>
      <c r="AF766"/>
      <c r="BG766" t="str">
        <f t="shared" si="12"/>
        <v/>
      </c>
      <c r="BH766" s="3" t="str" cm="1">
        <f t="array" ref="BH766">IF(AE766=1, _xlfn.TEXTJOIN(" &amp; ", TRUE, _xlfn._xlws.FILTER($AG$2:$BC$2, AG766:BC766=1)), "")</f>
        <v/>
      </c>
    </row>
    <row r="767" spans="1:60" x14ac:dyDescent="0.3">
      <c r="A767" t="s">
        <v>4351</v>
      </c>
      <c r="B767" t="s">
        <v>4364</v>
      </c>
      <c r="C767" t="s">
        <v>4353</v>
      </c>
      <c r="D767">
        <v>2020</v>
      </c>
      <c r="E767" s="52" t="s">
        <v>4365</v>
      </c>
      <c r="F767">
        <v>1651322</v>
      </c>
      <c r="G767">
        <v>1653107</v>
      </c>
      <c r="H767" t="s">
        <v>4355</v>
      </c>
      <c r="I767" t="s">
        <v>4351</v>
      </c>
      <c r="J767" s="51">
        <v>3.802083333333333E-2</v>
      </c>
      <c r="K767" t="s">
        <v>140</v>
      </c>
      <c r="L767" t="s">
        <v>4356</v>
      </c>
      <c r="M767" t="s">
        <v>4357</v>
      </c>
      <c r="N767" t="s">
        <v>143</v>
      </c>
      <c r="O767" t="s">
        <v>144</v>
      </c>
      <c r="P767" t="s">
        <v>676</v>
      </c>
      <c r="Q767" t="s">
        <v>146</v>
      </c>
      <c r="R767" t="s">
        <v>147</v>
      </c>
      <c r="S767" t="s">
        <v>148</v>
      </c>
      <c r="T767" t="s">
        <v>169</v>
      </c>
      <c r="U767" t="s">
        <v>151</v>
      </c>
      <c r="V767">
        <v>3</v>
      </c>
      <c r="W767" t="s">
        <v>269</v>
      </c>
      <c r="X767" t="s">
        <v>4366</v>
      </c>
      <c r="Y767" t="s">
        <v>153</v>
      </c>
      <c r="Z767" s="53" t="s">
        <v>4367</v>
      </c>
      <c r="AA767"/>
      <c r="AB767"/>
      <c r="AC767"/>
      <c r="AD767"/>
      <c r="AE767">
        <v>1</v>
      </c>
      <c r="AF767"/>
      <c r="AM767" s="7">
        <v>1</v>
      </c>
      <c r="BG767" t="str">
        <f t="shared" si="12"/>
        <v>Interazionale</v>
      </c>
      <c r="BH767" s="3" t="str" cm="1">
        <f t="array" ref="BH767">IF(AE767=1, _xlfn.TEXTJOIN(" &amp; ", TRUE, _xlfn._xlws.FILTER($AG$2:$BC$2, AG767:BC767=1)), "")</f>
        <v>Marcatura della conoscenza condivisa</v>
      </c>
    </row>
    <row r="768" spans="1:60" x14ac:dyDescent="0.3">
      <c r="A768" t="s">
        <v>4351</v>
      </c>
      <c r="B768" t="s">
        <v>4368</v>
      </c>
      <c r="C768" t="s">
        <v>4353</v>
      </c>
      <c r="D768">
        <v>2020</v>
      </c>
      <c r="E768" s="52" t="s">
        <v>4369</v>
      </c>
      <c r="F768">
        <v>1770487</v>
      </c>
      <c r="G768">
        <v>1775023</v>
      </c>
      <c r="H768" t="s">
        <v>4355</v>
      </c>
      <c r="I768" t="s">
        <v>4351</v>
      </c>
      <c r="J768" s="51">
        <v>3.802083333333333E-2</v>
      </c>
      <c r="K768" t="s">
        <v>140</v>
      </c>
      <c r="L768" t="s">
        <v>4356</v>
      </c>
      <c r="M768" t="s">
        <v>4357</v>
      </c>
      <c r="N768" t="s">
        <v>143</v>
      </c>
      <c r="O768" t="s">
        <v>144</v>
      </c>
      <c r="P768" t="s">
        <v>676</v>
      </c>
      <c r="Q768" t="s">
        <v>146</v>
      </c>
      <c r="R768" t="s">
        <v>147</v>
      </c>
      <c r="S768" t="s">
        <v>148</v>
      </c>
      <c r="T768" t="s">
        <v>169</v>
      </c>
      <c r="U768" t="s">
        <v>151</v>
      </c>
      <c r="V768">
        <v>3</v>
      </c>
      <c r="W768" t="s">
        <v>269</v>
      </c>
      <c r="X768" t="s">
        <v>4370</v>
      </c>
      <c r="Y768" t="s">
        <v>153</v>
      </c>
      <c r="Z768" s="53" t="s">
        <v>4371</v>
      </c>
      <c r="AA768"/>
      <c r="AB768"/>
      <c r="AC768"/>
      <c r="AD768"/>
      <c r="AE768">
        <v>1</v>
      </c>
      <c r="AF768"/>
      <c r="AM768" s="7">
        <v>1</v>
      </c>
      <c r="BG768" t="str">
        <f t="shared" si="12"/>
        <v>Interazionale</v>
      </c>
      <c r="BH768" s="3" t="str" cm="1">
        <f t="array" ref="BH768">IF(AE768=1, _xlfn.TEXTJOIN(" &amp; ", TRUE, _xlfn._xlws.FILTER($AG$2:$BC$2, AG768:BC768=1)), "")</f>
        <v>Marcatura della conoscenza condivisa</v>
      </c>
    </row>
    <row r="769" spans="1:60" x14ac:dyDescent="0.3">
      <c r="A769" t="s">
        <v>4351</v>
      </c>
      <c r="B769" t="s">
        <v>4372</v>
      </c>
      <c r="C769" t="s">
        <v>4353</v>
      </c>
      <c r="D769">
        <v>2020</v>
      </c>
      <c r="E769" s="52" t="s">
        <v>4373</v>
      </c>
      <c r="F769">
        <v>1930273</v>
      </c>
      <c r="G769">
        <v>1933627</v>
      </c>
      <c r="H769" t="s">
        <v>4355</v>
      </c>
      <c r="I769" t="s">
        <v>4351</v>
      </c>
      <c r="J769" s="51">
        <v>3.802083333333333E-2</v>
      </c>
      <c r="K769" t="s">
        <v>140</v>
      </c>
      <c r="L769" t="s">
        <v>4356</v>
      </c>
      <c r="M769" t="s">
        <v>4357</v>
      </c>
      <c r="N769" t="s">
        <v>143</v>
      </c>
      <c r="O769" t="s">
        <v>144</v>
      </c>
      <c r="P769" t="s">
        <v>676</v>
      </c>
      <c r="Q769" t="s">
        <v>146</v>
      </c>
      <c r="R769" t="s">
        <v>147</v>
      </c>
      <c r="S769" t="s">
        <v>148</v>
      </c>
      <c r="T769" t="s">
        <v>169</v>
      </c>
      <c r="U769" t="s">
        <v>151</v>
      </c>
      <c r="V769">
        <v>3</v>
      </c>
      <c r="W769" t="s">
        <v>269</v>
      </c>
      <c r="X769" t="s">
        <v>4374</v>
      </c>
      <c r="Y769" t="s">
        <v>153</v>
      </c>
      <c r="Z769" s="53" t="s">
        <v>4375</v>
      </c>
      <c r="AA769">
        <v>1</v>
      </c>
      <c r="AB769"/>
      <c r="AC769">
        <v>1</v>
      </c>
      <c r="AD769"/>
      <c r="AE769"/>
      <c r="AF769"/>
      <c r="BG769" t="str">
        <f t="shared" si="12"/>
        <v/>
      </c>
      <c r="BH769" s="3" t="str" cm="1">
        <f t="array" ref="BH769">IF(AE769=1, _xlfn.TEXTJOIN(" &amp; ", TRUE, _xlfn._xlws.FILTER($AG$2:$BC$2, AG769:BC769=1)), "")</f>
        <v/>
      </c>
    </row>
    <row r="770" spans="1:60" x14ac:dyDescent="0.3">
      <c r="A770" t="s">
        <v>4351</v>
      </c>
      <c r="B770" t="s">
        <v>4376</v>
      </c>
      <c r="C770" t="s">
        <v>4353</v>
      </c>
      <c r="D770">
        <v>2020</v>
      </c>
      <c r="E770" s="52" t="s">
        <v>4377</v>
      </c>
      <c r="F770">
        <v>1942697</v>
      </c>
      <c r="G770">
        <v>1944953</v>
      </c>
      <c r="H770" t="s">
        <v>4355</v>
      </c>
      <c r="I770" t="s">
        <v>4351</v>
      </c>
      <c r="J770" s="51">
        <v>3.802083333333333E-2</v>
      </c>
      <c r="K770" t="s">
        <v>140</v>
      </c>
      <c r="L770" t="s">
        <v>4356</v>
      </c>
      <c r="M770" t="s">
        <v>4357</v>
      </c>
      <c r="N770" t="s">
        <v>143</v>
      </c>
      <c r="O770" t="s">
        <v>144</v>
      </c>
      <c r="P770" t="s">
        <v>676</v>
      </c>
      <c r="Q770" t="s">
        <v>146</v>
      </c>
      <c r="R770" t="s">
        <v>147</v>
      </c>
      <c r="S770" t="s">
        <v>148</v>
      </c>
      <c r="T770" t="s">
        <v>169</v>
      </c>
      <c r="U770" t="s">
        <v>151</v>
      </c>
      <c r="V770">
        <v>3</v>
      </c>
      <c r="W770" t="s">
        <v>269</v>
      </c>
      <c r="X770" t="s">
        <v>4378</v>
      </c>
      <c r="Y770" t="s">
        <v>153</v>
      </c>
      <c r="Z770" s="53" t="s">
        <v>4379</v>
      </c>
      <c r="AA770"/>
      <c r="AB770"/>
      <c r="AC770"/>
      <c r="AD770"/>
      <c r="AE770">
        <v>1</v>
      </c>
      <c r="AF770"/>
      <c r="AH770" s="8">
        <v>1</v>
      </c>
      <c r="BG770" t="str">
        <f t="shared" si="12"/>
        <v>Interazionale</v>
      </c>
      <c r="BH770" s="3" t="str" cm="1">
        <f t="array" ref="BH770">IF(AE770=1, _xlfn.TEXTJOIN(" &amp; ", TRUE, _xlfn._xlws.FILTER($AG$2:$BC$2, AG770:BC770=1)), "")</f>
        <v>Richiesta di accordo/conferma</v>
      </c>
    </row>
    <row r="771" spans="1:60" x14ac:dyDescent="0.3">
      <c r="A771" t="s">
        <v>4351</v>
      </c>
      <c r="B771" t="s">
        <v>4380</v>
      </c>
      <c r="C771" t="s">
        <v>4353</v>
      </c>
      <c r="D771">
        <v>2020</v>
      </c>
      <c r="E771" s="52" t="s">
        <v>4381</v>
      </c>
      <c r="F771">
        <v>2844178</v>
      </c>
      <c r="G771">
        <v>2846431</v>
      </c>
      <c r="H771" t="s">
        <v>4355</v>
      </c>
      <c r="I771" t="s">
        <v>4351</v>
      </c>
      <c r="J771" s="51">
        <v>3.802083333333333E-2</v>
      </c>
      <c r="K771" t="s">
        <v>140</v>
      </c>
      <c r="L771" t="s">
        <v>4356</v>
      </c>
      <c r="M771" t="s">
        <v>4357</v>
      </c>
      <c r="N771" t="s">
        <v>143</v>
      </c>
      <c r="O771" t="s">
        <v>144</v>
      </c>
      <c r="P771" t="s">
        <v>676</v>
      </c>
      <c r="Q771" t="s">
        <v>146</v>
      </c>
      <c r="R771" t="s">
        <v>147</v>
      </c>
      <c r="S771" t="s">
        <v>148</v>
      </c>
      <c r="T771" t="s">
        <v>169</v>
      </c>
      <c r="U771" t="s">
        <v>151</v>
      </c>
      <c r="V771">
        <v>3</v>
      </c>
      <c r="W771" t="s">
        <v>269</v>
      </c>
      <c r="X771" t="s">
        <v>4382</v>
      </c>
      <c r="Y771" t="s">
        <v>153</v>
      </c>
      <c r="Z771" s="53" t="s">
        <v>4383</v>
      </c>
      <c r="AA771">
        <v>1</v>
      </c>
      <c r="AB771"/>
      <c r="AC771">
        <v>1</v>
      </c>
      <c r="AD771"/>
      <c r="AE771"/>
      <c r="AF771"/>
      <c r="BG771" t="str">
        <f t="shared" si="12"/>
        <v/>
      </c>
      <c r="BH771" s="3" t="str" cm="1">
        <f t="array" ref="BH771">IF(AE771=1, _xlfn.TEXTJOIN(" &amp; ", TRUE, _xlfn._xlws.FILTER($AG$2:$BC$2, AG771:BC771=1)), "")</f>
        <v/>
      </c>
    </row>
    <row r="772" spans="1:60" x14ac:dyDescent="0.3">
      <c r="A772" t="s">
        <v>4384</v>
      </c>
      <c r="B772" t="s">
        <v>4385</v>
      </c>
      <c r="C772" t="s">
        <v>4386</v>
      </c>
      <c r="D772">
        <v>2020</v>
      </c>
      <c r="E772" s="52" t="s">
        <v>4387</v>
      </c>
      <c r="F772">
        <v>592920</v>
      </c>
      <c r="G772">
        <v>594890</v>
      </c>
      <c r="H772" t="s">
        <v>4388</v>
      </c>
      <c r="I772" t="s">
        <v>4384</v>
      </c>
      <c r="J772" s="51">
        <v>2.1817129629629631E-2</v>
      </c>
      <c r="K772" t="s">
        <v>140</v>
      </c>
      <c r="L772" t="s">
        <v>4389</v>
      </c>
      <c r="M772" t="s">
        <v>4390</v>
      </c>
      <c r="N772" t="s">
        <v>381</v>
      </c>
      <c r="O772" t="s">
        <v>144</v>
      </c>
      <c r="P772" t="s">
        <v>657</v>
      </c>
      <c r="Q772" t="s">
        <v>481</v>
      </c>
      <c r="R772" t="s">
        <v>147</v>
      </c>
      <c r="S772" t="s">
        <v>148</v>
      </c>
      <c r="T772" t="s">
        <v>658</v>
      </c>
      <c r="U772" t="s">
        <v>318</v>
      </c>
      <c r="V772">
        <v>4</v>
      </c>
      <c r="W772" t="s">
        <v>269</v>
      </c>
      <c r="X772" t="s">
        <v>4391</v>
      </c>
      <c r="Y772" t="s">
        <v>153</v>
      </c>
      <c r="Z772" s="53" t="s">
        <v>4392</v>
      </c>
      <c r="AA772">
        <v>1</v>
      </c>
      <c r="AB772"/>
      <c r="AC772">
        <v>1</v>
      </c>
      <c r="AD772"/>
      <c r="AE772"/>
      <c r="AF772"/>
      <c r="BG772" t="str">
        <f t="shared" ref="BG772:BG802" si="13">IF(AE772=1,_xlfn.TEXTJOIN(" &amp; ", TRUE,
    IF(COUNTIF(AG772:AO772,1)&gt;0,"Interazionale",""),
    IF(COUNTIF(AP772:AW772,1)&gt;0,"Metatestuale",""),
    IF(COUNTIF(AX772:BC772,1)&gt;0,"Cognitiva","")
),"")</f>
        <v/>
      </c>
      <c r="BH772" s="3" t="str" cm="1">
        <f t="array" ref="BH772">IF(AE772=1, _xlfn.TEXTJOIN(" &amp; ", TRUE, _xlfn._xlws.FILTER($AG$2:$BC$2, AG772:BC772=1)), "")</f>
        <v/>
      </c>
    </row>
    <row r="773" spans="1:60" x14ac:dyDescent="0.3">
      <c r="A773" t="s">
        <v>4384</v>
      </c>
      <c r="B773" t="s">
        <v>4393</v>
      </c>
      <c r="C773" t="s">
        <v>4386</v>
      </c>
      <c r="D773">
        <v>2020</v>
      </c>
      <c r="E773" s="52" t="s">
        <v>4394</v>
      </c>
      <c r="F773">
        <v>597550</v>
      </c>
      <c r="G773">
        <v>599250</v>
      </c>
      <c r="H773" t="s">
        <v>4395</v>
      </c>
      <c r="I773" t="s">
        <v>4384</v>
      </c>
      <c r="J773" s="51">
        <v>2.1817129629629631E-2</v>
      </c>
      <c r="K773" t="s">
        <v>140</v>
      </c>
      <c r="L773" t="s">
        <v>4389</v>
      </c>
      <c r="M773" t="s">
        <v>4390</v>
      </c>
      <c r="N773" t="s">
        <v>317</v>
      </c>
      <c r="O773" t="s">
        <v>144</v>
      </c>
      <c r="P773" t="s">
        <v>657</v>
      </c>
      <c r="Q773" t="s">
        <v>146</v>
      </c>
      <c r="R773" t="s">
        <v>147</v>
      </c>
      <c r="S773" t="s">
        <v>148</v>
      </c>
      <c r="T773" t="s">
        <v>658</v>
      </c>
      <c r="U773" t="s">
        <v>318</v>
      </c>
      <c r="V773">
        <v>4</v>
      </c>
      <c r="W773" t="s">
        <v>269</v>
      </c>
      <c r="X773" t="s">
        <v>4396</v>
      </c>
      <c r="Y773" t="s">
        <v>153</v>
      </c>
      <c r="Z773" s="53" t="s">
        <v>4397</v>
      </c>
      <c r="AA773">
        <v>1</v>
      </c>
      <c r="AB773">
        <v>1</v>
      </c>
      <c r="AC773"/>
      <c r="AD773"/>
      <c r="AE773"/>
      <c r="AF773"/>
      <c r="BG773" t="str">
        <f t="shared" si="13"/>
        <v/>
      </c>
      <c r="BH773" s="3" t="str" cm="1">
        <f t="array" ref="BH773">IF(AE773=1, _xlfn.TEXTJOIN(" &amp; ", TRUE, _xlfn._xlws.FILTER($AG$2:$BC$2, AG773:BC773=1)), "")</f>
        <v/>
      </c>
    </row>
    <row r="774" spans="1:60" x14ac:dyDescent="0.3">
      <c r="A774" t="s">
        <v>4384</v>
      </c>
      <c r="B774" t="s">
        <v>4398</v>
      </c>
      <c r="C774" t="s">
        <v>4386</v>
      </c>
      <c r="D774">
        <v>2020</v>
      </c>
      <c r="E774" s="52" t="s">
        <v>4399</v>
      </c>
      <c r="F774">
        <v>655090</v>
      </c>
      <c r="G774">
        <v>656270</v>
      </c>
      <c r="H774" t="s">
        <v>2947</v>
      </c>
      <c r="I774" t="s">
        <v>4384</v>
      </c>
      <c r="J774" s="51">
        <v>2.1817129629629631E-2</v>
      </c>
      <c r="K774" t="s">
        <v>140</v>
      </c>
      <c r="L774" t="s">
        <v>4389</v>
      </c>
      <c r="M774" t="s">
        <v>4390</v>
      </c>
      <c r="N774" t="s">
        <v>143</v>
      </c>
      <c r="O774" t="s">
        <v>164</v>
      </c>
      <c r="P774" t="s">
        <v>657</v>
      </c>
      <c r="Q774" t="s">
        <v>146</v>
      </c>
      <c r="R774" t="s">
        <v>147</v>
      </c>
      <c r="S774" t="s">
        <v>148</v>
      </c>
      <c r="T774" t="s">
        <v>658</v>
      </c>
      <c r="U774" t="s">
        <v>151</v>
      </c>
      <c r="V774">
        <v>4</v>
      </c>
      <c r="W774" t="s">
        <v>269</v>
      </c>
      <c r="X774" t="s">
        <v>4400</v>
      </c>
      <c r="Y774" t="s">
        <v>153</v>
      </c>
      <c r="Z774" s="53" t="s">
        <v>4401</v>
      </c>
      <c r="AA774">
        <v>1</v>
      </c>
      <c r="AB774"/>
      <c r="AC774"/>
      <c r="AD774">
        <v>1</v>
      </c>
      <c r="AE774"/>
      <c r="AF774"/>
      <c r="BG774" t="str">
        <f t="shared" si="13"/>
        <v/>
      </c>
      <c r="BH774" s="3" t="str" cm="1">
        <f t="array" ref="BH774">IF(AE774=1, _xlfn.TEXTJOIN(" &amp; ", TRUE, _xlfn._xlws.FILTER($AG$2:$BC$2, AG774:BC774=1)), "")</f>
        <v/>
      </c>
    </row>
    <row r="775" spans="1:60" x14ac:dyDescent="0.3">
      <c r="A775" t="s">
        <v>4402</v>
      </c>
      <c r="B775" t="s">
        <v>4403</v>
      </c>
      <c r="C775" t="s">
        <v>4404</v>
      </c>
      <c r="D775">
        <v>2023</v>
      </c>
      <c r="E775" s="52" t="s">
        <v>4405</v>
      </c>
      <c r="F775">
        <v>137411</v>
      </c>
      <c r="G775">
        <v>139622</v>
      </c>
      <c r="H775" t="s">
        <v>1927</v>
      </c>
      <c r="I775" t="s">
        <v>4402</v>
      </c>
      <c r="J775" s="51">
        <v>1.699074074074074E-2</v>
      </c>
      <c r="K775" t="s">
        <v>160</v>
      </c>
      <c r="L775" t="s">
        <v>4406</v>
      </c>
      <c r="M775" t="s">
        <v>4407</v>
      </c>
      <c r="N775" t="s">
        <v>143</v>
      </c>
      <c r="O775" t="s">
        <v>144</v>
      </c>
      <c r="P775" t="s">
        <v>165</v>
      </c>
      <c r="Q775" t="s">
        <v>146</v>
      </c>
      <c r="R775" t="s">
        <v>167</v>
      </c>
      <c r="S775" t="s">
        <v>168</v>
      </c>
      <c r="T775" t="s">
        <v>169</v>
      </c>
      <c r="U775" t="s">
        <v>151</v>
      </c>
      <c r="V775">
        <v>2</v>
      </c>
      <c r="W775" t="s">
        <v>170</v>
      </c>
      <c r="X775" t="s">
        <v>4408</v>
      </c>
      <c r="Y775" t="s">
        <v>153</v>
      </c>
      <c r="Z775" s="53" t="s">
        <v>4409</v>
      </c>
      <c r="AA775">
        <v>1</v>
      </c>
      <c r="AB775">
        <v>1</v>
      </c>
      <c r="AC775"/>
      <c r="AD775"/>
      <c r="AE775"/>
      <c r="AF775"/>
      <c r="BG775" t="str">
        <f t="shared" si="13"/>
        <v/>
      </c>
      <c r="BH775" s="3" t="str" cm="1">
        <f t="array" ref="BH775">IF(AE775=1, _xlfn.TEXTJOIN(" &amp; ", TRUE, _xlfn._xlws.FILTER($AG$2:$BC$2, AG775:BC775=1)), "")</f>
        <v/>
      </c>
    </row>
    <row r="776" spans="1:60" x14ac:dyDescent="0.3">
      <c r="A776" t="s">
        <v>4402</v>
      </c>
      <c r="B776" t="s">
        <v>4410</v>
      </c>
      <c r="C776" t="s">
        <v>4404</v>
      </c>
      <c r="D776">
        <v>2023</v>
      </c>
      <c r="E776" s="52" t="s">
        <v>4411</v>
      </c>
      <c r="F776">
        <v>444975</v>
      </c>
      <c r="G776">
        <v>447804</v>
      </c>
      <c r="H776" t="s">
        <v>1927</v>
      </c>
      <c r="I776" t="s">
        <v>4402</v>
      </c>
      <c r="J776" s="51">
        <v>1.699074074074074E-2</v>
      </c>
      <c r="K776" t="s">
        <v>160</v>
      </c>
      <c r="L776" t="s">
        <v>4406</v>
      </c>
      <c r="M776" t="s">
        <v>4407</v>
      </c>
      <c r="N776" t="s">
        <v>143</v>
      </c>
      <c r="O776" t="s">
        <v>144</v>
      </c>
      <c r="P776" t="s">
        <v>165</v>
      </c>
      <c r="Q776" t="s">
        <v>146</v>
      </c>
      <c r="R776" t="s">
        <v>167</v>
      </c>
      <c r="S776" t="s">
        <v>168</v>
      </c>
      <c r="T776" t="s">
        <v>169</v>
      </c>
      <c r="U776" t="s">
        <v>151</v>
      </c>
      <c r="V776">
        <v>2</v>
      </c>
      <c r="W776" t="s">
        <v>170</v>
      </c>
      <c r="X776" t="s">
        <v>4412</v>
      </c>
      <c r="Y776" t="s">
        <v>153</v>
      </c>
      <c r="Z776" s="53" t="s">
        <v>4413</v>
      </c>
      <c r="AA776">
        <v>1</v>
      </c>
      <c r="AB776"/>
      <c r="AC776">
        <v>1</v>
      </c>
      <c r="AD776"/>
      <c r="AE776"/>
      <c r="AF776"/>
      <c r="BG776" t="str">
        <f t="shared" si="13"/>
        <v/>
      </c>
      <c r="BH776" s="3" t="str" cm="1">
        <f t="array" ref="BH776">IF(AE776=1, _xlfn.TEXTJOIN(" &amp; ", TRUE, _xlfn._xlws.FILTER($AG$2:$BC$2, AG776:BC776=1)), "")</f>
        <v/>
      </c>
    </row>
    <row r="777" spans="1:60" x14ac:dyDescent="0.3">
      <c r="A777" t="s">
        <v>4402</v>
      </c>
      <c r="B777" t="s">
        <v>4414</v>
      </c>
      <c r="C777" t="s">
        <v>4404</v>
      </c>
      <c r="D777">
        <v>2023</v>
      </c>
      <c r="E777" s="52" t="s">
        <v>4415</v>
      </c>
      <c r="F777">
        <v>597770</v>
      </c>
      <c r="G777">
        <v>599576</v>
      </c>
      <c r="H777" t="s">
        <v>1927</v>
      </c>
      <c r="I777" t="s">
        <v>4402</v>
      </c>
      <c r="J777" s="51">
        <v>1.699074074074074E-2</v>
      </c>
      <c r="K777" t="s">
        <v>160</v>
      </c>
      <c r="L777" t="s">
        <v>4406</v>
      </c>
      <c r="M777" t="s">
        <v>4407</v>
      </c>
      <c r="N777" t="s">
        <v>143</v>
      </c>
      <c r="O777" t="s">
        <v>144</v>
      </c>
      <c r="P777" t="s">
        <v>165</v>
      </c>
      <c r="Q777" t="s">
        <v>146</v>
      </c>
      <c r="R777" t="s">
        <v>167</v>
      </c>
      <c r="S777" t="s">
        <v>168</v>
      </c>
      <c r="T777" t="s">
        <v>169</v>
      </c>
      <c r="U777" t="s">
        <v>151</v>
      </c>
      <c r="V777">
        <v>2</v>
      </c>
      <c r="W777" t="s">
        <v>170</v>
      </c>
      <c r="X777" t="s">
        <v>4416</v>
      </c>
      <c r="Y777" t="s">
        <v>153</v>
      </c>
      <c r="Z777" s="53" t="s">
        <v>4417</v>
      </c>
      <c r="AA777">
        <v>1</v>
      </c>
      <c r="AB777">
        <v>1</v>
      </c>
      <c r="AC777"/>
      <c r="AD777"/>
      <c r="AE777"/>
      <c r="AF777"/>
      <c r="BG777" t="str">
        <f t="shared" si="13"/>
        <v/>
      </c>
      <c r="BH777" s="3" t="str" cm="1">
        <f t="array" ref="BH777">IF(AE777=1, _xlfn.TEXTJOIN(" &amp; ", TRUE, _xlfn._xlws.FILTER($AG$2:$BC$2, AG777:BC777=1)), "")</f>
        <v/>
      </c>
    </row>
    <row r="778" spans="1:60" x14ac:dyDescent="0.3">
      <c r="A778" t="s">
        <v>4418</v>
      </c>
      <c r="B778" t="s">
        <v>4419</v>
      </c>
      <c r="C778" t="s">
        <v>4420</v>
      </c>
      <c r="D778" t="s">
        <v>204</v>
      </c>
      <c r="E778" s="52" t="s">
        <v>4421</v>
      </c>
      <c r="F778">
        <v>584405</v>
      </c>
      <c r="G778">
        <v>589614</v>
      </c>
      <c r="H778" t="s">
        <v>4422</v>
      </c>
      <c r="I778" t="s">
        <v>4418</v>
      </c>
      <c r="J778" s="51">
        <v>7.6620370370370366E-3</v>
      </c>
      <c r="K778" t="s">
        <v>160</v>
      </c>
      <c r="L778" t="s">
        <v>4423</v>
      </c>
      <c r="M778" t="s">
        <v>4424</v>
      </c>
      <c r="N778" t="s">
        <v>143</v>
      </c>
      <c r="O778" t="s">
        <v>144</v>
      </c>
      <c r="P778" t="s">
        <v>145</v>
      </c>
      <c r="Q778" t="s">
        <v>146</v>
      </c>
      <c r="R778" t="s">
        <v>167</v>
      </c>
      <c r="S778" t="s">
        <v>148</v>
      </c>
      <c r="T778" t="s">
        <v>149</v>
      </c>
      <c r="U778" t="s">
        <v>151</v>
      </c>
      <c r="V778">
        <v>2</v>
      </c>
      <c r="W778" t="s">
        <v>170</v>
      </c>
      <c r="X778" t="s">
        <v>4425</v>
      </c>
      <c r="Y778" t="s">
        <v>153</v>
      </c>
      <c r="Z778" s="53" t="s">
        <v>4426</v>
      </c>
      <c r="AA778"/>
      <c r="AB778"/>
      <c r="AC778"/>
      <c r="AD778"/>
      <c r="AE778">
        <v>1</v>
      </c>
      <c r="AF778"/>
      <c r="AM778" s="7">
        <v>1</v>
      </c>
      <c r="BG778" t="str">
        <f t="shared" si="13"/>
        <v>Interazionale</v>
      </c>
      <c r="BH778" s="3" t="str" cm="1">
        <f t="array" ref="BH778">IF(AE778=1, _xlfn.TEXTJOIN(" &amp; ", TRUE, _xlfn._xlws.FILTER($AG$2:$BC$2, AG778:BC778=1)), "")</f>
        <v>Marcatura della conoscenza condivisa</v>
      </c>
    </row>
    <row r="779" spans="1:60" x14ac:dyDescent="0.3">
      <c r="A779" t="s">
        <v>936</v>
      </c>
      <c r="B779" t="s">
        <v>4427</v>
      </c>
      <c r="C779" t="s">
        <v>938</v>
      </c>
      <c r="D779">
        <v>2019</v>
      </c>
      <c r="E779" s="52" t="s">
        <v>4428</v>
      </c>
      <c r="F779">
        <v>1866560</v>
      </c>
      <c r="G779">
        <v>1868053</v>
      </c>
      <c r="H779" t="s">
        <v>517</v>
      </c>
      <c r="I779" t="s">
        <v>936</v>
      </c>
      <c r="J779" s="51">
        <v>4.6273148148148147E-2</v>
      </c>
      <c r="K779" t="s">
        <v>160</v>
      </c>
      <c r="L779" t="s">
        <v>940</v>
      </c>
      <c r="M779" t="s">
        <v>941</v>
      </c>
      <c r="N779" t="s">
        <v>143</v>
      </c>
      <c r="O779" t="s">
        <v>144</v>
      </c>
      <c r="P779" t="s">
        <v>145</v>
      </c>
      <c r="Q779" t="s">
        <v>146</v>
      </c>
      <c r="R779" t="s">
        <v>167</v>
      </c>
      <c r="S779" t="s">
        <v>168</v>
      </c>
      <c r="T779" t="s">
        <v>149</v>
      </c>
      <c r="U779" t="s">
        <v>151</v>
      </c>
      <c r="V779">
        <v>2</v>
      </c>
      <c r="W779" t="s">
        <v>170</v>
      </c>
      <c r="X779" t="s">
        <v>4429</v>
      </c>
      <c r="Y779" t="s">
        <v>153</v>
      </c>
      <c r="Z779" s="53" t="s">
        <v>4430</v>
      </c>
      <c r="AA779">
        <v>1</v>
      </c>
      <c r="AB779"/>
      <c r="AC779">
        <v>1</v>
      </c>
      <c r="AD779"/>
      <c r="AE779"/>
      <c r="AF779"/>
      <c r="BG779" t="str">
        <f t="shared" si="13"/>
        <v/>
      </c>
      <c r="BH779" s="3" t="str" cm="1">
        <f t="array" ref="BH779">IF(AE779=1, _xlfn.TEXTJOIN(" &amp; ", TRUE, _xlfn._xlws.FILTER($AG$2:$BC$2, AG779:BC779=1)), "")</f>
        <v/>
      </c>
    </row>
    <row r="780" spans="1:60" x14ac:dyDescent="0.3">
      <c r="A780" t="s">
        <v>936</v>
      </c>
      <c r="B780" t="s">
        <v>4431</v>
      </c>
      <c r="C780" t="s">
        <v>938</v>
      </c>
      <c r="D780">
        <v>2019</v>
      </c>
      <c r="E780" s="52" t="s">
        <v>4432</v>
      </c>
      <c r="F780">
        <v>2058462</v>
      </c>
      <c r="G780">
        <v>2061220</v>
      </c>
      <c r="H780" t="s">
        <v>517</v>
      </c>
      <c r="I780" t="s">
        <v>936</v>
      </c>
      <c r="J780" s="51">
        <v>4.6273148148148147E-2</v>
      </c>
      <c r="K780" t="s">
        <v>160</v>
      </c>
      <c r="L780" t="s">
        <v>940</v>
      </c>
      <c r="M780" t="s">
        <v>941</v>
      </c>
      <c r="N780" t="s">
        <v>143</v>
      </c>
      <c r="O780" t="s">
        <v>144</v>
      </c>
      <c r="P780" t="s">
        <v>145</v>
      </c>
      <c r="Q780" t="s">
        <v>146</v>
      </c>
      <c r="R780" t="s">
        <v>167</v>
      </c>
      <c r="S780" t="s">
        <v>168</v>
      </c>
      <c r="T780" t="s">
        <v>149</v>
      </c>
      <c r="U780" t="s">
        <v>151</v>
      </c>
      <c r="V780">
        <v>2</v>
      </c>
      <c r="W780" t="s">
        <v>170</v>
      </c>
      <c r="X780" t="s">
        <v>4433</v>
      </c>
      <c r="Y780" t="s">
        <v>153</v>
      </c>
      <c r="Z780" s="53" t="s">
        <v>4434</v>
      </c>
      <c r="AA780"/>
      <c r="AB780"/>
      <c r="AC780"/>
      <c r="AD780"/>
      <c r="AE780">
        <v>1</v>
      </c>
      <c r="AF780">
        <v>1</v>
      </c>
      <c r="AU780" s="21">
        <v>1</v>
      </c>
      <c r="BG780" t="str">
        <f t="shared" si="13"/>
        <v>Metatestuale</v>
      </c>
      <c r="BH780" s="3" t="str" cm="1">
        <f t="array" ref="BH780">IF(AE780=1, _xlfn.TEXTJOIN(" &amp; ", TRUE, _xlfn._xlws.FILTER($AG$2:$BC$2, AG780:BC780=1)), "")</f>
        <v>Esemplificazione</v>
      </c>
    </row>
    <row r="781" spans="1:60" x14ac:dyDescent="0.3">
      <c r="A781" t="s">
        <v>936</v>
      </c>
      <c r="B781" t="s">
        <v>937</v>
      </c>
      <c r="C781" t="s">
        <v>938</v>
      </c>
      <c r="D781">
        <v>2019</v>
      </c>
      <c r="E781" s="52" t="s">
        <v>939</v>
      </c>
      <c r="F781">
        <v>2487183</v>
      </c>
      <c r="G781">
        <v>2490224</v>
      </c>
      <c r="H781" t="s">
        <v>517</v>
      </c>
      <c r="I781" t="s">
        <v>936</v>
      </c>
      <c r="J781" s="51">
        <v>4.6273148148148147E-2</v>
      </c>
      <c r="K781" t="s">
        <v>160</v>
      </c>
      <c r="L781" t="s">
        <v>940</v>
      </c>
      <c r="M781" t="s">
        <v>941</v>
      </c>
      <c r="N781" t="s">
        <v>143</v>
      </c>
      <c r="O781" t="s">
        <v>144</v>
      </c>
      <c r="P781" t="s">
        <v>145</v>
      </c>
      <c r="Q781" t="s">
        <v>146</v>
      </c>
      <c r="R781" t="s">
        <v>167</v>
      </c>
      <c r="S781" t="s">
        <v>168</v>
      </c>
      <c r="T781" t="s">
        <v>149</v>
      </c>
      <c r="U781" t="s">
        <v>151</v>
      </c>
      <c r="V781">
        <v>2</v>
      </c>
      <c r="W781" t="s">
        <v>170</v>
      </c>
      <c r="X781" t="s">
        <v>942</v>
      </c>
      <c r="Y781" t="s">
        <v>153</v>
      </c>
      <c r="Z781" s="53" t="s">
        <v>943</v>
      </c>
      <c r="AA781">
        <v>1</v>
      </c>
      <c r="AB781"/>
      <c r="AC781">
        <v>1</v>
      </c>
      <c r="AD781"/>
      <c r="AE781"/>
      <c r="AF781"/>
      <c r="BG781" t="str">
        <f t="shared" si="13"/>
        <v/>
      </c>
      <c r="BH781" s="3" t="str" cm="1">
        <f t="array" ref="BH781">IF(AE781=1, _xlfn.TEXTJOIN(" &amp; ", TRUE, _xlfn._xlws.FILTER($AG$2:$BC$2, AG781:BC781=1)), "")</f>
        <v/>
      </c>
    </row>
    <row r="782" spans="1:60" x14ac:dyDescent="0.3">
      <c r="A782" t="s">
        <v>936</v>
      </c>
      <c r="B782" t="s">
        <v>4435</v>
      </c>
      <c r="C782" t="s">
        <v>938</v>
      </c>
      <c r="D782">
        <v>2019</v>
      </c>
      <c r="E782" s="52" t="s">
        <v>4436</v>
      </c>
      <c r="F782">
        <v>3972803</v>
      </c>
      <c r="G782">
        <v>3973819</v>
      </c>
      <c r="H782" t="s">
        <v>4437</v>
      </c>
      <c r="I782" t="s">
        <v>936</v>
      </c>
      <c r="J782" s="51">
        <v>4.6273148148148147E-2</v>
      </c>
      <c r="K782" t="s">
        <v>160</v>
      </c>
      <c r="L782" t="s">
        <v>940</v>
      </c>
      <c r="M782" t="s">
        <v>941</v>
      </c>
      <c r="N782" t="s">
        <v>363</v>
      </c>
      <c r="O782" t="s">
        <v>164</v>
      </c>
      <c r="P782" t="s">
        <v>145</v>
      </c>
      <c r="Q782" t="s">
        <v>527</v>
      </c>
      <c r="R782" t="s">
        <v>167</v>
      </c>
      <c r="S782" t="s">
        <v>168</v>
      </c>
      <c r="T782" t="s">
        <v>149</v>
      </c>
      <c r="U782" t="s">
        <v>171</v>
      </c>
      <c r="V782">
        <v>2</v>
      </c>
      <c r="W782" t="s">
        <v>170</v>
      </c>
      <c r="X782" t="s">
        <v>4438</v>
      </c>
      <c r="Y782" t="s">
        <v>153</v>
      </c>
      <c r="Z782" s="53" t="s">
        <v>4439</v>
      </c>
      <c r="AA782">
        <v>1</v>
      </c>
      <c r="AB782"/>
      <c r="AC782">
        <v>1</v>
      </c>
      <c r="AD782"/>
      <c r="AE782"/>
      <c r="AF782"/>
      <c r="BG782" t="str">
        <f t="shared" si="13"/>
        <v/>
      </c>
      <c r="BH782" s="3" t="str" cm="1">
        <f t="array" ref="BH782">IF(AE782=1, _xlfn.TEXTJOIN(" &amp; ", TRUE, _xlfn._xlws.FILTER($AG$2:$BC$2, AG782:BC782=1)), "")</f>
        <v/>
      </c>
    </row>
    <row r="783" spans="1:60" x14ac:dyDescent="0.3">
      <c r="A783" t="s">
        <v>944</v>
      </c>
      <c r="B783" t="s">
        <v>4440</v>
      </c>
      <c r="C783" t="s">
        <v>945</v>
      </c>
      <c r="D783">
        <v>2023</v>
      </c>
      <c r="E783" s="52" t="s">
        <v>4441</v>
      </c>
      <c r="F783">
        <v>415684</v>
      </c>
      <c r="G783">
        <v>420605</v>
      </c>
      <c r="H783" t="s">
        <v>946</v>
      </c>
      <c r="I783" t="s">
        <v>944</v>
      </c>
      <c r="J783" s="51">
        <v>5.846064814814815E-2</v>
      </c>
      <c r="K783" t="s">
        <v>160</v>
      </c>
      <c r="L783" t="s">
        <v>947</v>
      </c>
      <c r="M783" t="s">
        <v>948</v>
      </c>
      <c r="N783" t="s">
        <v>143</v>
      </c>
      <c r="O783" t="s">
        <v>164</v>
      </c>
      <c r="P783" t="s">
        <v>165</v>
      </c>
      <c r="Q783" t="s">
        <v>166</v>
      </c>
      <c r="R783" t="s">
        <v>167</v>
      </c>
      <c r="S783" t="s">
        <v>168</v>
      </c>
      <c r="T783" t="s">
        <v>400</v>
      </c>
      <c r="U783" t="s">
        <v>171</v>
      </c>
      <c r="V783">
        <v>4</v>
      </c>
      <c r="W783" t="s">
        <v>170</v>
      </c>
      <c r="X783" t="s">
        <v>4442</v>
      </c>
      <c r="Y783" t="s">
        <v>153</v>
      </c>
      <c r="Z783" s="53" t="s">
        <v>4443</v>
      </c>
      <c r="AA783"/>
      <c r="AB783"/>
      <c r="AC783"/>
      <c r="AD783"/>
      <c r="AE783">
        <v>1</v>
      </c>
      <c r="AF783"/>
      <c r="AM783" s="7">
        <v>1</v>
      </c>
      <c r="AU783" s="21">
        <v>1</v>
      </c>
      <c r="BD783" s="3">
        <v>1</v>
      </c>
      <c r="BG783" t="str">
        <f t="shared" si="13"/>
        <v>Interazionale &amp; Metatestuale</v>
      </c>
      <c r="BH783" s="3" t="str" cm="1">
        <f t="array" ref="BH783">IF(AE783=1, _xlfn.TEXTJOIN(" &amp; ", TRUE, _xlfn._xlws.FILTER($AG$2:$BC$2, AG783:BC783=1)), "")</f>
        <v>Marcatura della conoscenza condivisa &amp; Esemplificazione</v>
      </c>
    </row>
    <row r="784" spans="1:60" x14ac:dyDescent="0.3">
      <c r="A784" t="s">
        <v>944</v>
      </c>
      <c r="B784" t="s">
        <v>949</v>
      </c>
      <c r="C784" t="s">
        <v>945</v>
      </c>
      <c r="D784">
        <v>2023</v>
      </c>
      <c r="E784" s="52" t="s">
        <v>950</v>
      </c>
      <c r="F784">
        <v>1275310</v>
      </c>
      <c r="G784">
        <v>1277559</v>
      </c>
      <c r="H784" t="s">
        <v>946</v>
      </c>
      <c r="I784" t="s">
        <v>944</v>
      </c>
      <c r="J784" s="51">
        <v>5.846064814814815E-2</v>
      </c>
      <c r="K784" t="s">
        <v>160</v>
      </c>
      <c r="L784" t="s">
        <v>947</v>
      </c>
      <c r="M784" t="s">
        <v>948</v>
      </c>
      <c r="N784" t="s">
        <v>143</v>
      </c>
      <c r="O784" t="s">
        <v>164</v>
      </c>
      <c r="P784" t="s">
        <v>165</v>
      </c>
      <c r="Q784" t="s">
        <v>166</v>
      </c>
      <c r="R784" t="s">
        <v>167</v>
      </c>
      <c r="S784" t="s">
        <v>168</v>
      </c>
      <c r="T784" t="s">
        <v>400</v>
      </c>
      <c r="U784" t="s">
        <v>171</v>
      </c>
      <c r="V784">
        <v>4</v>
      </c>
      <c r="W784" t="s">
        <v>170</v>
      </c>
      <c r="X784" t="s">
        <v>951</v>
      </c>
      <c r="Y784" t="s">
        <v>153</v>
      </c>
      <c r="Z784" s="53" t="s">
        <v>952</v>
      </c>
      <c r="AA784">
        <v>1</v>
      </c>
      <c r="AB784">
        <v>1</v>
      </c>
      <c r="AC784"/>
      <c r="AD784"/>
      <c r="AE784"/>
      <c r="AF784"/>
      <c r="BG784" t="str">
        <f t="shared" si="13"/>
        <v/>
      </c>
      <c r="BH784" s="3" t="str" cm="1">
        <f t="array" ref="BH784">IF(AE784=1, _xlfn.TEXTJOIN(" &amp; ", TRUE, _xlfn._xlws.FILTER($AG$2:$BC$2, AG784:BC784=1)), "")</f>
        <v/>
      </c>
    </row>
    <row r="785" spans="1:60" x14ac:dyDescent="0.3">
      <c r="A785" t="s">
        <v>944</v>
      </c>
      <c r="B785" t="s">
        <v>4444</v>
      </c>
      <c r="C785" t="s">
        <v>945</v>
      </c>
      <c r="D785">
        <v>2023</v>
      </c>
      <c r="E785" s="52" t="s">
        <v>4445</v>
      </c>
      <c r="F785">
        <v>1384657</v>
      </c>
      <c r="G785">
        <v>1388776</v>
      </c>
      <c r="H785" t="s">
        <v>946</v>
      </c>
      <c r="I785" t="s">
        <v>944</v>
      </c>
      <c r="J785" s="51">
        <v>5.846064814814815E-2</v>
      </c>
      <c r="K785" t="s">
        <v>160</v>
      </c>
      <c r="L785" t="s">
        <v>947</v>
      </c>
      <c r="M785" t="s">
        <v>948</v>
      </c>
      <c r="N785" t="s">
        <v>143</v>
      </c>
      <c r="O785" t="s">
        <v>164</v>
      </c>
      <c r="P785" t="s">
        <v>165</v>
      </c>
      <c r="Q785" t="s">
        <v>166</v>
      </c>
      <c r="R785" t="s">
        <v>167</v>
      </c>
      <c r="S785" t="s">
        <v>168</v>
      </c>
      <c r="T785" t="s">
        <v>400</v>
      </c>
      <c r="U785" t="s">
        <v>171</v>
      </c>
      <c r="V785">
        <v>4</v>
      </c>
      <c r="W785" t="s">
        <v>170</v>
      </c>
      <c r="X785" t="s">
        <v>4446</v>
      </c>
      <c r="Y785" t="s">
        <v>153</v>
      </c>
      <c r="Z785" s="53" t="s">
        <v>4447</v>
      </c>
      <c r="AA785"/>
      <c r="AB785"/>
      <c r="AC785"/>
      <c r="AD785"/>
      <c r="AE785">
        <v>1</v>
      </c>
      <c r="AF785"/>
      <c r="AM785" s="7">
        <v>1</v>
      </c>
      <c r="AW785" s="21">
        <v>1</v>
      </c>
      <c r="BD785" s="3">
        <v>1</v>
      </c>
      <c r="BG785" t="str">
        <f t="shared" si="13"/>
        <v>Interazionale &amp; Metatestuale</v>
      </c>
      <c r="BH785" s="3" t="str" cm="1">
        <f t="array" ref="BH785">IF(AE785=1, _xlfn.TEXTJOIN(" &amp; ", TRUE, _xlfn._xlws.FILTER($AG$2:$BC$2, AG785:BC785=1)), "")</f>
        <v>Marcatura della conoscenza condivisa &amp; General extenders e marche di generalizzazione</v>
      </c>
    </row>
    <row r="786" spans="1:60" x14ac:dyDescent="0.3">
      <c r="A786" t="s">
        <v>944</v>
      </c>
      <c r="B786" t="s">
        <v>4448</v>
      </c>
      <c r="C786" t="s">
        <v>945</v>
      </c>
      <c r="D786">
        <v>2023</v>
      </c>
      <c r="E786" s="52" t="s">
        <v>4449</v>
      </c>
      <c r="F786">
        <v>1694391</v>
      </c>
      <c r="G786">
        <v>1697241</v>
      </c>
      <c r="H786" t="s">
        <v>946</v>
      </c>
      <c r="I786" t="s">
        <v>944</v>
      </c>
      <c r="J786" s="51">
        <v>5.846064814814815E-2</v>
      </c>
      <c r="K786" t="s">
        <v>160</v>
      </c>
      <c r="L786" t="s">
        <v>947</v>
      </c>
      <c r="M786" t="s">
        <v>948</v>
      </c>
      <c r="N786" t="s">
        <v>143</v>
      </c>
      <c r="O786" t="s">
        <v>164</v>
      </c>
      <c r="P786" t="s">
        <v>165</v>
      </c>
      <c r="Q786" t="s">
        <v>166</v>
      </c>
      <c r="R786" t="s">
        <v>167</v>
      </c>
      <c r="S786" t="s">
        <v>168</v>
      </c>
      <c r="T786" t="s">
        <v>400</v>
      </c>
      <c r="U786" t="s">
        <v>171</v>
      </c>
      <c r="V786">
        <v>4</v>
      </c>
      <c r="W786" t="s">
        <v>170</v>
      </c>
      <c r="X786" t="s">
        <v>4450</v>
      </c>
      <c r="Y786" t="s">
        <v>153</v>
      </c>
      <c r="Z786" s="53" t="s">
        <v>4451</v>
      </c>
      <c r="AA786">
        <v>1</v>
      </c>
      <c r="AB786"/>
      <c r="AC786"/>
      <c r="AD786">
        <v>1</v>
      </c>
      <c r="AE786"/>
      <c r="AF786"/>
      <c r="BG786" t="str">
        <f t="shared" si="13"/>
        <v/>
      </c>
      <c r="BH786" s="3" t="str" cm="1">
        <f t="array" ref="BH786">IF(AE786=1, _xlfn.TEXTJOIN(" &amp; ", TRUE, _xlfn._xlws.FILTER($AG$2:$BC$2, AG786:BC786=1)), "")</f>
        <v/>
      </c>
    </row>
    <row r="787" spans="1:60" x14ac:dyDescent="0.3">
      <c r="A787" t="s">
        <v>944</v>
      </c>
      <c r="B787" t="s">
        <v>4452</v>
      </c>
      <c r="C787" t="s">
        <v>945</v>
      </c>
      <c r="D787">
        <v>2023</v>
      </c>
      <c r="E787" s="52" t="s">
        <v>4453</v>
      </c>
      <c r="F787">
        <v>2667300</v>
      </c>
      <c r="G787">
        <v>2670588</v>
      </c>
      <c r="H787" t="s">
        <v>946</v>
      </c>
      <c r="I787" t="s">
        <v>944</v>
      </c>
      <c r="J787" s="51">
        <v>5.846064814814815E-2</v>
      </c>
      <c r="K787" t="s">
        <v>160</v>
      </c>
      <c r="L787" t="s">
        <v>947</v>
      </c>
      <c r="M787" t="s">
        <v>948</v>
      </c>
      <c r="N787" t="s">
        <v>143</v>
      </c>
      <c r="O787" t="s">
        <v>164</v>
      </c>
      <c r="P787" t="s">
        <v>165</v>
      </c>
      <c r="Q787" t="s">
        <v>166</v>
      </c>
      <c r="R787" t="s">
        <v>167</v>
      </c>
      <c r="S787" t="s">
        <v>168</v>
      </c>
      <c r="T787" t="s">
        <v>400</v>
      </c>
      <c r="U787" t="s">
        <v>171</v>
      </c>
      <c r="V787">
        <v>4</v>
      </c>
      <c r="W787" t="s">
        <v>170</v>
      </c>
      <c r="X787" t="s">
        <v>4454</v>
      </c>
      <c r="Y787" t="s">
        <v>153</v>
      </c>
      <c r="Z787" s="53" t="s">
        <v>4455</v>
      </c>
      <c r="AA787">
        <v>1</v>
      </c>
      <c r="AB787">
        <v>1</v>
      </c>
      <c r="AC787"/>
      <c r="AD787"/>
      <c r="AE787"/>
      <c r="AF787"/>
      <c r="BG787" t="str">
        <f t="shared" si="13"/>
        <v/>
      </c>
      <c r="BH787" s="3" t="str" cm="1">
        <f t="array" ref="BH787">IF(AE787=1, _xlfn.TEXTJOIN(" &amp; ", TRUE, _xlfn._xlws.FILTER($AG$2:$BC$2, AG787:BC787=1)), "")</f>
        <v/>
      </c>
    </row>
    <row r="788" spans="1:60" x14ac:dyDescent="0.3">
      <c r="A788" t="s">
        <v>944</v>
      </c>
      <c r="B788" t="s">
        <v>4456</v>
      </c>
      <c r="C788" t="s">
        <v>945</v>
      </c>
      <c r="D788">
        <v>2023</v>
      </c>
      <c r="E788" s="52" t="s">
        <v>4457</v>
      </c>
      <c r="F788">
        <v>2984610</v>
      </c>
      <c r="G788">
        <v>2988680</v>
      </c>
      <c r="H788" t="s">
        <v>946</v>
      </c>
      <c r="I788" t="s">
        <v>944</v>
      </c>
      <c r="J788" s="51">
        <v>5.846064814814815E-2</v>
      </c>
      <c r="K788" t="s">
        <v>160</v>
      </c>
      <c r="L788" t="s">
        <v>947</v>
      </c>
      <c r="M788" t="s">
        <v>948</v>
      </c>
      <c r="N788" t="s">
        <v>143</v>
      </c>
      <c r="O788" t="s">
        <v>164</v>
      </c>
      <c r="P788" t="s">
        <v>165</v>
      </c>
      <c r="Q788" t="s">
        <v>166</v>
      </c>
      <c r="R788" t="s">
        <v>167</v>
      </c>
      <c r="S788" t="s">
        <v>168</v>
      </c>
      <c r="T788" t="s">
        <v>400</v>
      </c>
      <c r="U788" t="s">
        <v>171</v>
      </c>
      <c r="V788">
        <v>4</v>
      </c>
      <c r="W788" t="s">
        <v>170</v>
      </c>
      <c r="X788" t="s">
        <v>4458</v>
      </c>
      <c r="Y788" t="s">
        <v>153</v>
      </c>
      <c r="Z788" s="53" t="s">
        <v>4459</v>
      </c>
      <c r="AA788">
        <v>1</v>
      </c>
      <c r="AB788">
        <v>1</v>
      </c>
      <c r="AC788"/>
      <c r="AD788"/>
      <c r="AE788"/>
      <c r="AF788"/>
      <c r="BG788" t="str">
        <f t="shared" si="13"/>
        <v/>
      </c>
      <c r="BH788" s="3" t="str" cm="1">
        <f t="array" ref="BH788">IF(AE788=1, _xlfn.TEXTJOIN(" &amp; ", TRUE, _xlfn._xlws.FILTER($AG$2:$BC$2, AG788:BC788=1)), "")</f>
        <v/>
      </c>
    </row>
    <row r="789" spans="1:60" x14ac:dyDescent="0.3">
      <c r="A789" t="s">
        <v>4460</v>
      </c>
      <c r="B789" t="s">
        <v>4461</v>
      </c>
      <c r="C789" t="s">
        <v>4462</v>
      </c>
      <c r="D789">
        <v>2022</v>
      </c>
      <c r="E789" s="52" t="s">
        <v>4463</v>
      </c>
      <c r="F789">
        <v>1708340</v>
      </c>
      <c r="G789">
        <v>1713120</v>
      </c>
      <c r="H789" t="s">
        <v>4464</v>
      </c>
      <c r="I789" t="s">
        <v>4460</v>
      </c>
      <c r="J789" s="51">
        <v>3.3923611111111113E-2</v>
      </c>
      <c r="K789" t="s">
        <v>160</v>
      </c>
      <c r="L789" t="s">
        <v>4465</v>
      </c>
      <c r="M789" t="s">
        <v>4466</v>
      </c>
      <c r="N789" t="s">
        <v>324</v>
      </c>
      <c r="O789" t="s">
        <v>164</v>
      </c>
      <c r="P789" t="s">
        <v>165</v>
      </c>
      <c r="Q789" t="s">
        <v>228</v>
      </c>
      <c r="R789" t="s">
        <v>167</v>
      </c>
      <c r="S789" t="s">
        <v>168</v>
      </c>
      <c r="T789" t="s">
        <v>149</v>
      </c>
      <c r="U789" t="s">
        <v>229</v>
      </c>
      <c r="V789">
        <v>2</v>
      </c>
      <c r="W789" t="s">
        <v>170</v>
      </c>
      <c r="X789" t="s">
        <v>4467</v>
      </c>
      <c r="Y789" t="s">
        <v>153</v>
      </c>
      <c r="Z789" s="53" t="s">
        <v>4468</v>
      </c>
      <c r="AA789">
        <v>1</v>
      </c>
      <c r="AB789">
        <v>1</v>
      </c>
      <c r="AC789"/>
      <c r="AD789"/>
      <c r="AE789"/>
      <c r="AF789"/>
      <c r="BG789" t="str">
        <f t="shared" si="13"/>
        <v/>
      </c>
      <c r="BH789" s="3" t="str" cm="1">
        <f t="array" ref="BH789">IF(AE789=1, _xlfn.TEXTJOIN(" &amp; ", TRUE, _xlfn._xlws.FILTER($AG$2:$BC$2, AG789:BC789=1)), "")</f>
        <v/>
      </c>
    </row>
    <row r="790" spans="1:60" x14ac:dyDescent="0.3">
      <c r="A790" t="s">
        <v>953</v>
      </c>
      <c r="B790" t="s">
        <v>4469</v>
      </c>
      <c r="C790" t="s">
        <v>954</v>
      </c>
      <c r="D790" t="s">
        <v>204</v>
      </c>
      <c r="E790" s="52" t="s">
        <v>4470</v>
      </c>
      <c r="F790">
        <v>640992</v>
      </c>
      <c r="G790">
        <v>644018</v>
      </c>
      <c r="H790" t="s">
        <v>955</v>
      </c>
      <c r="I790" t="s">
        <v>953</v>
      </c>
      <c r="J790" s="51">
        <v>2.2002314814814815E-2</v>
      </c>
      <c r="K790" t="s">
        <v>160</v>
      </c>
      <c r="L790" t="s">
        <v>956</v>
      </c>
      <c r="M790" t="s">
        <v>957</v>
      </c>
      <c r="N790" t="s">
        <v>143</v>
      </c>
      <c r="O790" t="s">
        <v>144</v>
      </c>
      <c r="P790" t="s">
        <v>145</v>
      </c>
      <c r="Q790" t="s">
        <v>146</v>
      </c>
      <c r="R790" t="s">
        <v>167</v>
      </c>
      <c r="S790" t="s">
        <v>148</v>
      </c>
      <c r="T790" t="s">
        <v>149</v>
      </c>
      <c r="U790" t="s">
        <v>151</v>
      </c>
      <c r="V790">
        <v>2</v>
      </c>
      <c r="W790" t="s">
        <v>170</v>
      </c>
      <c r="X790" t="s">
        <v>4471</v>
      </c>
      <c r="Y790" t="s">
        <v>153</v>
      </c>
      <c r="Z790" s="53" t="s">
        <v>4472</v>
      </c>
      <c r="AA790">
        <v>1</v>
      </c>
      <c r="AB790">
        <v>1</v>
      </c>
      <c r="AC790"/>
      <c r="AD790"/>
      <c r="AE790"/>
      <c r="AF790"/>
      <c r="BG790" t="str">
        <f t="shared" si="13"/>
        <v/>
      </c>
      <c r="BH790" s="3" t="str" cm="1">
        <f t="array" ref="BH790">IF(AE790=1, _xlfn.TEXTJOIN(" &amp; ", TRUE, _xlfn._xlws.FILTER($AG$2:$BC$2, AG790:BC790=1)), "")</f>
        <v/>
      </c>
    </row>
    <row r="791" spans="1:60" x14ac:dyDescent="0.3">
      <c r="A791" t="s">
        <v>953</v>
      </c>
      <c r="B791" t="s">
        <v>4473</v>
      </c>
      <c r="C791" t="s">
        <v>954</v>
      </c>
      <c r="D791" t="s">
        <v>204</v>
      </c>
      <c r="E791" s="52" t="s">
        <v>4474</v>
      </c>
      <c r="F791">
        <v>1156603</v>
      </c>
      <c r="G791">
        <v>1164904</v>
      </c>
      <c r="H791" t="s">
        <v>955</v>
      </c>
      <c r="I791" t="s">
        <v>953</v>
      </c>
      <c r="J791" s="51">
        <v>2.2002314814814815E-2</v>
      </c>
      <c r="K791" t="s">
        <v>160</v>
      </c>
      <c r="L791" t="s">
        <v>956</v>
      </c>
      <c r="M791" t="s">
        <v>957</v>
      </c>
      <c r="N791" t="s">
        <v>143</v>
      </c>
      <c r="O791" t="s">
        <v>144</v>
      </c>
      <c r="P791" t="s">
        <v>145</v>
      </c>
      <c r="Q791" t="s">
        <v>146</v>
      </c>
      <c r="R791" t="s">
        <v>167</v>
      </c>
      <c r="S791" t="s">
        <v>148</v>
      </c>
      <c r="T791" t="s">
        <v>149</v>
      </c>
      <c r="U791" t="s">
        <v>151</v>
      </c>
      <c r="V791">
        <v>2</v>
      </c>
      <c r="W791" t="s">
        <v>170</v>
      </c>
      <c r="X791" t="s">
        <v>4475</v>
      </c>
      <c r="Y791" t="s">
        <v>153</v>
      </c>
      <c r="Z791" s="53" t="s">
        <v>4476</v>
      </c>
      <c r="AA791">
        <v>1</v>
      </c>
      <c r="AB791">
        <v>1</v>
      </c>
      <c r="AC791"/>
      <c r="AD791"/>
      <c r="AE791"/>
      <c r="AF791"/>
      <c r="BG791" t="str">
        <f t="shared" si="13"/>
        <v/>
      </c>
      <c r="BH791" s="3" t="str" cm="1">
        <f t="array" ref="BH791">IF(AE791=1, _xlfn.TEXTJOIN(" &amp; ", TRUE, _xlfn._xlws.FILTER($AG$2:$BC$2, AG791:BC791=1)), "")</f>
        <v/>
      </c>
    </row>
    <row r="792" spans="1:60" x14ac:dyDescent="0.3">
      <c r="A792" t="s">
        <v>953</v>
      </c>
      <c r="B792" t="s">
        <v>4477</v>
      </c>
      <c r="C792" t="s">
        <v>954</v>
      </c>
      <c r="D792" t="s">
        <v>204</v>
      </c>
      <c r="E792" s="52" t="s">
        <v>4478</v>
      </c>
      <c r="F792">
        <v>1164705</v>
      </c>
      <c r="G792">
        <v>1165354</v>
      </c>
      <c r="H792" t="s">
        <v>2729</v>
      </c>
      <c r="I792" t="s">
        <v>953</v>
      </c>
      <c r="J792" s="51">
        <v>2.2002314814814815E-2</v>
      </c>
      <c r="K792" t="s">
        <v>160</v>
      </c>
      <c r="L792" t="s">
        <v>956</v>
      </c>
      <c r="M792" t="s">
        <v>957</v>
      </c>
      <c r="N792" t="s">
        <v>143</v>
      </c>
      <c r="O792" t="s">
        <v>144</v>
      </c>
      <c r="P792" t="s">
        <v>145</v>
      </c>
      <c r="Q792" t="s">
        <v>146</v>
      </c>
      <c r="R792" t="s">
        <v>167</v>
      </c>
      <c r="S792" t="s">
        <v>148</v>
      </c>
      <c r="T792" t="s">
        <v>149</v>
      </c>
      <c r="U792" t="s">
        <v>151</v>
      </c>
      <c r="V792">
        <v>2</v>
      </c>
      <c r="W792" t="s">
        <v>170</v>
      </c>
      <c r="X792" t="s">
        <v>4479</v>
      </c>
      <c r="Y792" t="s">
        <v>153</v>
      </c>
      <c r="Z792" s="53" t="s">
        <v>4480</v>
      </c>
      <c r="AA792">
        <v>1</v>
      </c>
      <c r="AB792">
        <v>1</v>
      </c>
      <c r="AC792"/>
      <c r="AD792"/>
      <c r="AE792"/>
      <c r="AF792"/>
      <c r="BG792" t="str">
        <f t="shared" si="13"/>
        <v/>
      </c>
      <c r="BH792" s="3" t="str" cm="1">
        <f t="array" ref="BH792">IF(AE792=1, _xlfn.TEXTJOIN(" &amp; ", TRUE, _xlfn._xlws.FILTER($AG$2:$BC$2, AG792:BC792=1)), "")</f>
        <v/>
      </c>
    </row>
    <row r="793" spans="1:60" x14ac:dyDescent="0.3">
      <c r="A793" t="s">
        <v>953</v>
      </c>
      <c r="B793" t="s">
        <v>4481</v>
      </c>
      <c r="C793" t="s">
        <v>954</v>
      </c>
      <c r="D793" t="s">
        <v>204</v>
      </c>
      <c r="E793" s="52" t="s">
        <v>4482</v>
      </c>
      <c r="F793">
        <v>1670715</v>
      </c>
      <c r="G793">
        <v>1672623</v>
      </c>
      <c r="H793" t="s">
        <v>955</v>
      </c>
      <c r="I793" t="s">
        <v>953</v>
      </c>
      <c r="J793" s="51">
        <v>2.2002314814814815E-2</v>
      </c>
      <c r="K793" t="s">
        <v>160</v>
      </c>
      <c r="L793" t="s">
        <v>956</v>
      </c>
      <c r="M793" t="s">
        <v>957</v>
      </c>
      <c r="N793" t="s">
        <v>143</v>
      </c>
      <c r="O793" t="s">
        <v>144</v>
      </c>
      <c r="P793" t="s">
        <v>145</v>
      </c>
      <c r="Q793" t="s">
        <v>146</v>
      </c>
      <c r="R793" t="s">
        <v>167</v>
      </c>
      <c r="S793" t="s">
        <v>148</v>
      </c>
      <c r="T793" t="s">
        <v>149</v>
      </c>
      <c r="U793" t="s">
        <v>151</v>
      </c>
      <c r="V793">
        <v>2</v>
      </c>
      <c r="W793" t="s">
        <v>170</v>
      </c>
      <c r="X793" t="s">
        <v>4483</v>
      </c>
      <c r="Y793" t="s">
        <v>153</v>
      </c>
      <c r="Z793" s="53" t="s">
        <v>4484</v>
      </c>
      <c r="AA793"/>
      <c r="AB793"/>
      <c r="AC793"/>
      <c r="AD793"/>
      <c r="AE793">
        <v>1</v>
      </c>
      <c r="AF793"/>
      <c r="AM793" s="7">
        <v>1</v>
      </c>
      <c r="BG793" t="str">
        <f t="shared" si="13"/>
        <v>Interazionale</v>
      </c>
      <c r="BH793" s="3" t="str" cm="1">
        <f t="array" ref="BH793">IF(AE793=1, _xlfn.TEXTJOIN(" &amp; ", TRUE, _xlfn._xlws.FILTER($AG$2:$BC$2, AG793:BC793=1)), "")</f>
        <v>Marcatura della conoscenza condivisa</v>
      </c>
    </row>
    <row r="794" spans="1:60" x14ac:dyDescent="0.3">
      <c r="A794" t="s">
        <v>4485</v>
      </c>
      <c r="B794" t="s">
        <v>4486</v>
      </c>
      <c r="C794" t="s">
        <v>4487</v>
      </c>
      <c r="D794">
        <v>2019</v>
      </c>
      <c r="E794" s="52" t="s">
        <v>4488</v>
      </c>
      <c r="F794">
        <v>734400</v>
      </c>
      <c r="G794">
        <v>742510</v>
      </c>
      <c r="H794" t="s">
        <v>791</v>
      </c>
      <c r="I794" t="s">
        <v>4485</v>
      </c>
      <c r="J794" s="51">
        <v>2.2361111111111109E-2</v>
      </c>
      <c r="K794" t="s">
        <v>160</v>
      </c>
      <c r="L794" t="s">
        <v>4489</v>
      </c>
      <c r="M794" t="s">
        <v>4490</v>
      </c>
      <c r="N794" t="s">
        <v>143</v>
      </c>
      <c r="O794" t="s">
        <v>144</v>
      </c>
      <c r="P794" t="s">
        <v>145</v>
      </c>
      <c r="Q794" t="s">
        <v>146</v>
      </c>
      <c r="R794" t="s">
        <v>167</v>
      </c>
      <c r="S794" t="s">
        <v>168</v>
      </c>
      <c r="T794" t="s">
        <v>149</v>
      </c>
      <c r="U794" t="s">
        <v>151</v>
      </c>
      <c r="V794">
        <v>2</v>
      </c>
      <c r="W794" t="s">
        <v>170</v>
      </c>
      <c r="X794" t="s">
        <v>4491</v>
      </c>
      <c r="Y794" t="s">
        <v>153</v>
      </c>
      <c r="Z794" s="53" t="s">
        <v>4492</v>
      </c>
      <c r="AA794">
        <v>1</v>
      </c>
      <c r="AB794">
        <v>1</v>
      </c>
      <c r="AC794"/>
      <c r="AD794"/>
      <c r="AE794"/>
      <c r="AF794"/>
      <c r="BG794" t="str">
        <f t="shared" si="13"/>
        <v/>
      </c>
      <c r="BH794" s="3" t="str" cm="1">
        <f t="array" ref="BH794">IF(AE794=1, _xlfn.TEXTJOIN(" &amp; ", TRUE, _xlfn._xlws.FILTER($AG$2:$BC$2, AG794:BC794=1)), "")</f>
        <v/>
      </c>
    </row>
    <row r="795" spans="1:60" x14ac:dyDescent="0.3">
      <c r="A795" t="s">
        <v>958</v>
      </c>
      <c r="B795" t="s">
        <v>959</v>
      </c>
      <c r="C795" t="s">
        <v>960</v>
      </c>
      <c r="D795">
        <v>2020</v>
      </c>
      <c r="E795" s="52" t="s">
        <v>961</v>
      </c>
      <c r="F795">
        <v>383226</v>
      </c>
      <c r="G795">
        <v>385443</v>
      </c>
      <c r="H795" t="s">
        <v>962</v>
      </c>
      <c r="I795" t="s">
        <v>958</v>
      </c>
      <c r="J795" s="51">
        <v>3.8263888888888889E-2</v>
      </c>
      <c r="K795" t="s">
        <v>140</v>
      </c>
      <c r="L795" t="s">
        <v>963</v>
      </c>
      <c r="M795" t="s">
        <v>964</v>
      </c>
      <c r="N795" t="s">
        <v>178</v>
      </c>
      <c r="O795" t="s">
        <v>144</v>
      </c>
      <c r="P795" t="s">
        <v>165</v>
      </c>
      <c r="Q795" t="s">
        <v>179</v>
      </c>
      <c r="R795" t="s">
        <v>147</v>
      </c>
      <c r="S795" t="s">
        <v>148</v>
      </c>
      <c r="T795" t="s">
        <v>169</v>
      </c>
      <c r="U795" t="s">
        <v>171</v>
      </c>
      <c r="V795">
        <v>4</v>
      </c>
      <c r="W795" t="s">
        <v>269</v>
      </c>
      <c r="X795" t="s">
        <v>965</v>
      </c>
      <c r="Y795" t="s">
        <v>153</v>
      </c>
      <c r="Z795" s="53" t="s">
        <v>966</v>
      </c>
      <c r="AA795">
        <v>1</v>
      </c>
      <c r="AB795">
        <v>1</v>
      </c>
      <c r="AC795"/>
      <c r="AD795"/>
      <c r="AE795"/>
      <c r="AF795"/>
      <c r="BG795" t="str">
        <f t="shared" si="13"/>
        <v/>
      </c>
      <c r="BH795" s="3" t="str" cm="1">
        <f t="array" ref="BH795">IF(AE795=1, _xlfn.TEXTJOIN(" &amp; ", TRUE, _xlfn._xlws.FILTER($AG$2:$BC$2, AG795:BC795=1)), "")</f>
        <v/>
      </c>
    </row>
    <row r="796" spans="1:60" x14ac:dyDescent="0.3">
      <c r="A796" t="s">
        <v>958</v>
      </c>
      <c r="B796" t="s">
        <v>4493</v>
      </c>
      <c r="C796" t="s">
        <v>960</v>
      </c>
      <c r="D796">
        <v>2020</v>
      </c>
      <c r="E796" s="52" t="s">
        <v>4494</v>
      </c>
      <c r="F796">
        <v>1629283</v>
      </c>
      <c r="G796">
        <v>1632100</v>
      </c>
      <c r="H796" t="s">
        <v>962</v>
      </c>
      <c r="I796" t="s">
        <v>958</v>
      </c>
      <c r="J796" s="51">
        <v>3.8263888888888889E-2</v>
      </c>
      <c r="K796" t="s">
        <v>140</v>
      </c>
      <c r="L796" t="s">
        <v>963</v>
      </c>
      <c r="M796" t="s">
        <v>964</v>
      </c>
      <c r="N796" t="s">
        <v>178</v>
      </c>
      <c r="O796" t="s">
        <v>144</v>
      </c>
      <c r="P796" t="s">
        <v>165</v>
      </c>
      <c r="Q796" t="s">
        <v>179</v>
      </c>
      <c r="R796" t="s">
        <v>147</v>
      </c>
      <c r="S796" t="s">
        <v>148</v>
      </c>
      <c r="T796" t="s">
        <v>169</v>
      </c>
      <c r="U796" t="s">
        <v>171</v>
      </c>
      <c r="V796">
        <v>4</v>
      </c>
      <c r="W796" t="s">
        <v>269</v>
      </c>
      <c r="X796" t="s">
        <v>4495</v>
      </c>
      <c r="Y796" t="s">
        <v>153</v>
      </c>
      <c r="Z796" s="53" t="s">
        <v>4496</v>
      </c>
      <c r="AA796">
        <v>1</v>
      </c>
      <c r="AB796">
        <v>1</v>
      </c>
      <c r="AC796"/>
      <c r="AD796"/>
      <c r="AE796"/>
      <c r="AF796"/>
      <c r="BG796" t="str">
        <f t="shared" si="13"/>
        <v/>
      </c>
      <c r="BH796" s="3" t="str" cm="1">
        <f t="array" ref="BH796">IF(AE796=1, _xlfn.TEXTJOIN(" &amp; ", TRUE, _xlfn._xlws.FILTER($AG$2:$BC$2, AG796:BC796=1)), "")</f>
        <v/>
      </c>
    </row>
    <row r="797" spans="1:60" x14ac:dyDescent="0.3">
      <c r="A797" t="s">
        <v>958</v>
      </c>
      <c r="B797" t="s">
        <v>967</v>
      </c>
      <c r="C797" t="s">
        <v>960</v>
      </c>
      <c r="D797">
        <v>2020</v>
      </c>
      <c r="E797" s="52" t="s">
        <v>968</v>
      </c>
      <c r="F797">
        <v>1832839</v>
      </c>
      <c r="G797">
        <v>1835200</v>
      </c>
      <c r="H797" t="s">
        <v>962</v>
      </c>
      <c r="I797" t="s">
        <v>958</v>
      </c>
      <c r="J797" s="51">
        <v>3.8263888888888889E-2</v>
      </c>
      <c r="K797" t="s">
        <v>140</v>
      </c>
      <c r="L797" t="s">
        <v>963</v>
      </c>
      <c r="M797" t="s">
        <v>964</v>
      </c>
      <c r="N797" t="s">
        <v>178</v>
      </c>
      <c r="O797" t="s">
        <v>144</v>
      </c>
      <c r="P797" t="s">
        <v>165</v>
      </c>
      <c r="Q797" t="s">
        <v>179</v>
      </c>
      <c r="R797" t="s">
        <v>147</v>
      </c>
      <c r="S797" t="s">
        <v>148</v>
      </c>
      <c r="T797" t="s">
        <v>169</v>
      </c>
      <c r="U797" t="s">
        <v>171</v>
      </c>
      <c r="V797">
        <v>4</v>
      </c>
      <c r="W797" t="s">
        <v>269</v>
      </c>
      <c r="X797" t="s">
        <v>969</v>
      </c>
      <c r="Y797" t="s">
        <v>153</v>
      </c>
      <c r="Z797" s="53" t="s">
        <v>970</v>
      </c>
      <c r="AA797">
        <v>1</v>
      </c>
      <c r="AB797"/>
      <c r="AC797">
        <v>1</v>
      </c>
      <c r="AD797"/>
      <c r="AE797"/>
      <c r="AF797"/>
      <c r="BG797" t="str">
        <f t="shared" si="13"/>
        <v/>
      </c>
      <c r="BH797" s="3" t="str" cm="1">
        <f t="array" ref="BH797">IF(AE797=1, _xlfn.TEXTJOIN(" &amp; ", TRUE, _xlfn._xlws.FILTER($AG$2:$BC$2, AG797:BC797=1)), "")</f>
        <v/>
      </c>
    </row>
    <row r="798" spans="1:60" x14ac:dyDescent="0.3">
      <c r="A798" t="s">
        <v>958</v>
      </c>
      <c r="B798" t="s">
        <v>4497</v>
      </c>
      <c r="C798" t="s">
        <v>960</v>
      </c>
      <c r="D798">
        <v>2020</v>
      </c>
      <c r="E798" s="52" t="s">
        <v>4498</v>
      </c>
      <c r="F798">
        <v>2365370</v>
      </c>
      <c r="G798">
        <v>2367176</v>
      </c>
      <c r="H798" t="s">
        <v>4499</v>
      </c>
      <c r="I798" t="s">
        <v>958</v>
      </c>
      <c r="J798" s="51">
        <v>3.8263888888888889E-2</v>
      </c>
      <c r="K798" t="s">
        <v>140</v>
      </c>
      <c r="L798" t="s">
        <v>963</v>
      </c>
      <c r="M798" t="s">
        <v>964</v>
      </c>
      <c r="N798" t="s">
        <v>163</v>
      </c>
      <c r="O798" t="s">
        <v>164</v>
      </c>
      <c r="P798" t="s">
        <v>165</v>
      </c>
      <c r="Q798" t="s">
        <v>166</v>
      </c>
      <c r="R798" t="s">
        <v>147</v>
      </c>
      <c r="S798" t="s">
        <v>148</v>
      </c>
      <c r="T798" t="s">
        <v>169</v>
      </c>
      <c r="U798" t="s">
        <v>349</v>
      </c>
      <c r="V798">
        <v>4</v>
      </c>
      <c r="W798" t="s">
        <v>269</v>
      </c>
      <c r="X798" t="s">
        <v>4500</v>
      </c>
      <c r="Y798" t="s">
        <v>153</v>
      </c>
      <c r="Z798" s="53" t="s">
        <v>4501</v>
      </c>
      <c r="AA798">
        <v>1</v>
      </c>
      <c r="AB798"/>
      <c r="AC798">
        <v>1</v>
      </c>
      <c r="AD798"/>
      <c r="AE798"/>
      <c r="AF798"/>
      <c r="BG798" t="str">
        <f t="shared" si="13"/>
        <v/>
      </c>
      <c r="BH798" s="3" t="str" cm="1">
        <f t="array" ref="BH798">IF(AE798=1, _xlfn.TEXTJOIN(" &amp; ", TRUE, _xlfn._xlws.FILTER($AG$2:$BC$2, AG798:BC798=1)), "")</f>
        <v/>
      </c>
    </row>
    <row r="799" spans="1:60" x14ac:dyDescent="0.3">
      <c r="A799" t="s">
        <v>958</v>
      </c>
      <c r="B799" t="s">
        <v>4502</v>
      </c>
      <c r="C799" t="s">
        <v>960</v>
      </c>
      <c r="D799">
        <v>2020</v>
      </c>
      <c r="E799" s="52" t="s">
        <v>4503</v>
      </c>
      <c r="F799">
        <v>2674895</v>
      </c>
      <c r="G799">
        <v>2678197</v>
      </c>
      <c r="H799" t="s">
        <v>4504</v>
      </c>
      <c r="I799" t="s">
        <v>958</v>
      </c>
      <c r="J799" s="51">
        <v>3.8263888888888889E-2</v>
      </c>
      <c r="K799" t="s">
        <v>140</v>
      </c>
      <c r="L799" t="s">
        <v>963</v>
      </c>
      <c r="M799" t="s">
        <v>964</v>
      </c>
      <c r="N799" t="s">
        <v>143</v>
      </c>
      <c r="O799" t="s">
        <v>144</v>
      </c>
      <c r="P799" t="s">
        <v>165</v>
      </c>
      <c r="Q799" t="s">
        <v>146</v>
      </c>
      <c r="R799" t="s">
        <v>147</v>
      </c>
      <c r="S799" t="s">
        <v>148</v>
      </c>
      <c r="T799" t="s">
        <v>169</v>
      </c>
      <c r="U799" t="s">
        <v>151</v>
      </c>
      <c r="V799">
        <v>4</v>
      </c>
      <c r="W799" t="s">
        <v>269</v>
      </c>
      <c r="X799" t="s">
        <v>4505</v>
      </c>
      <c r="Y799" t="s">
        <v>153</v>
      </c>
      <c r="Z799" s="53" t="s">
        <v>4506</v>
      </c>
      <c r="AA799">
        <v>1</v>
      </c>
      <c r="AB799">
        <v>1</v>
      </c>
      <c r="AC799"/>
      <c r="AD799"/>
      <c r="AE799"/>
      <c r="AF799"/>
      <c r="BG799" t="str">
        <f t="shared" si="13"/>
        <v/>
      </c>
      <c r="BH799" s="3" t="str" cm="1">
        <f t="array" ref="BH799">IF(AE799=1, _xlfn.TEXTJOIN(" &amp; ", TRUE, _xlfn._xlws.FILTER($AG$2:$BC$2, AG799:BC799=1)), "")</f>
        <v/>
      </c>
    </row>
    <row r="800" spans="1:60" x14ac:dyDescent="0.3">
      <c r="A800" t="s">
        <v>958</v>
      </c>
      <c r="B800" t="s">
        <v>4507</v>
      </c>
      <c r="C800" t="s">
        <v>960</v>
      </c>
      <c r="D800">
        <v>2020</v>
      </c>
      <c r="E800" s="52" t="s">
        <v>4503</v>
      </c>
      <c r="F800">
        <v>2674895</v>
      </c>
      <c r="G800">
        <v>2678197</v>
      </c>
      <c r="H800" t="s">
        <v>4504</v>
      </c>
      <c r="I800" t="s">
        <v>958</v>
      </c>
      <c r="J800" s="51">
        <v>3.8263888888888889E-2</v>
      </c>
      <c r="K800" t="s">
        <v>140</v>
      </c>
      <c r="L800" t="s">
        <v>963</v>
      </c>
      <c r="M800" t="s">
        <v>964</v>
      </c>
      <c r="N800" t="s">
        <v>143</v>
      </c>
      <c r="O800" t="s">
        <v>144</v>
      </c>
      <c r="P800" t="s">
        <v>165</v>
      </c>
      <c r="Q800" t="s">
        <v>146</v>
      </c>
      <c r="R800" t="s">
        <v>147</v>
      </c>
      <c r="S800" t="s">
        <v>148</v>
      </c>
      <c r="T800" t="s">
        <v>169</v>
      </c>
      <c r="U800" t="s">
        <v>151</v>
      </c>
      <c r="V800">
        <v>4</v>
      </c>
      <c r="W800" t="s">
        <v>269</v>
      </c>
      <c r="X800" t="s">
        <v>4508</v>
      </c>
      <c r="Y800" t="s">
        <v>153</v>
      </c>
      <c r="Z800" s="53" t="s">
        <v>4509</v>
      </c>
      <c r="AA800">
        <v>1</v>
      </c>
      <c r="AB800">
        <v>1</v>
      </c>
      <c r="AC800"/>
      <c r="AD800"/>
      <c r="AE800"/>
      <c r="AF800"/>
      <c r="BG800" t="str">
        <f t="shared" si="13"/>
        <v/>
      </c>
      <c r="BH800" s="3" t="str" cm="1">
        <f t="array" ref="BH800">IF(AE800=1, _xlfn.TEXTJOIN(" &amp; ", TRUE, _xlfn._xlws.FILTER($AG$2:$BC$2, AG800:BC800=1)), "")</f>
        <v/>
      </c>
    </row>
    <row r="801" spans="1:60" x14ac:dyDescent="0.3">
      <c r="A801" t="s">
        <v>971</v>
      </c>
      <c r="B801" t="s">
        <v>4510</v>
      </c>
      <c r="C801" t="s">
        <v>972</v>
      </c>
      <c r="D801">
        <v>2020</v>
      </c>
      <c r="E801" s="52" t="s">
        <v>4511</v>
      </c>
      <c r="F801">
        <v>863170</v>
      </c>
      <c r="G801">
        <v>864900</v>
      </c>
      <c r="H801" t="s">
        <v>2947</v>
      </c>
      <c r="I801" t="s">
        <v>971</v>
      </c>
      <c r="J801" s="51">
        <v>3.2916666666666664E-2</v>
      </c>
      <c r="K801" t="s">
        <v>140</v>
      </c>
      <c r="L801" t="s">
        <v>974</v>
      </c>
      <c r="M801" t="s">
        <v>975</v>
      </c>
      <c r="N801" t="s">
        <v>143</v>
      </c>
      <c r="O801" t="s">
        <v>164</v>
      </c>
      <c r="P801" t="s">
        <v>657</v>
      </c>
      <c r="Q801" t="s">
        <v>146</v>
      </c>
      <c r="R801" t="s">
        <v>147</v>
      </c>
      <c r="S801" t="s">
        <v>148</v>
      </c>
      <c r="T801" t="s">
        <v>658</v>
      </c>
      <c r="U801" t="s">
        <v>151</v>
      </c>
      <c r="V801">
        <v>2</v>
      </c>
      <c r="W801" t="s">
        <v>269</v>
      </c>
      <c r="X801" t="s">
        <v>4512</v>
      </c>
      <c r="Y801" t="s">
        <v>153</v>
      </c>
      <c r="Z801" s="53" t="s">
        <v>4513</v>
      </c>
      <c r="AA801">
        <v>1</v>
      </c>
      <c r="AB801"/>
      <c r="AC801">
        <v>1</v>
      </c>
      <c r="AD801"/>
      <c r="AE801"/>
      <c r="AF801"/>
      <c r="BG801" t="str">
        <f t="shared" si="13"/>
        <v/>
      </c>
      <c r="BH801" s="3" t="str" cm="1">
        <f t="array" ref="BH801">IF(AE801=1, _xlfn.TEXTJOIN(" &amp; ", TRUE, _xlfn._xlws.FILTER($AG$2:$BC$2, AG801:BC801=1)), "")</f>
        <v/>
      </c>
    </row>
    <row r="802" spans="1:60" x14ac:dyDescent="0.3">
      <c r="A802" t="s">
        <v>971</v>
      </c>
      <c r="B802" t="s">
        <v>4514</v>
      </c>
      <c r="C802" t="s">
        <v>972</v>
      </c>
      <c r="D802">
        <v>2020</v>
      </c>
      <c r="E802" s="52" t="s">
        <v>4515</v>
      </c>
      <c r="F802">
        <v>1425400</v>
      </c>
      <c r="G802">
        <v>1441600</v>
      </c>
      <c r="H802" t="s">
        <v>973</v>
      </c>
      <c r="I802" t="s">
        <v>971</v>
      </c>
      <c r="J802" s="51">
        <v>3.2916666666666664E-2</v>
      </c>
      <c r="K802" t="s">
        <v>140</v>
      </c>
      <c r="L802" t="s">
        <v>974</v>
      </c>
      <c r="M802" t="s">
        <v>975</v>
      </c>
      <c r="N802" t="s">
        <v>143</v>
      </c>
      <c r="O802" t="s">
        <v>144</v>
      </c>
      <c r="P802" t="s">
        <v>657</v>
      </c>
      <c r="Q802" t="s">
        <v>146</v>
      </c>
      <c r="R802" t="s">
        <v>147</v>
      </c>
      <c r="S802" t="s">
        <v>148</v>
      </c>
      <c r="T802" t="s">
        <v>658</v>
      </c>
      <c r="U802" t="s">
        <v>151</v>
      </c>
      <c r="V802">
        <v>2</v>
      </c>
      <c r="W802" t="s">
        <v>269</v>
      </c>
      <c r="X802" t="s">
        <v>4516</v>
      </c>
      <c r="Y802" t="s">
        <v>153</v>
      </c>
      <c r="Z802" s="53" t="s">
        <v>4517</v>
      </c>
      <c r="AA802">
        <v>1</v>
      </c>
      <c r="AB802"/>
      <c r="AC802">
        <v>1</v>
      </c>
      <c r="AD802"/>
      <c r="AE802"/>
      <c r="AF802"/>
      <c r="BG802" t="str">
        <f t="shared" si="13"/>
        <v/>
      </c>
      <c r="BH802" s="3" t="str" cm="1">
        <f t="array" ref="BH802">IF(AE802=1, _xlfn.TEXTJOIN(" &amp; ", TRUE, _xlfn._xlws.FILTER($AG$2:$BC$2, AG802:BC802=1)), "")</f>
        <v/>
      </c>
    </row>
    <row r="803" spans="1:60" x14ac:dyDescent="0.3">
      <c r="AB803" s="4"/>
      <c r="AC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3"/>
      <c r="AY803" s="3"/>
      <c r="AZ803" s="3"/>
      <c r="BA803" s="3"/>
      <c r="BB803" s="3"/>
      <c r="BC803" s="3"/>
    </row>
    <row r="804" spans="1:60" x14ac:dyDescent="0.3">
      <c r="AB804" s="4"/>
      <c r="AC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3"/>
      <c r="AY804" s="3"/>
      <c r="AZ804" s="3"/>
      <c r="BA804" s="3"/>
      <c r="BB804" s="3"/>
      <c r="BC804" s="3"/>
    </row>
    <row r="805" spans="1:60" x14ac:dyDescent="0.3">
      <c r="AB805" s="4"/>
      <c r="AC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</row>
    <row r="806" spans="1:60" x14ac:dyDescent="0.3">
      <c r="AB806" s="4"/>
      <c r="AC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</row>
    <row r="807" spans="1:60" x14ac:dyDescent="0.3">
      <c r="AB807" s="4"/>
      <c r="AC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</row>
    <row r="808" spans="1:60" x14ac:dyDescent="0.3">
      <c r="AB808" s="4"/>
      <c r="AC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</row>
    <row r="809" spans="1:60" x14ac:dyDescent="0.3">
      <c r="AB809" s="4"/>
      <c r="AC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</row>
    <row r="810" spans="1:60" x14ac:dyDescent="0.3">
      <c r="AB810" s="4"/>
      <c r="AC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</row>
    <row r="811" spans="1:60" x14ac:dyDescent="0.3">
      <c r="AB811" s="4"/>
      <c r="AC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</row>
    <row r="812" spans="1:60" x14ac:dyDescent="0.3">
      <c r="AB812" s="4"/>
      <c r="AC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</row>
    <row r="813" spans="1:60" x14ac:dyDescent="0.3">
      <c r="AB813" s="4"/>
      <c r="AC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</row>
    <row r="814" spans="1:60" x14ac:dyDescent="0.3"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</row>
  </sheetData>
  <dataConsolidate/>
  <mergeCells count="37">
    <mergeCell ref="BG1:BG2"/>
    <mergeCell ref="BH1:BH2"/>
    <mergeCell ref="W1:W2"/>
    <mergeCell ref="V1:V2"/>
    <mergeCell ref="AG1:AO1"/>
    <mergeCell ref="AP1:AU1"/>
    <mergeCell ref="AX1:BC1"/>
    <mergeCell ref="BD1:BD2"/>
    <mergeCell ref="BF1:BF2"/>
    <mergeCell ref="BE1:BE2"/>
    <mergeCell ref="AF1:AF2"/>
    <mergeCell ref="X1:X2"/>
    <mergeCell ref="Y1:Y2"/>
    <mergeCell ref="Z1:Z2"/>
    <mergeCell ref="AE1:AE2"/>
    <mergeCell ref="AA1:AD1"/>
    <mergeCell ref="I1:I2"/>
    <mergeCell ref="J1:J2"/>
    <mergeCell ref="U1:U2"/>
    <mergeCell ref="T1:T2"/>
    <mergeCell ref="S1:S2"/>
    <mergeCell ref="R1:R2"/>
    <mergeCell ref="Q1:Q2"/>
    <mergeCell ref="P1:P2"/>
    <mergeCell ref="O1:O2"/>
    <mergeCell ref="N1:N2"/>
    <mergeCell ref="M1:M2"/>
    <mergeCell ref="L1:L2"/>
    <mergeCell ref="K1:K2"/>
    <mergeCell ref="B1:B2"/>
    <mergeCell ref="A1:A2"/>
    <mergeCell ref="H1:H2"/>
    <mergeCell ref="G1:G2"/>
    <mergeCell ref="F1:F2"/>
    <mergeCell ref="E1:E2"/>
    <mergeCell ref="D1:D2"/>
    <mergeCell ref="C1:C2"/>
  </mergeCells>
  <dataValidations count="7">
    <dataValidation type="custom" allowBlank="1" showDropDown="1" showInputMessage="1" showErrorMessage="1" sqref="AS1:AY2 AQ2 AZ1 BC1:BC2 AP1:AR1 AA1:AF2 AA153:AD802 AA805:AD1048576" xr:uid="{BDC54D72-2703-B14F-A1E6-C37432636AB2}">
      <formula1>1</formula1>
    </dataValidation>
    <dataValidation type="whole" allowBlank="1" showDropDown="1" showInputMessage="1" showErrorMessage="1" sqref="AG1 AH1:AH2 AJ1:AO2 AI1" xr:uid="{664893A1-3C9B-4EEB-976F-9B0AB5F340E1}">
      <formula1>0</formula1>
      <formula2>1</formula2>
    </dataValidation>
    <dataValidation allowBlank="1" showDropDown="1" showInputMessage="1" showErrorMessage="1" sqref="AI2 AR2 AP2 AZ2 BB2" xr:uid="{C3AEAAD7-EE7B-794A-902B-78BA26EAE33E}"/>
    <dataValidation type="whole" allowBlank="1" showInputMessage="1" showErrorMessage="1" errorTitle="Errore" error="Scegliere un valore tra: 0 e 1" sqref="AX153:AZ802 BC153:BD802 AV3:AW802 AE153:AU802 AE805:AZ1048576 BC805:BD1048576" xr:uid="{201539F4-C3C3-477A-8E0C-5C3A82B30BF0}">
      <formula1>0</formula1>
      <formula2>1</formula2>
    </dataValidation>
    <dataValidation type="custom" allowBlank="1" showInputMessage="1" showErrorMessage="1" sqref="BD1:BD2" xr:uid="{26EFA75F-5A3F-4B0F-8AB7-8BD045B4AEAE}">
      <formula1>IF((COUNTA(AG3:AO3)&gt;0)+(COUNTA(AP3:AU3)&gt;0)+(COUNTA(AX3:BC3)&gt;0)&gt;1, TRUE, FALSE)</formula1>
    </dataValidation>
    <dataValidation type="decimal" allowBlank="1" showInputMessage="1" showErrorMessage="1" prompt="Errore - Scegliere un valore tra: 0 e 1" sqref="AE130 AE3:AU129 AF130:AU131 AE132:AU152 BC3:BD152 AX3:AZ152" xr:uid="{68953758-E697-493E-A2C4-0F4D65A38048}">
      <formula1>0</formula1>
      <formula2>1</formula2>
    </dataValidation>
    <dataValidation type="custom" allowBlank="1" showDropDown="1" showErrorMessage="1" sqref="AA3:AD152" xr:uid="{2DEE1D02-2377-4694-B7EE-4A7E45E37645}">
      <formula1>1</formula1>
    </dataValidation>
  </dataValidations>
  <hyperlinks>
    <hyperlink ref="E3" r:id="rId1" xr:uid="{75F0E06D-FCF5-43B9-9487-E5220DD9F119}"/>
    <hyperlink ref="M3" r:id="rId2" xr:uid="{10F0F116-80DC-4805-8945-12837702F43A}"/>
    <hyperlink ref="E4" r:id="rId3" xr:uid="{BF8C6E96-0EE1-4308-8BE0-8F760EFD8A78}"/>
    <hyperlink ref="E5" r:id="rId4" xr:uid="{959A175E-969E-425A-9AE6-BEDDB3017A79}"/>
    <hyperlink ref="E6" r:id="rId5" xr:uid="{EF97E415-D1EC-4AC2-B21C-15FBAAA63923}"/>
    <hyperlink ref="E7" r:id="rId6" xr:uid="{07004FD8-BCD2-4260-BD35-1AD88333BFD3}"/>
    <hyperlink ref="E8" r:id="rId7" xr:uid="{33D8EE44-0354-4311-86B3-5FA7955679B9}"/>
    <hyperlink ref="M8" r:id="rId8" xr:uid="{2C451908-7371-4297-AC16-0BCC8C28F62E}"/>
    <hyperlink ref="E9" r:id="rId9" xr:uid="{21C74B34-2CF3-459E-8E69-AD6C6D13FF0B}"/>
    <hyperlink ref="E10" r:id="rId10" xr:uid="{4B45B9AE-BCBF-4BA9-AB1E-C9DB34A09EEB}"/>
    <hyperlink ref="E11" r:id="rId11" xr:uid="{087683B3-70E3-4531-A441-95023E99118F}"/>
    <hyperlink ref="E12" r:id="rId12" xr:uid="{E0D6E573-B27C-477E-897D-79FA8A5165B9}"/>
    <hyperlink ref="E13" r:id="rId13" xr:uid="{FA26BD90-7DD5-4E31-B7C5-C0D4D85DED00}"/>
    <hyperlink ref="E14" r:id="rId14" xr:uid="{7ECB9AFB-8EEC-4FBA-8BB2-CB30797B4D02}"/>
    <hyperlink ref="E15" r:id="rId15" xr:uid="{E13570C0-A981-4F76-9BC3-131A3548BB97}"/>
    <hyperlink ref="E16" r:id="rId16" xr:uid="{F49D4833-F04B-41AC-BB1D-711DE05A7141}"/>
    <hyperlink ref="E17" r:id="rId17" xr:uid="{448E6C4B-FC99-436B-97B5-AE4A893A40AA}"/>
    <hyperlink ref="E18" r:id="rId18" xr:uid="{01238CE1-2E1B-4B0D-A6AE-5AADB206675D}"/>
    <hyperlink ref="E19" r:id="rId19" xr:uid="{68FD3EDE-0F1C-443C-AA62-F0D73B365F4A}"/>
    <hyperlink ref="E20" r:id="rId20" xr:uid="{87F808E3-8C11-4E2D-909C-7ADAC47BA619}"/>
    <hyperlink ref="E21" r:id="rId21" xr:uid="{B0AEDDBC-9353-408D-A759-031BEFB11EB3}"/>
    <hyperlink ref="E22" r:id="rId22" xr:uid="{4AEDAA6D-D62D-4D84-A5F8-E0897A396B81}"/>
    <hyperlink ref="E23" r:id="rId23" xr:uid="{2990E0BE-222E-41EB-B333-05453BBE66BE}"/>
    <hyperlink ref="E24" r:id="rId24" xr:uid="{4C8A87B4-580D-4109-A593-A00E0695D74C}"/>
    <hyperlink ref="E25" r:id="rId25" xr:uid="{A80D4D70-ADCA-4E9B-B6F4-D1A98DCB4FAE}"/>
    <hyperlink ref="E26" r:id="rId26" xr:uid="{DF56ACFC-EFC7-4C5C-BBA4-42FCCAC10AA3}"/>
    <hyperlink ref="E27" r:id="rId27" xr:uid="{3B0651E5-08D6-4A4F-9A9A-8B4802C417F8}"/>
    <hyperlink ref="E28" r:id="rId28" xr:uid="{CEF6786E-EA1D-4726-8A10-6947F8F8F0A4}"/>
    <hyperlink ref="E29" r:id="rId29" xr:uid="{0AAA41AC-2843-4F39-968B-BECE6F3249FE}"/>
    <hyperlink ref="E30" r:id="rId30" xr:uid="{2AC34BE1-3217-4CBB-B73E-092B5C4C6344}"/>
    <hyperlink ref="E31" r:id="rId31" xr:uid="{866E09AF-40C0-42A7-B19A-DAEEEE0638C8}"/>
    <hyperlink ref="E32" r:id="rId32" xr:uid="{3187F209-1B23-410B-B58F-4528A3BC849B}"/>
    <hyperlink ref="E33" r:id="rId33" xr:uid="{F379FD3E-E4EC-44EA-8F41-F49F0BE64655}"/>
    <hyperlink ref="E34" r:id="rId34" xr:uid="{E300A869-353E-4592-B343-7A8012874FAE}"/>
    <hyperlink ref="E35" r:id="rId35" xr:uid="{70975536-976A-4148-A689-95B163720D32}"/>
    <hyperlink ref="E36" r:id="rId36" xr:uid="{81EE8190-ACDB-44DD-BADF-0B6398BC15F7}"/>
    <hyperlink ref="E37" r:id="rId37" xr:uid="{CCC09613-0151-4A41-A3D6-4B17025EB961}"/>
    <hyperlink ref="E38" r:id="rId38" xr:uid="{277B55A2-0DA4-453D-B23E-0BB8C8301FAC}"/>
    <hyperlink ref="E39" r:id="rId39" xr:uid="{76970F8D-BDA5-456F-AC78-1BB354CDDDC6}"/>
    <hyperlink ref="E40" r:id="rId40" xr:uid="{C3088F1E-A51E-40F7-946E-D1EF6E587320}"/>
    <hyperlink ref="E41" r:id="rId41" xr:uid="{88DB6537-0125-4A46-BDA8-53EC3DF30C62}"/>
    <hyperlink ref="E42" r:id="rId42" xr:uid="{ECE5FAA2-122E-4646-8A4D-5BBE34EAE296}"/>
    <hyperlink ref="E43" r:id="rId43" xr:uid="{57D9D9DE-5789-483E-ACDA-D7C80F201D20}"/>
    <hyperlink ref="E44" r:id="rId44" xr:uid="{FA611436-F37B-4A01-B183-9060B8A8CF54}"/>
    <hyperlink ref="E45" r:id="rId45" xr:uid="{4CB99C4E-F952-41F2-B46C-90C63DE7166F}"/>
    <hyperlink ref="E46" r:id="rId46" xr:uid="{7B80D62C-E6AB-4FCD-B3F8-5A2D272F87D5}"/>
    <hyperlink ref="E47" r:id="rId47" xr:uid="{79C5FD68-B482-4857-B688-6FF5D05B72DD}"/>
    <hyperlink ref="E48" r:id="rId48" xr:uid="{C9BD9723-24A1-4C1D-B382-6F79C4C94644}"/>
    <hyperlink ref="E49" r:id="rId49" xr:uid="{5629B6D2-7688-4DB7-9C26-2531C847BDC7}"/>
    <hyperlink ref="E50" r:id="rId50" xr:uid="{1D3B18C4-17BE-4CEF-8C2B-73BB57B78C4C}"/>
    <hyperlink ref="E51" r:id="rId51" xr:uid="{188761EA-A944-4860-BC6C-A48EC9476C45}"/>
    <hyperlink ref="E52" r:id="rId52" xr:uid="{67A3AADE-01AC-41C2-9D3B-FACFCA339166}"/>
    <hyperlink ref="E53" r:id="rId53" xr:uid="{78E041EE-0013-4272-A0B8-420833203B83}"/>
    <hyperlink ref="E54" r:id="rId54" xr:uid="{48775529-AA0B-43C1-B8BB-24B3B5661461}"/>
    <hyperlink ref="E55" r:id="rId55" xr:uid="{5B693961-A9CB-4DFA-9795-5F8A79D729DC}"/>
    <hyperlink ref="E56" r:id="rId56" xr:uid="{8A715F37-7F5E-467B-8C93-7036C1137A47}"/>
    <hyperlink ref="E57" r:id="rId57" xr:uid="{D33E273F-1A6F-4195-9756-49524F5392D2}"/>
    <hyperlink ref="E58" r:id="rId58" xr:uid="{A6EEB829-79B5-4D6F-A082-CF3B2C81B394}"/>
    <hyperlink ref="E59" r:id="rId59" xr:uid="{48138591-E89C-41C3-ADDB-424413980ECB}"/>
    <hyperlink ref="E60" r:id="rId60" xr:uid="{1B671647-7AA7-402D-81D0-DEA4399B890A}"/>
    <hyperlink ref="E61" r:id="rId61" xr:uid="{5CB225E6-D973-4C39-97DE-E90220BCF7FA}"/>
    <hyperlink ref="E62" r:id="rId62" xr:uid="{3F24CDBB-1AE2-4360-AACD-B843B7284C56}"/>
    <hyperlink ref="E63" r:id="rId63" xr:uid="{66192203-DC15-4F56-B5E6-970CE08D85C4}"/>
    <hyperlink ref="E64" r:id="rId64" xr:uid="{0B9C7EC3-ED6B-405A-B456-374F3C0F59CF}"/>
    <hyperlink ref="E65" r:id="rId65" xr:uid="{9906E6B6-0833-4F99-98A7-C3503F5E5A0B}"/>
    <hyperlink ref="E66" r:id="rId66" xr:uid="{11997F96-3F84-4A53-B65D-8CD97BCDD990}"/>
    <hyperlink ref="E67" r:id="rId67" xr:uid="{6EAFCA72-8901-4581-92D8-1DC2938DC175}"/>
    <hyperlink ref="E68" r:id="rId68" xr:uid="{4C3EFC27-F7A8-4593-8F7E-29C8CDD6E05F}"/>
    <hyperlink ref="E69" r:id="rId69" xr:uid="{D2CCF99B-437C-4A18-BF06-99AA38184BCB}"/>
    <hyperlink ref="E70" r:id="rId70" xr:uid="{94AD838C-0A52-4320-A065-BD04F25F91F0}"/>
    <hyperlink ref="E71" r:id="rId71" xr:uid="{2B3ED3D1-7104-41C7-807E-7E540E46655F}"/>
    <hyperlink ref="E72" r:id="rId72" xr:uid="{82C56B5C-28F5-4CC8-829C-8174918B280B}"/>
    <hyperlink ref="E73" r:id="rId73" xr:uid="{7A3E85B2-ECEA-4134-A053-05620BBEDAD9}"/>
    <hyperlink ref="E74" r:id="rId74" xr:uid="{8BEF4004-133F-4787-9D58-62F988ECD0CF}"/>
    <hyperlink ref="E75" r:id="rId75" xr:uid="{31D36832-9A9C-42DD-AD87-484CE71DB43E}"/>
    <hyperlink ref="E76" r:id="rId76" xr:uid="{F804C1BC-510D-4815-9450-381C0E168B0D}"/>
    <hyperlink ref="E77" r:id="rId77" xr:uid="{6663BC0A-9388-4FE7-ADD8-A2FAC25505ED}"/>
    <hyperlink ref="E78" r:id="rId78" xr:uid="{AD199C8B-80DD-40B1-90A5-27C74EB03E74}"/>
    <hyperlink ref="E79" r:id="rId79" xr:uid="{FB97389A-66C4-4E26-A759-312919D259E1}"/>
    <hyperlink ref="E80" r:id="rId80" xr:uid="{AEF06272-ADD5-4715-8AA8-DB320B8B948E}"/>
    <hyperlink ref="E81" r:id="rId81" xr:uid="{330309FC-1621-43B9-A732-C552D5DA9FDC}"/>
    <hyperlink ref="E82" r:id="rId82" xr:uid="{DB9C390D-BA5E-44B0-9669-A0036B485725}"/>
    <hyperlink ref="E83" r:id="rId83" xr:uid="{4969BE9B-EA5A-43A2-A9F7-9879A48F3E54}"/>
    <hyperlink ref="E84" r:id="rId84" xr:uid="{015B4B07-BA9D-4A7B-9AA4-8544BD4153F6}"/>
    <hyperlink ref="E85" r:id="rId85" xr:uid="{FC8B2A11-9964-4526-A865-20DE552B5BA5}"/>
    <hyperlink ref="E86" r:id="rId86" xr:uid="{976FF569-904C-4DF1-A472-92E8784E9DB6}"/>
    <hyperlink ref="E87" r:id="rId87" xr:uid="{6881668C-850E-4E82-A935-B0C34EA534E6}"/>
    <hyperlink ref="E88" r:id="rId88" xr:uid="{1A2F362D-00F4-4C48-A3D1-10F662F8BC4C}"/>
    <hyperlink ref="E89" r:id="rId89" xr:uid="{AA35ABDF-BA31-4D94-ACB4-FDDB808BF48D}"/>
    <hyperlink ref="E90" r:id="rId90" xr:uid="{2B3CCFDC-E75C-4EBE-9A5C-2A1F3D03C7DB}"/>
    <hyperlink ref="E91" r:id="rId91" xr:uid="{EBC8A158-E990-49F8-B041-245F2542B8BF}"/>
    <hyperlink ref="E92" r:id="rId92" xr:uid="{298D473F-C719-46DD-B2B1-A31CF3BCF44F}"/>
    <hyperlink ref="E93" r:id="rId93" xr:uid="{52A628B7-7F87-4FC0-A1B9-168F2D6C14FC}"/>
    <hyperlink ref="E94" r:id="rId94" xr:uid="{DA81B26E-8392-46A4-825C-28AE186B43F9}"/>
    <hyperlink ref="E95" r:id="rId95" xr:uid="{D13B2956-19B5-4E4D-B50D-73D11FA1DBFE}"/>
    <hyperlink ref="E96" r:id="rId96" xr:uid="{0B1CE4E2-F9F4-4072-B0E1-EABAE79F9E8B}"/>
    <hyperlink ref="E97" r:id="rId97" xr:uid="{E61A616B-2B5D-438F-8B4E-2667EB9FCD74}"/>
    <hyperlink ref="E98" r:id="rId98" xr:uid="{D8698C7D-0AC3-4058-BB1F-7B69E54E3594}"/>
    <hyperlink ref="E99" r:id="rId99" xr:uid="{6708B8F1-A6B9-4E14-B29D-43975D0F5277}"/>
    <hyperlink ref="E100" r:id="rId100" xr:uid="{E0333739-F498-410F-BF11-EB1F3976D922}"/>
    <hyperlink ref="E101" r:id="rId101" xr:uid="{B61D0F61-C24C-4CAA-9BF1-916F6FDAD825}"/>
    <hyperlink ref="E102" r:id="rId102" xr:uid="{065A9BCD-F762-4C77-B23C-AC4052589C4D}"/>
    <hyperlink ref="E103" r:id="rId103" xr:uid="{21C604F2-AF62-4DED-A14A-67F707C77001}"/>
    <hyperlink ref="E104" r:id="rId104" xr:uid="{14C25D0C-279D-42C3-818F-65DDDA43D27C}"/>
    <hyperlink ref="E105" r:id="rId105" xr:uid="{499DE057-FD0E-49A8-8038-A6BD05769D9F}"/>
    <hyperlink ref="E106" r:id="rId106" xr:uid="{DDE09510-2261-4E65-AC9D-44907C1CDBDB}"/>
    <hyperlink ref="E107" r:id="rId107" xr:uid="{65B6BC67-B347-428F-8616-61D59E995F6A}"/>
    <hyperlink ref="E108" r:id="rId108" xr:uid="{822F1CE8-35D1-41C6-B628-5545D6B50007}"/>
    <hyperlink ref="E109" r:id="rId109" xr:uid="{203BDE5A-B332-460B-8DB6-777E2EF32DF7}"/>
    <hyperlink ref="E110" r:id="rId110" xr:uid="{CA1C5463-65A9-4EA8-BA3A-F48EC4531E91}"/>
    <hyperlink ref="E111" r:id="rId111" xr:uid="{241E0175-B2BD-4021-A7B8-38C256A79D7C}"/>
    <hyperlink ref="E112" r:id="rId112" xr:uid="{E5C1EB27-65BC-4546-B761-1582AC0CB1C6}"/>
    <hyperlink ref="E113" r:id="rId113" xr:uid="{194E071E-CD88-41BE-8D25-5B18B746B454}"/>
    <hyperlink ref="E114" r:id="rId114" xr:uid="{6A7BEB83-3C12-4899-9EEE-F1C03EB874A6}"/>
    <hyperlink ref="E115" r:id="rId115" xr:uid="{F9BD3DB6-3E91-45B0-A225-F94DECF05146}"/>
    <hyperlink ref="E116" r:id="rId116" xr:uid="{B1337B56-C7C3-4533-89A5-DE752551CEBA}"/>
    <hyperlink ref="E117" r:id="rId117" xr:uid="{E4E6FFFE-07EB-4897-A3BE-D3E75E7445F9}"/>
    <hyperlink ref="E118" r:id="rId118" xr:uid="{D0DD3A24-89E5-4B87-A409-00A4D779BF68}"/>
    <hyperlink ref="E119" r:id="rId119" xr:uid="{3859598D-FCC8-452F-87C3-9A15AA74BF46}"/>
    <hyperlink ref="E120" r:id="rId120" xr:uid="{7CA9561D-5A76-4B34-B703-BE2684B75C92}"/>
    <hyperlink ref="E121" r:id="rId121" xr:uid="{845F0D8F-D186-4F28-BA07-146FC8A8529D}"/>
    <hyperlink ref="E122" r:id="rId122" xr:uid="{578F6260-5CD6-4D17-A776-E5876AF1703D}"/>
    <hyperlink ref="E123" r:id="rId123" xr:uid="{E2F6DEF6-7633-4E9F-8FB9-E4821F80201F}"/>
    <hyperlink ref="E124" r:id="rId124" xr:uid="{F57B2708-2913-4B58-AEE0-CC8356E02A50}"/>
    <hyperlink ref="E125" r:id="rId125" xr:uid="{CCCEAA39-CE6C-4D87-BC1B-D604684E83A0}"/>
    <hyperlink ref="E126" r:id="rId126" xr:uid="{93342206-6331-4FDB-928F-0670A5705006}"/>
    <hyperlink ref="E127" r:id="rId127" xr:uid="{D479C09C-190D-453F-BEA8-54C9BD43C2A3}"/>
    <hyperlink ref="E128" r:id="rId128" xr:uid="{0892AEF1-FF65-4146-A693-B4BF77782199}"/>
    <hyperlink ref="E129" r:id="rId129" xr:uid="{118D7AD7-46A4-486A-A974-0CB39CB59123}"/>
    <hyperlink ref="E130" r:id="rId130" xr:uid="{E71AAE70-3C05-4029-9D27-ED566A4CA9CB}"/>
    <hyperlink ref="E131" r:id="rId131" xr:uid="{521D0105-16ED-4743-B405-B2533BAC3A85}"/>
    <hyperlink ref="E132" r:id="rId132" xr:uid="{263EDF21-52C8-42B1-9947-BFD12B5887ED}"/>
    <hyperlink ref="E133" r:id="rId133" xr:uid="{AF7F98C9-144F-4103-B904-19A2878D746C}"/>
    <hyperlink ref="E134" r:id="rId134" xr:uid="{CF56FCA6-D04B-4DA9-BB17-22A54DDBD232}"/>
    <hyperlink ref="E135" r:id="rId135" xr:uid="{2C4B1B71-B15A-4819-91A7-A348768DF2F4}"/>
    <hyperlink ref="E136" r:id="rId136" xr:uid="{2F70AE6A-71EB-4361-BE79-CEE2E71A07D6}"/>
    <hyperlink ref="E137" r:id="rId137" xr:uid="{CDCCC74A-D3E1-45C3-ADBE-4CA914FF9A56}"/>
    <hyperlink ref="E138" r:id="rId138" xr:uid="{784DBAA9-40DC-41F2-9E9A-310902912A16}"/>
    <hyperlink ref="E139" r:id="rId139" xr:uid="{C94F165B-8810-492B-A46E-0EEB0D57706F}"/>
    <hyperlink ref="E140" r:id="rId140" xr:uid="{F83293E0-B52D-482A-B3EC-54024AA025E2}"/>
    <hyperlink ref="E141" r:id="rId141" xr:uid="{B4A122AB-BD81-41D6-9922-6FA68799A316}"/>
    <hyperlink ref="E142" r:id="rId142" xr:uid="{216595A3-A6C0-4AB3-96EB-D4B1E1A2E9C7}"/>
    <hyperlink ref="E143" r:id="rId143" xr:uid="{8790351C-3DC0-48BF-A2C5-398601165462}"/>
    <hyperlink ref="E144" r:id="rId144" xr:uid="{CF526ECB-1D98-4A55-9BB5-DCE647439F09}"/>
    <hyperlink ref="E145" r:id="rId145" xr:uid="{74E8B592-31FF-4D23-AE21-1D94EA882E38}"/>
    <hyperlink ref="E146" r:id="rId146" xr:uid="{C3DC4407-C877-4F15-950C-24D6B4F0CDD4}"/>
    <hyperlink ref="E147" r:id="rId147" xr:uid="{3D51CA5A-4330-448B-AFC6-CAE0EECD57E6}"/>
    <hyperlink ref="E148" r:id="rId148" xr:uid="{EFDEC65B-C6F0-4EC2-A9E8-C49D99D55F0E}"/>
    <hyperlink ref="E149" r:id="rId149" xr:uid="{D99EEB15-AED4-4624-AAB3-5412B834BA43}"/>
    <hyperlink ref="E150" r:id="rId150" xr:uid="{AB721068-5D67-43D5-A4B0-10B1BBE67D68}"/>
    <hyperlink ref="E151" r:id="rId151" xr:uid="{810D5CAB-C155-4394-B013-B2DFD939BA43}"/>
    <hyperlink ref="E152" r:id="rId152" xr:uid="{EF756444-E437-42A3-A9C5-6D7C0D9057DC}"/>
    <hyperlink ref="E153" r:id="rId153" xr:uid="{C4412061-E2D9-48B5-89F8-8710591AC4CA}"/>
    <hyperlink ref="E154" r:id="rId154" xr:uid="{B1F253DB-7FD8-41D7-A371-7454D084421A}"/>
    <hyperlink ref="E155" r:id="rId155" xr:uid="{DCF1BFEE-CE13-4CFF-B6AB-0A142E32BDEC}"/>
    <hyperlink ref="E156" r:id="rId156" xr:uid="{C2D6EDC5-886E-4391-B7D7-15EE37786C62}"/>
    <hyperlink ref="E157" r:id="rId157" xr:uid="{127138EE-62BD-41F8-BD92-1BA55600B048}"/>
    <hyperlink ref="E158" r:id="rId158" xr:uid="{5431612E-256B-4A3A-B71C-1E8F73A99B0B}"/>
    <hyperlink ref="E159" r:id="rId159" xr:uid="{A5C700FD-3289-4FCF-9353-DC9368F1CC24}"/>
    <hyperlink ref="E160" r:id="rId160" xr:uid="{58F4884D-D445-4719-AA35-236DC49111E4}"/>
    <hyperlink ref="E161" r:id="rId161" xr:uid="{C411640A-3E3A-4EC7-AE06-C06D365A596F}"/>
    <hyperlink ref="E162" r:id="rId162" xr:uid="{1B872BA5-76C6-419D-9F92-A2ACC3718F9C}"/>
    <hyperlink ref="E163" r:id="rId163" xr:uid="{8EFD42BE-CDDA-4B15-826A-F833E8596488}"/>
    <hyperlink ref="E164" r:id="rId164" xr:uid="{91C9E2EA-C0B6-458A-8FA8-B87AE586B6F4}"/>
    <hyperlink ref="E165" r:id="rId165" xr:uid="{E111A3AF-7A6F-439F-A012-D894F343FADD}"/>
    <hyperlink ref="E166" r:id="rId166" xr:uid="{68715FA0-8FF8-4C4E-A249-4C03EB403D0A}"/>
    <hyperlink ref="E167" r:id="rId167" xr:uid="{04DE9F78-D761-49CC-8634-BD9FB0961FF8}"/>
    <hyperlink ref="E168" r:id="rId168" xr:uid="{77DAC0E4-BECB-44D8-8C68-C52D0EAFEB5C}"/>
    <hyperlink ref="E169" r:id="rId169" xr:uid="{9B7223F2-473C-4248-86B9-98311E39E58F}"/>
    <hyperlink ref="E170" r:id="rId170" xr:uid="{7C6D79DD-681D-4CA8-9B2F-E262B84A8DE9}"/>
    <hyperlink ref="E171" r:id="rId171" xr:uid="{3B814879-3186-489B-AE02-1E0D63132749}"/>
    <hyperlink ref="E172" r:id="rId172" xr:uid="{EE5D04DA-6A79-4DB5-8ED3-9C9F428038F1}"/>
    <hyperlink ref="E173" r:id="rId173" xr:uid="{45F18DDB-308C-4828-9702-0A706C7B37C2}"/>
    <hyperlink ref="E174" r:id="rId174" xr:uid="{ABFAEBBD-013B-490C-8307-3598F789EC7D}"/>
    <hyperlink ref="E175" r:id="rId175" xr:uid="{DB337BA2-EFA6-422E-9231-665C6FB9530E}"/>
    <hyperlink ref="E176" r:id="rId176" xr:uid="{0A8E3840-83C2-4AF4-A10A-A5113301D7FF}"/>
    <hyperlink ref="E177" r:id="rId177" xr:uid="{38527CA3-0642-4DF3-A8A0-5301FCE9B191}"/>
    <hyperlink ref="E178" r:id="rId178" xr:uid="{5BE0B45C-EA29-4F01-8E59-6B64F59E1023}"/>
    <hyperlink ref="E179" r:id="rId179" xr:uid="{47E51746-8165-4EFE-A74B-F4F0F8511032}"/>
    <hyperlink ref="E180" r:id="rId180" xr:uid="{5DED4161-6276-497D-9C1B-033932DBBD08}"/>
    <hyperlink ref="E181" r:id="rId181" xr:uid="{4D75F0B3-624A-431C-8F68-92CED68BAB3D}"/>
    <hyperlink ref="E182" r:id="rId182" xr:uid="{AD43CA07-74C8-4F2B-A000-B2FAE3623934}"/>
    <hyperlink ref="E183" r:id="rId183" xr:uid="{1116B99D-9EA1-464E-A229-6EA03802D856}"/>
    <hyperlink ref="E184" r:id="rId184" xr:uid="{8735719F-2E8D-4813-B7CC-D4A6B41DD977}"/>
    <hyperlink ref="E185" r:id="rId185" xr:uid="{FA9B3F05-3D9E-42D5-B414-F56940761286}"/>
    <hyperlink ref="E186" r:id="rId186" xr:uid="{2466CAFF-37EE-4570-BF2A-FC59A88433D4}"/>
    <hyperlink ref="E187" r:id="rId187" xr:uid="{036D9C0C-5993-48D0-BECB-92788E3B6A53}"/>
    <hyperlink ref="E188" r:id="rId188" xr:uid="{22CCE381-FCF5-4AE4-AD5D-70151746860C}"/>
    <hyperlink ref="E189" r:id="rId189" xr:uid="{E741FFDD-989F-4476-96AF-899273FA5D4B}"/>
    <hyperlink ref="L190" r:id="rId190" xr:uid="{95620A6F-2882-4227-9C78-7F317EB5A1B4}"/>
    <hyperlink ref="E190" r:id="rId191" xr:uid="{078DAEEF-C4AF-4B4A-B1CA-F6B04480374F}"/>
    <hyperlink ref="E191" r:id="rId192" xr:uid="{99E21EC2-76FC-4499-B5DE-A9AFE8184725}"/>
    <hyperlink ref="E192" r:id="rId193" xr:uid="{9107EF8E-BA79-4900-9285-6359E4F33C91}"/>
    <hyperlink ref="E193" r:id="rId194" xr:uid="{F54E97C4-4980-4896-BB8C-5F3AD4F5A878}"/>
    <hyperlink ref="E194" r:id="rId195" xr:uid="{1854AB34-68A2-4002-8041-5218AFBE60A1}"/>
    <hyperlink ref="E195" r:id="rId196" xr:uid="{A16CC66B-0E8E-4891-BC31-A6AC6AEC8A4B}"/>
    <hyperlink ref="E196" r:id="rId197" xr:uid="{8A7C4BF1-4F7D-4971-808E-323DA9DE2D69}"/>
    <hyperlink ref="E197" r:id="rId198" xr:uid="{CC1A9300-D736-4070-BD79-FAFEE75DBE91}"/>
    <hyperlink ref="E198" r:id="rId199" xr:uid="{B4208F38-8C46-465B-82EE-7455D3C3E28C}"/>
    <hyperlink ref="E199" r:id="rId200" xr:uid="{704FD996-216D-4642-A6DF-E0D3D20BD5AE}"/>
    <hyperlink ref="E201" r:id="rId201" xr:uid="{43E660A0-352C-4102-8452-8582960CC6E9}"/>
    <hyperlink ref="E202" r:id="rId202" xr:uid="{0EC82DCE-CFC8-406F-A4AD-62D1545C944C}"/>
    <hyperlink ref="E203" r:id="rId203" xr:uid="{758C02B8-E4B4-45A2-A3C6-FED1F171557D}"/>
    <hyperlink ref="E204" r:id="rId204" xr:uid="{8F4CCAC1-F0D0-4152-8046-1BE6A5C8E373}"/>
    <hyperlink ref="E205" r:id="rId205" xr:uid="{035BC9BE-1000-4895-A762-192FAD3FF051}"/>
    <hyperlink ref="E206" r:id="rId206" xr:uid="{BFC79597-4FE9-4BA8-AD9F-AD0F39F6DB75}"/>
    <hyperlink ref="E207" r:id="rId207" xr:uid="{187F2A87-20D7-44F0-A8C8-98261ACFDAB2}"/>
    <hyperlink ref="E208" r:id="rId208" xr:uid="{0974E413-4A60-4143-B1EA-B830B246A542}"/>
    <hyperlink ref="E209" r:id="rId209" xr:uid="{21FA8A3C-D116-4B5C-9161-9FFFA2DA9F77}"/>
    <hyperlink ref="E210" r:id="rId210" xr:uid="{8C73119F-3FEC-496B-AB7C-4AB32CE6FAB2}"/>
    <hyperlink ref="E211" r:id="rId211" xr:uid="{2371B42A-4D35-436E-BB29-8B1E7ED07C2D}"/>
    <hyperlink ref="E212" r:id="rId212" xr:uid="{38F05C09-5522-4DF7-B4E4-85A6D7C5E578}"/>
    <hyperlink ref="E213" r:id="rId213" xr:uid="{BB396850-D166-4A1E-B717-ECD415D5F07B}"/>
    <hyperlink ref="E214" r:id="rId214" xr:uid="{45337A35-2BCA-4C1C-BE93-37D75A4ACFF3}"/>
    <hyperlink ref="E215" r:id="rId215" xr:uid="{B13667F1-9EF5-4D12-A8BA-6DE5E9E9A796}"/>
    <hyperlink ref="E216" r:id="rId216" xr:uid="{F97BE8C6-DAB9-4165-A3A5-0203B4D2EFAA}"/>
    <hyperlink ref="E217" r:id="rId217" xr:uid="{D70C8045-5979-451B-9025-22D0B68D9A4E}"/>
    <hyperlink ref="E218" r:id="rId218" xr:uid="{BA5B237D-97CD-4AD7-85EE-FB413515F245}"/>
    <hyperlink ref="E219" r:id="rId219" xr:uid="{7BEE552F-E6DC-4427-895C-5720D8017EF7}"/>
    <hyperlink ref="E220" r:id="rId220" xr:uid="{506A8EDE-B7F0-41A7-9D17-E7902F8C0F6D}"/>
    <hyperlink ref="E221" r:id="rId221" xr:uid="{B06AE04A-F97D-4263-9355-3D120740EB9B}"/>
    <hyperlink ref="E222" r:id="rId222" xr:uid="{29201EAF-ECDD-49E1-BE5F-81DF47C3971A}"/>
    <hyperlink ref="E223" r:id="rId223" xr:uid="{AEA44A5C-C297-493B-AE28-ADF5501B2A19}"/>
    <hyperlink ref="E224" r:id="rId224" xr:uid="{7AD394E4-E985-472F-9444-5E06562BF825}"/>
    <hyperlink ref="E225" r:id="rId225" xr:uid="{861E954D-26EA-46D0-8519-EA0EC6931E53}"/>
    <hyperlink ref="E226" r:id="rId226" xr:uid="{B7F3ED53-C4B5-4026-850F-85A273F25CB5}"/>
    <hyperlink ref="E227" r:id="rId227" xr:uid="{76978FFA-E288-4478-A1B2-C049B6654F88}"/>
    <hyperlink ref="E228" r:id="rId228" xr:uid="{2470E5F3-4F2B-42C3-B8C2-F0EDC6070214}"/>
    <hyperlink ref="E229" r:id="rId229" xr:uid="{1EC0AE4B-D543-4D71-8324-9C5F213D1CB3}"/>
    <hyperlink ref="E230" r:id="rId230" xr:uid="{2C7294CA-F168-4C51-B7BD-84461F2671A8}"/>
    <hyperlink ref="E231" r:id="rId231" xr:uid="{ECC19ECF-18C8-412C-8AE1-426DC814828F}"/>
    <hyperlink ref="E232" r:id="rId232" xr:uid="{BC39250A-74DC-4B6D-A76A-1FBE0C002293}"/>
    <hyperlink ref="E233" r:id="rId233" xr:uid="{58670378-219C-4239-AF41-6669D18A9AA2}"/>
    <hyperlink ref="E234" r:id="rId234" xr:uid="{9A052BFF-7A11-45E6-9232-D407FAF85834}"/>
    <hyperlink ref="E235" r:id="rId235" xr:uid="{76878098-AE73-45D0-A4E3-ACB70F8B6C62}"/>
    <hyperlink ref="E236" r:id="rId236" xr:uid="{081D1BC8-80F3-46C8-9133-CF5C6DABFEA9}"/>
    <hyperlink ref="E237" r:id="rId237" xr:uid="{C5286C44-AB2A-4979-84A6-7693FFB0893C}"/>
    <hyperlink ref="E238" r:id="rId238" xr:uid="{0E94603D-4023-4518-81D1-770DC17269A1}"/>
    <hyperlink ref="E239" r:id="rId239" xr:uid="{A450804C-5872-4453-A979-6C3FD4834971}"/>
    <hyperlink ref="E240" r:id="rId240" xr:uid="{3C037E24-D70B-4496-8CA4-D1BEEB1D0018}"/>
    <hyperlink ref="E241" r:id="rId241" xr:uid="{18391CEC-B02A-4C57-B0C8-EC0C1A37D491}"/>
    <hyperlink ref="E242" r:id="rId242" xr:uid="{37171C02-FBF4-4122-9CB2-582B258BBEB8}"/>
    <hyperlink ref="E243" r:id="rId243" xr:uid="{7B2D72CF-0BA5-45A0-BFF2-A82485DD90EC}"/>
    <hyperlink ref="E244" r:id="rId244" xr:uid="{8D189997-CD51-4631-8147-67EACC81F92A}"/>
    <hyperlink ref="E245" r:id="rId245" xr:uid="{D520198C-DF4C-429E-B5E4-C20F4DED2D6F}"/>
    <hyperlink ref="E246" r:id="rId246" xr:uid="{7B145753-267A-4B23-ABFF-8AF792EABB40}"/>
    <hyperlink ref="E247" r:id="rId247" xr:uid="{73619675-E1AD-4768-976F-C4867475789D}"/>
    <hyperlink ref="E248" r:id="rId248" xr:uid="{A424D684-1CAF-4A82-8CEF-30052188C6F2}"/>
    <hyperlink ref="E249" r:id="rId249" xr:uid="{55732498-5D71-4D17-8BDB-2687A05A1F85}"/>
    <hyperlink ref="E250" r:id="rId250" xr:uid="{F2D50066-22D1-4F6D-99F8-82ED15E7FF3D}"/>
    <hyperlink ref="E251" r:id="rId251" xr:uid="{661772CB-D9FD-4E87-A72C-677E47A25D35}"/>
    <hyperlink ref="E252" r:id="rId252" xr:uid="{BD3887B9-D177-4CE4-B2B9-6CBE88B3383F}"/>
    <hyperlink ref="E253" r:id="rId253" xr:uid="{618B714F-C18D-4944-9544-C32A36348294}"/>
    <hyperlink ref="E254" r:id="rId254" xr:uid="{A8DC0481-9526-4D98-AEC3-F551B704C99B}"/>
    <hyperlink ref="E255" r:id="rId255" xr:uid="{D2E6BCBB-2F91-4E88-896E-47B1FEB84BC3}"/>
    <hyperlink ref="E256" r:id="rId256" xr:uid="{805D3F6F-AFF0-456C-B900-8ED278D64D0A}"/>
    <hyperlink ref="E257" r:id="rId257" xr:uid="{1C4751B6-D776-444C-A939-20A4C89C0049}"/>
    <hyperlink ref="E258" r:id="rId258" xr:uid="{BFA9DF2A-D414-41B1-87EC-9B79A9F3B320}"/>
    <hyperlink ref="E259" r:id="rId259" xr:uid="{4B398319-8A69-42CA-97F0-7D74A926CAB5}"/>
    <hyperlink ref="E260" r:id="rId260" xr:uid="{EACFC218-273D-4BC1-AAE2-C7F1001C1004}"/>
    <hyperlink ref="E261" r:id="rId261" xr:uid="{0A5DA07E-3A34-4685-94C5-60531113A6CB}"/>
    <hyperlink ref="E262" r:id="rId262" xr:uid="{5192D831-E1EB-4BA4-8E10-9A1363EFB313}"/>
    <hyperlink ref="E263" r:id="rId263" xr:uid="{B1FCC387-D69B-491F-8EF5-CA8EF974357F}"/>
    <hyperlink ref="E264" r:id="rId264" xr:uid="{BE653607-7F70-4449-838A-2046DB029049}"/>
    <hyperlink ref="E265" r:id="rId265" xr:uid="{477C848F-18C5-40FB-8CE8-3BFDADF0472F}"/>
    <hyperlink ref="E266" r:id="rId266" xr:uid="{BE744753-C1D8-4127-86D2-13F1F0A2F08F}"/>
    <hyperlink ref="E267" r:id="rId267" xr:uid="{16245C67-CFD4-4EEE-B188-17583DA8FF74}"/>
    <hyperlink ref="E268" r:id="rId268" xr:uid="{5461DF0F-5727-4110-8607-82ED899144F5}"/>
    <hyperlink ref="E269" r:id="rId269" xr:uid="{11FB8554-E82B-4460-A1EB-B69C6A1C35E7}"/>
    <hyperlink ref="E270" r:id="rId270" xr:uid="{259279E9-0FA6-4067-A8F9-F27AB2C9129A}"/>
    <hyperlink ref="E271" r:id="rId271" xr:uid="{505F95F9-DB39-4F37-95ED-33EAE9E7E0F2}"/>
    <hyperlink ref="E272" r:id="rId272" xr:uid="{6B8C0655-B70D-4C11-81A9-B1309A756E6A}"/>
    <hyperlink ref="E273" r:id="rId273" xr:uid="{34EFF049-E981-4A93-AA86-92570D7FE113}"/>
    <hyperlink ref="E274" r:id="rId274" xr:uid="{4A6272FF-BFE7-45FB-9946-FBB75B794688}"/>
    <hyperlink ref="E275" r:id="rId275" xr:uid="{680E6FDB-AD3C-43B5-A0D7-BB8624737970}"/>
    <hyperlink ref="E276" r:id="rId276" xr:uid="{78DA06EF-7589-4DD2-941C-F960D2776C6F}"/>
    <hyperlink ref="E277" r:id="rId277" xr:uid="{74CB5052-2E65-41D1-BFB6-86E89D18EFA3}"/>
    <hyperlink ref="E278" r:id="rId278" xr:uid="{4A16F6BD-3122-436B-8F90-3A4B3E4AF47A}"/>
    <hyperlink ref="E279" r:id="rId279" xr:uid="{EC86E2C0-753C-4F49-BB1A-7353BDD7F35F}"/>
    <hyperlink ref="E280" r:id="rId280" xr:uid="{A24D80FB-1EA0-413F-A0E0-2F770131272C}"/>
    <hyperlink ref="E281" r:id="rId281" xr:uid="{B459E9CE-CA31-43CB-A7DC-08D9D5A5B486}"/>
    <hyperlink ref="E282" r:id="rId282" xr:uid="{9F0113E7-BA1B-45B8-A793-9A5A130CCF77}"/>
    <hyperlink ref="E283" r:id="rId283" xr:uid="{99427E15-233E-4DD1-887A-EA1D1865B669}"/>
    <hyperlink ref="E284" r:id="rId284" xr:uid="{F0B6490A-7F9D-46A6-BAF3-70DC06754158}"/>
    <hyperlink ref="E285" r:id="rId285" xr:uid="{7766D33B-B2C0-4283-AAC6-8020DD349059}"/>
    <hyperlink ref="E286" r:id="rId286" xr:uid="{B9A187A0-A309-4E92-BD9F-EFFA5758751E}"/>
    <hyperlink ref="E287" r:id="rId287" xr:uid="{A507E70F-A2E8-436C-A4C6-A0E165136F50}"/>
    <hyperlink ref="E288" r:id="rId288" xr:uid="{C5413476-6934-4089-9768-EA66D339C3C5}"/>
    <hyperlink ref="E289" r:id="rId289" xr:uid="{9146B045-3186-412A-8E01-D8C174E0FD6D}"/>
    <hyperlink ref="E290" r:id="rId290" xr:uid="{172AC8D4-3EC2-4412-9490-5BD2340510F6}"/>
    <hyperlink ref="E291" r:id="rId291" xr:uid="{36D55470-3DBC-4E28-BE0C-B648A5956742}"/>
    <hyperlink ref="E292" r:id="rId292" xr:uid="{0B1B469E-E81B-43F3-9EE7-C70D13D4ADFB}"/>
    <hyperlink ref="E293" r:id="rId293" xr:uid="{68FD5CF3-9107-4C7E-AF0E-2DCD350E8442}"/>
    <hyperlink ref="E294" r:id="rId294" xr:uid="{416F6C37-5B65-479B-8D78-4E0949FF7B54}"/>
    <hyperlink ref="E295" r:id="rId295" xr:uid="{63189B0A-316A-45D2-94C4-40060FB099CC}"/>
    <hyperlink ref="E296" r:id="rId296" xr:uid="{D8D1C23F-DC82-46BE-A42A-1BCAABC39440}"/>
    <hyperlink ref="E297" r:id="rId297" xr:uid="{628EB2EA-85AB-4476-B3D3-E1A1C1460FAF}"/>
    <hyperlink ref="E298" r:id="rId298" xr:uid="{C208C4B4-4216-46CB-9082-B1530818AA7B}"/>
    <hyperlink ref="E299" r:id="rId299" xr:uid="{948EBD42-C0AF-4843-BE30-C59699875A72}"/>
    <hyperlink ref="E301" r:id="rId300" xr:uid="{E81A6C8B-796A-4666-9348-73983118A922}"/>
    <hyperlink ref="E302" r:id="rId301" xr:uid="{11CA95FB-BD11-4561-BADB-996774FAB563}"/>
    <hyperlink ref="E303" r:id="rId302" xr:uid="{6D6E08C6-7E39-4110-AF20-208519636E54}"/>
    <hyperlink ref="E304" r:id="rId303" xr:uid="{B3A7F8E1-7577-4436-9E7C-2275CF415263}"/>
    <hyperlink ref="E305" r:id="rId304" xr:uid="{0E8AA5CC-45AE-475F-9E9D-89AF544F7BBC}"/>
    <hyperlink ref="E306" r:id="rId305" xr:uid="{5D9D7C5E-6BF0-488D-A012-B1EC49ED9780}"/>
    <hyperlink ref="E307" r:id="rId306" xr:uid="{3DA3DFB0-7996-4B34-A317-77D8839113E7}"/>
    <hyperlink ref="E308" r:id="rId307" xr:uid="{A45A803D-DF4F-4758-BF44-310645E2F7F8}"/>
    <hyperlink ref="E309" r:id="rId308" xr:uid="{CC104B1B-5E42-434F-B40E-51857DDF7716}"/>
    <hyperlink ref="E310" r:id="rId309" xr:uid="{3FCC99A2-670A-4FBE-8C95-0897F6596073}"/>
    <hyperlink ref="E311" r:id="rId310" xr:uid="{D4247AF5-D3E3-4D6D-A08B-0106FD7C03C6}"/>
    <hyperlink ref="E312" r:id="rId311" xr:uid="{8F24F4CF-AE6C-4F8A-90EB-0DEAF47F666C}"/>
    <hyperlink ref="E313" r:id="rId312" xr:uid="{FB631DC3-CE05-4223-BA8E-625D78603F35}"/>
    <hyperlink ref="E314" r:id="rId313" xr:uid="{D7ED55FD-54BE-4D49-9950-3EE108F20239}"/>
    <hyperlink ref="E315" r:id="rId314" xr:uid="{B38BC972-6273-4C84-A2D6-72598A6BE215}"/>
    <hyperlink ref="E316" r:id="rId315" xr:uid="{7E3C672E-8ACA-46FD-BA38-E8E0020DA466}"/>
    <hyperlink ref="E317" r:id="rId316" xr:uid="{9C46785B-A9CA-44B6-8FE0-43644A65E31B}"/>
    <hyperlink ref="E318" r:id="rId317" xr:uid="{C77FACB4-9023-457F-ABA1-970EDD489151}"/>
    <hyperlink ref="E319" r:id="rId318" xr:uid="{5FC12293-33C4-48B9-9823-215AD964CFC9}"/>
    <hyperlink ref="E320" r:id="rId319" xr:uid="{D0D1BD45-5351-468D-85BE-54C1782532F3}"/>
    <hyperlink ref="E321" r:id="rId320" xr:uid="{3094EF50-C0D5-461F-A03A-EB55036F7BAC}"/>
    <hyperlink ref="E322" r:id="rId321" xr:uid="{92FB4E61-7ED8-4B89-B4EB-95AF0B4C9EE1}"/>
    <hyperlink ref="E323" r:id="rId322" xr:uid="{B05B2698-D2CF-4F5C-9A7B-C894B0ECEBA5}"/>
    <hyperlink ref="E324" r:id="rId323" xr:uid="{B413ABA0-E724-451B-91B4-673D3D1E5D4E}"/>
    <hyperlink ref="E325" r:id="rId324" xr:uid="{D6CEDCE5-277A-4206-BEF9-F82390016C2C}"/>
    <hyperlink ref="E326" r:id="rId325" xr:uid="{3EB895AB-D7ED-4E1F-BE1B-9887F57CBDE1}"/>
    <hyperlink ref="E327" r:id="rId326" xr:uid="{56AC5E85-4147-4372-AF06-65209D0150CD}"/>
    <hyperlink ref="E328" r:id="rId327" xr:uid="{67C612CA-951C-4518-8BA2-D55D150F6FE1}"/>
    <hyperlink ref="E329" r:id="rId328" xr:uid="{D85A2589-FECE-413C-851B-264EBB51E1CA}"/>
    <hyperlink ref="E330" r:id="rId329" xr:uid="{AB87B82B-E13D-4098-A56C-0F7F79300775}"/>
    <hyperlink ref="E331" r:id="rId330" xr:uid="{CCD0DECC-2C77-4D92-8540-7E31E1F2786C}"/>
    <hyperlink ref="E332" r:id="rId331" xr:uid="{26510D0E-3DAF-4462-8A4B-4F683B2CA076}"/>
    <hyperlink ref="E333" r:id="rId332" xr:uid="{8FD879F2-C0B1-45C3-A73C-4621EFE9C5FF}"/>
    <hyperlink ref="E334" r:id="rId333" xr:uid="{1A8066AD-74FA-468E-B72F-D1B9F77B4983}"/>
    <hyperlink ref="E335" r:id="rId334" xr:uid="{647CEB92-F43D-4901-BFF1-64A07AC63111}"/>
    <hyperlink ref="E336" r:id="rId335" xr:uid="{913FB376-213E-4812-9563-4DFE7705D8C3}"/>
    <hyperlink ref="E337" r:id="rId336" xr:uid="{626A0F61-BA97-4256-8960-7E70482CC226}"/>
    <hyperlink ref="E338" r:id="rId337" xr:uid="{621C6CA7-108D-4EE5-A4EC-10A1936F8000}"/>
    <hyperlink ref="E339" r:id="rId338" xr:uid="{3389CA8F-7112-4F83-9286-285B5968FF64}"/>
    <hyperlink ref="E340" r:id="rId339" xr:uid="{3E051F44-45A7-49E3-BDE2-B23797205C2B}"/>
    <hyperlink ref="E341" r:id="rId340" xr:uid="{DA77A835-58E3-48D2-B2E0-F70C46FE3B29}"/>
    <hyperlink ref="E342" r:id="rId341" xr:uid="{5BAFEC4B-2443-486A-BD39-32200B97B7A6}"/>
    <hyperlink ref="E343" r:id="rId342" xr:uid="{3D7E40E2-7470-40CC-90DB-74B3772DAACB}"/>
    <hyperlink ref="E344" r:id="rId343" xr:uid="{C682A2ED-8916-4A18-8984-C4FEE0764C0D}"/>
    <hyperlink ref="E345" r:id="rId344" xr:uid="{4862B019-B195-47B6-B425-248027A2B0BE}"/>
    <hyperlink ref="E346" r:id="rId345" xr:uid="{191BADA0-E7B1-4565-B1D9-D6F803C5F552}"/>
    <hyperlink ref="E347" r:id="rId346" xr:uid="{FE6A69B7-005F-4F5B-A39F-4D2FEA05DE2A}"/>
    <hyperlink ref="E348" r:id="rId347" xr:uid="{2ACA64BF-DD4C-4C3D-A156-95F89A356C68}"/>
    <hyperlink ref="E349" r:id="rId348" xr:uid="{03FE0FC4-C0D8-4BFD-A46E-62C503562F77}"/>
    <hyperlink ref="E350" r:id="rId349" xr:uid="{57D06945-1B85-4B67-86CD-841D6D281E2D}"/>
    <hyperlink ref="E351" r:id="rId350" xr:uid="{CA152870-2411-409C-A327-A145CBD95EA9}"/>
    <hyperlink ref="E352" r:id="rId351" xr:uid="{6D5FAE9A-39FB-4381-ADA4-3603A6F7ED4D}"/>
    <hyperlink ref="E353" r:id="rId352" xr:uid="{5B2F4FD8-FE2D-4E91-B5E1-D21969A9B11F}"/>
    <hyperlink ref="E354" r:id="rId353" xr:uid="{2E3B92F7-5CEB-47B8-9612-A47C6F64106A}"/>
    <hyperlink ref="E355" r:id="rId354" xr:uid="{3B318D0C-0CD9-4BB3-AD89-C333B2415B45}"/>
    <hyperlink ref="E356" r:id="rId355" xr:uid="{9756FF11-1A82-48FE-9569-D72DFEA0A2DE}"/>
    <hyperlink ref="E357" r:id="rId356" xr:uid="{E4353407-4D04-4EC0-889B-DEEACD7451B9}"/>
    <hyperlink ref="E358" r:id="rId357" xr:uid="{83BE27D1-8E4C-48EF-A500-A0E670E67507}"/>
    <hyperlink ref="E359" r:id="rId358" xr:uid="{45851C7A-C426-4AE4-9D39-F5C428553BFE}"/>
    <hyperlink ref="E360" r:id="rId359" xr:uid="{A26D230D-53B3-49ED-A7D3-149DD3B311D6}"/>
    <hyperlink ref="E361" r:id="rId360" xr:uid="{DC95EE45-5E61-45C3-B62C-EC7041452022}"/>
    <hyperlink ref="E362" r:id="rId361" xr:uid="{1876A395-2B5C-43B6-8B15-B2F451929D2C}"/>
    <hyperlink ref="E363" r:id="rId362" xr:uid="{A24B265C-E063-460B-9D7A-B89D592CF5DC}"/>
    <hyperlink ref="E364" r:id="rId363" xr:uid="{7E171F28-9DF5-4077-9934-3B550879E9EE}"/>
    <hyperlink ref="E365" r:id="rId364" xr:uid="{40CF9AC0-CAAE-44FA-BE75-196CDFF2C687}"/>
    <hyperlink ref="E366" r:id="rId365" xr:uid="{EFBF3795-5B3B-43E0-B119-88B25433CA4E}"/>
    <hyperlink ref="E367" r:id="rId366" xr:uid="{228C76F1-F359-4395-90E2-5FD642998763}"/>
    <hyperlink ref="E368" r:id="rId367" xr:uid="{C7E1248B-ADFB-434F-B505-A234084339E3}"/>
    <hyperlink ref="E369" r:id="rId368" xr:uid="{5EC46E99-3F4A-4F7F-8F2B-6EC1CD10A51B}"/>
    <hyperlink ref="E370" r:id="rId369" xr:uid="{2F1665A0-D4B2-4E6C-9A46-05E94157A8A0}"/>
    <hyperlink ref="E371" r:id="rId370" xr:uid="{A5C6A039-263A-44EF-9623-84D46DDD4FA1}"/>
    <hyperlink ref="E372" r:id="rId371" xr:uid="{7466C21A-CA0D-452D-82FD-F55D4F028C81}"/>
    <hyperlink ref="E373" r:id="rId372" xr:uid="{34F9C0AE-133D-4DE7-A1AB-2A32B27A836D}"/>
    <hyperlink ref="E374" r:id="rId373" xr:uid="{EE30C80D-EDD5-4841-BAE4-89CB78EBC531}"/>
    <hyperlink ref="E375" r:id="rId374" xr:uid="{2A8AA1ED-AD56-4A95-9369-6A477AFA6B88}"/>
    <hyperlink ref="E376" r:id="rId375" xr:uid="{ACFE68BF-CD06-40C9-81D0-0BC98D71FE75}"/>
    <hyperlink ref="E377" r:id="rId376" xr:uid="{3122CF9C-1008-4F01-BFF7-6E267186C436}"/>
    <hyperlink ref="E378" r:id="rId377" xr:uid="{F8B1FDF7-8EEE-4D7C-B9E4-A445729D3044}"/>
    <hyperlink ref="E379" r:id="rId378" xr:uid="{E36468E3-988C-468A-A594-B52729C29C07}"/>
    <hyperlink ref="E380" r:id="rId379" xr:uid="{96440439-968A-40C9-9525-27CA384656B5}"/>
    <hyperlink ref="E381" r:id="rId380" xr:uid="{0D060269-F02F-4ECF-B612-C0A219A060D6}"/>
    <hyperlink ref="E382" r:id="rId381" xr:uid="{3CD82E52-8FBA-4843-A39B-200B5D9C3CD6}"/>
    <hyperlink ref="E383" r:id="rId382" xr:uid="{8835D1CA-E0F6-4CBE-BB62-32D9A97C1DAB}"/>
    <hyperlink ref="E384" r:id="rId383" xr:uid="{732690B2-9535-408D-B0EC-5F1C8D950B83}"/>
    <hyperlink ref="E385" r:id="rId384" xr:uid="{326FB4DB-0654-415A-B2E5-52E79F86C6FF}"/>
    <hyperlink ref="E386" r:id="rId385" xr:uid="{106EF8F0-8D29-4819-9AFA-7FA8DD8B05F4}"/>
    <hyperlink ref="E387" r:id="rId386" xr:uid="{077C4160-707B-48FB-8D5A-8D851542DE42}"/>
    <hyperlink ref="E388" r:id="rId387" xr:uid="{9506B266-54E3-470D-B6A8-6C1313D4BA5B}"/>
    <hyperlink ref="E389" r:id="rId388" xr:uid="{1B988E95-22A4-412C-8420-967A545D46D7}"/>
    <hyperlink ref="E390" r:id="rId389" xr:uid="{A6CCAC40-1E6B-406E-B9A8-2051A39846E6}"/>
    <hyperlink ref="E391" r:id="rId390" xr:uid="{F16BCEEB-2FAC-4C85-9F8F-80E30220D8E0}"/>
    <hyperlink ref="E392" r:id="rId391" xr:uid="{FA6CB855-6A1E-4770-AFFA-C0BDB2003841}"/>
    <hyperlink ref="E393" r:id="rId392" xr:uid="{CD0DB95D-53E2-47BF-A834-1EF7E5FD67C5}"/>
    <hyperlink ref="E394" r:id="rId393" xr:uid="{E57A818D-4A19-40BD-87F3-1363B64A1F67}"/>
    <hyperlink ref="E395" r:id="rId394" xr:uid="{830E2057-1F45-475B-B5D9-83AB1A2235B6}"/>
    <hyperlink ref="E396" r:id="rId395" xr:uid="{696914BA-90CF-428F-A64A-E18211C117F0}"/>
    <hyperlink ref="E397" r:id="rId396" xr:uid="{1A29B5D1-BD83-43D9-AD73-E815832FD4C0}"/>
    <hyperlink ref="E398" r:id="rId397" xr:uid="{1933582F-4428-42DC-95C7-36E90A4EAB37}"/>
    <hyperlink ref="E399" r:id="rId398" xr:uid="{4920D08D-0C43-4DE8-A252-77F6BBA01F12}"/>
    <hyperlink ref="E400" r:id="rId399" xr:uid="{66A1644D-8630-49B1-A1A8-58F6C586B2A7}"/>
    <hyperlink ref="E401" r:id="rId400" xr:uid="{181B7E0C-92E4-4D71-B788-DE86324DB248}"/>
    <hyperlink ref="E402" r:id="rId401" xr:uid="{38ED9FE6-1DDD-41A7-83A5-2C15786F5D6B}"/>
    <hyperlink ref="E403" r:id="rId402" xr:uid="{B46CD65F-927B-4C70-931F-8F43B18FA131}"/>
    <hyperlink ref="E404" r:id="rId403" xr:uid="{8EE36557-A113-4579-8DA3-7AFFE6F2F4F7}"/>
    <hyperlink ref="E405" r:id="rId404" xr:uid="{F132A09C-6972-4505-986B-CC239CDFA8F4}"/>
    <hyperlink ref="E406" r:id="rId405" xr:uid="{B5E6F445-886D-46CB-A6A0-CAEC6DCBC42B}"/>
    <hyperlink ref="E407" r:id="rId406" xr:uid="{3E1FB10F-EE64-4A98-A194-C5E85E20BE0A}"/>
    <hyperlink ref="E408" r:id="rId407" xr:uid="{CAF23970-393C-4F84-85BA-2EBAEB6CAF26}"/>
    <hyperlink ref="E409" r:id="rId408" xr:uid="{2ABF1EBF-32F5-4185-A0A0-B5AD12DA3203}"/>
    <hyperlink ref="E410" r:id="rId409" xr:uid="{A9A42DDC-9738-433D-80EE-C7CBA6B4414E}"/>
    <hyperlink ref="E411" r:id="rId410" xr:uid="{A2C1667D-2A50-4240-916E-FB91C0961425}"/>
    <hyperlink ref="E412" r:id="rId411" xr:uid="{95107264-9AF6-4609-B228-A1E618835BB2}"/>
    <hyperlink ref="E413" r:id="rId412" xr:uid="{95A68267-3658-448F-9635-E2D48D6441FC}"/>
    <hyperlink ref="E414" r:id="rId413" xr:uid="{B021C459-38B2-491E-B590-7C7C2ED81B74}"/>
    <hyperlink ref="E415" r:id="rId414" xr:uid="{2A26479D-DA44-4FCB-9CBB-256AB739F15B}"/>
    <hyperlink ref="E416" r:id="rId415" xr:uid="{07DAADD2-CB79-4211-80AA-27DBC7C247C5}"/>
    <hyperlink ref="E417" r:id="rId416" xr:uid="{E67343B4-2F3B-4EA2-97AF-3D30B55BAF90}"/>
    <hyperlink ref="E418" r:id="rId417" xr:uid="{DA4D001F-32DF-4DE2-8AD9-283F8F3B485C}"/>
    <hyperlink ref="E419" r:id="rId418" xr:uid="{2C85FF00-2016-4612-B4DC-A9E9F39264C5}"/>
    <hyperlink ref="E420" r:id="rId419" xr:uid="{B046EE33-9A03-4479-B683-6CA7974A7F6C}"/>
    <hyperlink ref="E421" r:id="rId420" xr:uid="{43308512-DFCE-40CF-AEAA-A15C79E8F07F}"/>
    <hyperlink ref="E422" r:id="rId421" xr:uid="{1F885A25-8DD1-46CA-A137-9C46A782E592}"/>
    <hyperlink ref="E423" r:id="rId422" xr:uid="{2275E895-47FF-4E5B-84C3-E9E5E87ED6EE}"/>
    <hyperlink ref="E424" r:id="rId423" xr:uid="{BA80E8A0-63CC-40D0-95AD-AE1C441AA82B}"/>
    <hyperlink ref="E425" r:id="rId424" xr:uid="{7FFD2724-C036-4FB9-983F-A53387783475}"/>
    <hyperlink ref="E426" r:id="rId425" xr:uid="{72B08505-2B6A-41E9-8F25-1BE04DA07AD9}"/>
    <hyperlink ref="E427" r:id="rId426" xr:uid="{4FE1B389-F99D-4EDA-98E4-11FF9EC142B4}"/>
    <hyperlink ref="E428" r:id="rId427" xr:uid="{9007C667-9199-4509-9CC9-E3DA6ACC676B}"/>
    <hyperlink ref="E429" r:id="rId428" xr:uid="{5DDD63BF-826B-4225-A645-3ABB5BAE09A2}"/>
    <hyperlink ref="E430" r:id="rId429" xr:uid="{A954CB3A-E740-425C-91F9-86848420EE43}"/>
    <hyperlink ref="E431" r:id="rId430" xr:uid="{5B6C8581-101F-43E0-AFA6-30B5336CB622}"/>
    <hyperlink ref="E432" r:id="rId431" xr:uid="{2A2DBE19-DD43-42BA-8A8F-7FD50A327FEF}"/>
    <hyperlink ref="E433" r:id="rId432" xr:uid="{9C359F96-3FDB-4FAA-9518-8E076494FEA1}"/>
    <hyperlink ref="E434" r:id="rId433" xr:uid="{08E2B63A-821C-487E-B697-BF3CD122E462}"/>
    <hyperlink ref="E435" r:id="rId434" xr:uid="{537274EF-9E36-4375-9530-FE47DA8937A1}"/>
    <hyperlink ref="E436" r:id="rId435" xr:uid="{CA5F5FEA-F858-4883-B3BF-9C316AF4D342}"/>
    <hyperlink ref="E437" r:id="rId436" xr:uid="{DF757C50-71DC-4E4C-B794-9C05E536A463}"/>
    <hyperlink ref="E438" r:id="rId437" xr:uid="{CA4D4919-02C7-4678-A185-2F4D075FA13E}"/>
    <hyperlink ref="E439" r:id="rId438" xr:uid="{1DD89177-1BA1-492C-814D-FE1605E4B2EE}"/>
    <hyperlink ref="E440" r:id="rId439" xr:uid="{75BB82A4-D94A-4A53-B597-7B4EADA5A86D}"/>
    <hyperlink ref="E441" r:id="rId440" xr:uid="{42795760-1A80-4A80-928F-CE480EB8CD75}"/>
    <hyperlink ref="E442" r:id="rId441" xr:uid="{2494A5AB-8AD6-41E0-9241-EA8856F4D6B6}"/>
    <hyperlink ref="E443" r:id="rId442" xr:uid="{8E25C159-A455-46A8-8018-7C214DD2EEAE}"/>
    <hyperlink ref="E444" r:id="rId443" xr:uid="{C7010E6E-C8B1-4D06-B470-B055A65C586D}"/>
    <hyperlink ref="E445" r:id="rId444" xr:uid="{6D627F4C-8529-4587-9BA1-2F6B330B031E}"/>
    <hyperlink ref="E446" r:id="rId445" xr:uid="{52C9E606-A062-4474-9BC2-116A82C678A8}"/>
    <hyperlink ref="E447" r:id="rId446" xr:uid="{D244ED36-880B-4CA0-BC83-C43E47221815}"/>
    <hyperlink ref="E448" r:id="rId447" xr:uid="{269CAAA3-B657-47F8-B040-EA4C0A309841}"/>
    <hyperlink ref="E449" r:id="rId448" xr:uid="{5D304752-C42B-438C-BFEF-1BAADC7FF54E}"/>
    <hyperlink ref="E450" r:id="rId449" xr:uid="{CF2D7ACC-5EE3-4CD5-89F2-B35B6C7286D2}"/>
    <hyperlink ref="E451" r:id="rId450" xr:uid="{E88F115E-DDA8-4017-B343-2FC21CE8D6C0}"/>
    <hyperlink ref="E452" r:id="rId451" xr:uid="{BACF2049-55DD-477D-952B-E484F818C33D}"/>
    <hyperlink ref="E453" r:id="rId452" xr:uid="{4DE367C4-4715-4F96-BC0F-8ECF65069668}"/>
    <hyperlink ref="E454" r:id="rId453" xr:uid="{D1BA0A99-3718-4FF5-842A-57243594BC76}"/>
    <hyperlink ref="E455" r:id="rId454" xr:uid="{EC602A92-CFBB-441A-BF8A-43B49DF36B21}"/>
    <hyperlink ref="E456" r:id="rId455" xr:uid="{579582D0-6B0D-429D-B033-86D5F709AB43}"/>
    <hyperlink ref="E457" r:id="rId456" xr:uid="{8C15C8C4-B0B4-430F-8554-021EC53A197A}"/>
    <hyperlink ref="E458" r:id="rId457" xr:uid="{B91BE037-12F4-4921-A373-6EE3EAFE26F8}"/>
    <hyperlink ref="E459" r:id="rId458" xr:uid="{0CCDD3CD-24D6-4768-B118-5885DA1F436E}"/>
    <hyperlink ref="E460" r:id="rId459" xr:uid="{15830D1C-13D8-43BD-BC77-9BBEA5A069EF}"/>
    <hyperlink ref="E461" r:id="rId460" xr:uid="{4BB03B19-FD21-44B0-9B70-52F6545F6DD2}"/>
    <hyperlink ref="E462" r:id="rId461" xr:uid="{0E311290-626C-4AAD-8046-87AF694CA3ED}"/>
    <hyperlink ref="E463" r:id="rId462" xr:uid="{0BC2F0FB-CC25-4E3E-BD33-B8F8B1255D99}"/>
    <hyperlink ref="E464" r:id="rId463" xr:uid="{3098D9C5-1293-48ED-9BC3-F02A700BEA62}"/>
    <hyperlink ref="E465" r:id="rId464" xr:uid="{7B2E8349-E410-471B-9F57-2938DCE4252D}"/>
    <hyperlink ref="E466" r:id="rId465" xr:uid="{B194B267-47DF-423B-8D13-A686B22D3F96}"/>
    <hyperlink ref="E467" r:id="rId466" xr:uid="{1726D16D-D1C9-4044-9A30-0CAFACA0DC72}"/>
    <hyperlink ref="E468" r:id="rId467" xr:uid="{B19AD3DC-7138-4926-8F06-135C792ADAB9}"/>
    <hyperlink ref="E469" r:id="rId468" xr:uid="{8A34883F-3172-4B21-8619-93FDD1DE6CA7}"/>
    <hyperlink ref="E470" r:id="rId469" xr:uid="{0A13398A-F1ED-4AC6-8072-B43F7F071CBF}"/>
    <hyperlink ref="E471" r:id="rId470" xr:uid="{1B2342B9-878D-4C03-B611-EA91D2593A06}"/>
    <hyperlink ref="E472" r:id="rId471" xr:uid="{423580C5-9952-4106-9E72-FADBD0901E5B}"/>
    <hyperlink ref="E473" r:id="rId472" xr:uid="{D2F1D00E-86F6-4773-BF5E-8F0F9AB56E9D}"/>
    <hyperlink ref="E474" r:id="rId473" xr:uid="{79686B78-B64B-4E25-B336-EE4CC2C7274B}"/>
    <hyperlink ref="E475" r:id="rId474" xr:uid="{ED3FEE84-BC11-4E4D-A7D1-2EAA6C95016A}"/>
    <hyperlink ref="E476" r:id="rId475" xr:uid="{EC7AAD2A-3052-4D28-AD3F-5770096CE8E1}"/>
    <hyperlink ref="E477" r:id="rId476" xr:uid="{AA6E9BCC-4B31-4E8C-9864-C95E8FB3346F}"/>
    <hyperlink ref="E478" r:id="rId477" xr:uid="{560FDC4E-39BF-4805-8C84-EFD4EB6F292D}"/>
    <hyperlink ref="E479" r:id="rId478" xr:uid="{23A32FDE-D1D4-4DE6-BFC9-A59A3547560D}"/>
    <hyperlink ref="E480" r:id="rId479" xr:uid="{BA651493-B086-4D20-B7D9-99879562AA9C}"/>
    <hyperlink ref="E481" r:id="rId480" xr:uid="{2AAE5176-9944-47B5-8C8A-D9481524541B}"/>
    <hyperlink ref="E482" r:id="rId481" xr:uid="{ED9D0AFA-B15B-49D4-9CB2-3D086FEEAA18}"/>
    <hyperlink ref="E483" r:id="rId482" xr:uid="{BC2C3A3C-139E-477A-988E-EC2FDC24A707}"/>
    <hyperlink ref="E484" r:id="rId483" xr:uid="{DBFFA2F5-00BA-4FBA-9E62-780343E13121}"/>
    <hyperlink ref="E485" r:id="rId484" xr:uid="{57438AE1-402E-46EC-B64E-A240CCFAB812}"/>
    <hyperlink ref="E486" r:id="rId485" xr:uid="{B06ECDBD-89F5-4A0A-AE00-E7ABFD3BB152}"/>
    <hyperlink ref="E487" r:id="rId486" xr:uid="{D9E839B5-1997-4027-BAE1-39E0C68411E8}"/>
    <hyperlink ref="E488" r:id="rId487" xr:uid="{87AEA40F-7EED-44E6-A8E1-EEDAE1AA3213}"/>
    <hyperlink ref="E489" r:id="rId488" xr:uid="{715BE7D1-44BE-42EA-B7AE-953BE5E8F71D}"/>
    <hyperlink ref="E490" r:id="rId489" xr:uid="{0F717C47-5FF2-4223-B15C-7F0C3E6D94B0}"/>
    <hyperlink ref="E491" r:id="rId490" xr:uid="{3217B8C4-577B-4F20-8C89-30F882A602A3}"/>
    <hyperlink ref="E492" r:id="rId491" xr:uid="{85A79903-9F3B-40A1-81A9-32D261CA1CF8}"/>
    <hyperlink ref="E493" r:id="rId492" xr:uid="{4508D6CC-269D-4B31-8E9E-A5C735077D2C}"/>
    <hyperlink ref="E494" r:id="rId493" xr:uid="{75F5780F-CF6E-4580-BFAC-152C70F44FA7}"/>
    <hyperlink ref="E495" r:id="rId494" xr:uid="{A9FE23E7-2DCA-48DF-9F9E-1439DFBD9893}"/>
    <hyperlink ref="E496" r:id="rId495" xr:uid="{82C24032-0F55-495E-821B-B8898C0BB2F2}"/>
    <hyperlink ref="E497" r:id="rId496" xr:uid="{A847AAA6-D936-45E3-B07A-D885470EC9A9}"/>
    <hyperlink ref="E498" r:id="rId497" xr:uid="{A076C930-008F-40A8-AAB2-ED4F15108002}"/>
    <hyperlink ref="E499" r:id="rId498" xr:uid="{1676715D-9AD8-41A6-93BE-350705E86961}"/>
    <hyperlink ref="E500" r:id="rId499" xr:uid="{9B1A1F44-847E-4726-B776-435289F218D2}"/>
    <hyperlink ref="E501" r:id="rId500" xr:uid="{B4528FBB-CADF-4DDE-AB6F-52C1E8C98D69}"/>
    <hyperlink ref="E502" r:id="rId501" xr:uid="{E8F587E6-A235-4425-AF3B-0EE5FFFE1F6C}"/>
    <hyperlink ref="E503" r:id="rId502" xr:uid="{6F6BDE19-3853-4A83-BA6D-2722C162C8D9}"/>
    <hyperlink ref="E504" r:id="rId503" xr:uid="{4A6BDFFE-EDDA-48C0-BACB-2FF88FE02BCE}"/>
    <hyperlink ref="E505" r:id="rId504" xr:uid="{341AE82C-59BF-4C0A-830A-DDF03F30BC1E}"/>
    <hyperlink ref="E506" r:id="rId505" xr:uid="{3F1582C6-F66D-4D67-AA2E-2E0E16B59513}"/>
    <hyperlink ref="E507" r:id="rId506" xr:uid="{702BB135-5EEC-44B9-8DA9-3570DF9DED9F}"/>
    <hyperlink ref="E508" r:id="rId507" xr:uid="{DCBAB9E0-2702-4245-B02D-3612D38C76A3}"/>
    <hyperlink ref="E509" r:id="rId508" xr:uid="{CE97DF8B-0648-4758-8204-B434EE807491}"/>
    <hyperlink ref="E510" r:id="rId509" xr:uid="{14D0653E-12DA-4932-B5CD-1AF458BB7D19}"/>
    <hyperlink ref="E511" r:id="rId510" xr:uid="{38523861-B80B-4E8B-A515-1F36B24D519A}"/>
    <hyperlink ref="E512" r:id="rId511" xr:uid="{481780F4-9910-4A67-85B0-6C4DD9E83C97}"/>
    <hyperlink ref="E513" r:id="rId512" xr:uid="{4678840A-BBDE-48AF-8980-F32CDB8D8DD5}"/>
    <hyperlink ref="E514" r:id="rId513" xr:uid="{BA4C3A00-66E4-4E73-A319-CC1D1EF780E1}"/>
    <hyperlink ref="E515" r:id="rId514" xr:uid="{09773ADE-C6E0-4D91-9F5D-D311CE1B3411}"/>
    <hyperlink ref="E516" r:id="rId515" xr:uid="{8C4D6DA4-87C3-46D8-BA93-F27D7C12EC2E}"/>
    <hyperlink ref="E517" r:id="rId516" xr:uid="{2BF21DC2-29C0-421B-9D8F-BB074DC30DF5}"/>
    <hyperlink ref="E518" r:id="rId517" xr:uid="{63E8DDF1-04FE-4A6D-AB30-6FA9D05D41B9}"/>
    <hyperlink ref="E519" r:id="rId518" xr:uid="{6BA91ADD-EDA4-4533-A476-330C296D57BE}"/>
    <hyperlink ref="E520" r:id="rId519" xr:uid="{C6C06771-146D-40C0-8E3C-67ACC4558C47}"/>
    <hyperlink ref="E521" r:id="rId520" xr:uid="{6EF0E83C-A68E-4831-A3DB-CF9BA59D3A25}"/>
    <hyperlink ref="E522" r:id="rId521" xr:uid="{1C812703-39C1-42D1-B0F3-CE0CD8AB93DA}"/>
    <hyperlink ref="E523" r:id="rId522" xr:uid="{2D572C5E-CE87-4B24-AB03-7A9B4A6D4848}"/>
    <hyperlink ref="E524" r:id="rId523" xr:uid="{FEF99F30-E93E-4FB5-9837-F481161EF920}"/>
    <hyperlink ref="E525" r:id="rId524" xr:uid="{FC06D46C-EF7F-44D5-B256-47FAD7C3E2A1}"/>
    <hyperlink ref="E526" r:id="rId525" xr:uid="{D0B80202-572C-427D-A10C-DA8F223E8C18}"/>
    <hyperlink ref="E527" r:id="rId526" xr:uid="{7645522F-EAC4-4F42-89E3-00B7DD46D531}"/>
    <hyperlink ref="E528" r:id="rId527" xr:uid="{03AB74F7-A84E-45E2-94DD-7C09D2B30485}"/>
    <hyperlink ref="E529" r:id="rId528" xr:uid="{BEC4CD34-0A9E-4525-8495-B36753B0E60A}"/>
    <hyperlink ref="E530" r:id="rId529" xr:uid="{11D6674C-E94D-4191-846A-A89578054D73}"/>
    <hyperlink ref="E531" r:id="rId530" xr:uid="{DA175838-987D-4454-B331-745B9BEA660B}"/>
    <hyperlink ref="E532" r:id="rId531" xr:uid="{498DF95F-CE8D-4FA3-A8AC-0F2C2CDBB6E4}"/>
    <hyperlink ref="E533" r:id="rId532" xr:uid="{C177CC36-ADA4-4907-8DF8-5876722A5690}"/>
    <hyperlink ref="E534" r:id="rId533" xr:uid="{36C7AE8C-C47F-472E-93EF-E47EBC4444E6}"/>
    <hyperlink ref="E535" r:id="rId534" xr:uid="{CA6055A7-ABF2-4C6D-9B3D-FE7294CC1D08}"/>
    <hyperlink ref="E536" r:id="rId535" xr:uid="{CD2DDC25-E94A-469F-89F0-F074FCCB1497}"/>
    <hyperlink ref="E537" r:id="rId536" xr:uid="{984A4BF9-26DD-4863-A8DB-1B3279C98C1D}"/>
    <hyperlink ref="E538" r:id="rId537" xr:uid="{17B802C0-A517-46DA-8536-2BDC0D347DE1}"/>
    <hyperlink ref="E539" r:id="rId538" xr:uid="{827328A0-35A2-48AC-8B03-D522A01B5E3F}"/>
    <hyperlink ref="E540" r:id="rId539" xr:uid="{DFDEAA77-DFE7-4361-B3C2-F115A6A4567F}"/>
    <hyperlink ref="E541" r:id="rId540" xr:uid="{FB38587A-1B86-430C-989A-491C93FFEF46}"/>
    <hyperlink ref="E542" r:id="rId541" xr:uid="{1DDD06A6-83FE-4447-9D25-64AED0EF77A7}"/>
    <hyperlink ref="E543" r:id="rId542" xr:uid="{0AB1EA0F-702B-454B-8D2D-5864F4EBF5D5}"/>
    <hyperlink ref="E544" r:id="rId543" xr:uid="{46696C20-4C3F-4776-8B76-B87065F903D6}"/>
    <hyperlink ref="E545" r:id="rId544" xr:uid="{89455C5A-4329-4571-B08C-D0E24F521AB4}"/>
    <hyperlink ref="E546" r:id="rId545" xr:uid="{36F8DF73-FF69-4A70-A974-2FFC15BE80CD}"/>
    <hyperlink ref="E547" r:id="rId546" xr:uid="{16BEC331-715A-4E41-975B-2E6BA061D924}"/>
    <hyperlink ref="E548" r:id="rId547" xr:uid="{493046C3-511C-4678-99F0-1C7CFC466F73}"/>
    <hyperlink ref="E549" r:id="rId548" xr:uid="{629B092D-15CD-4C40-B265-D2B3744FCA13}"/>
    <hyperlink ref="E550" r:id="rId549" xr:uid="{3460940E-5CFC-4D5E-8569-DC2F10DD1DED}"/>
    <hyperlink ref="E551" r:id="rId550" xr:uid="{89CFEFAA-4008-424A-9D5D-16F04672F1E7}"/>
    <hyperlink ref="E552" r:id="rId551" xr:uid="{2433ED48-6817-4AF2-817F-34D0ACED0943}"/>
    <hyperlink ref="E553" r:id="rId552" xr:uid="{A3B2F9A4-12F2-4A8C-9F27-19C6DDF00E9C}"/>
    <hyperlink ref="E554" r:id="rId553" xr:uid="{EBAA9BB9-A101-41D7-98B9-12A37AF432E8}"/>
    <hyperlink ref="E555" r:id="rId554" xr:uid="{61F26E01-5928-44FE-9643-6BFEA62EE0C0}"/>
    <hyperlink ref="E556" r:id="rId555" xr:uid="{D3CADC0E-7333-478E-84E1-C38952A634B3}"/>
    <hyperlink ref="E557" r:id="rId556" xr:uid="{6771D78F-226B-442B-96C1-E858462EB9C5}"/>
    <hyperlink ref="E558" r:id="rId557" xr:uid="{863F267C-894A-4E98-B356-CF57255DCD8A}"/>
    <hyperlink ref="E559" r:id="rId558" xr:uid="{4D0B117E-5BA8-4A43-9EB5-0549599D4C1A}"/>
    <hyperlink ref="E560" r:id="rId559" xr:uid="{BCD41EDA-23E3-4699-BFA9-4780DFEC2651}"/>
    <hyperlink ref="E561" r:id="rId560" xr:uid="{B0B5FD5E-99AA-480B-98D5-FC9CCE23DD3C}"/>
    <hyperlink ref="E562" r:id="rId561" xr:uid="{0A3445E9-CE22-4147-A0CB-9E5A393E8BE2}"/>
    <hyperlink ref="E563" r:id="rId562" xr:uid="{A01266C9-E10E-4A0C-961C-5DA62874CD5A}"/>
    <hyperlink ref="E564" r:id="rId563" xr:uid="{07769730-576D-413E-9627-480FA6243EDD}"/>
    <hyperlink ref="E565" r:id="rId564" xr:uid="{5BE13544-0ABD-4723-99B9-6941CF60E550}"/>
    <hyperlink ref="E566" r:id="rId565" xr:uid="{7F51B3CC-E783-4FCA-9AAC-C887AF69FCEB}"/>
    <hyperlink ref="E567" r:id="rId566" xr:uid="{71C7C4A7-F657-407D-B4FD-C8C8071F1C0B}"/>
    <hyperlink ref="E568" r:id="rId567" xr:uid="{EE35C2DA-3A00-492E-A7AD-658BE3E6E085}"/>
    <hyperlink ref="E569" r:id="rId568" xr:uid="{676F3302-D885-4FB6-8375-1149795943FF}"/>
    <hyperlink ref="E570" r:id="rId569" xr:uid="{14EA38F2-C563-47B9-8E45-2EDE932806A7}"/>
    <hyperlink ref="E571" r:id="rId570" xr:uid="{4825CEF1-DEFC-4A36-B47F-6FB56174EBE7}"/>
    <hyperlink ref="E572" r:id="rId571" xr:uid="{F5B1BE8B-070D-48AC-A1B7-392138830A7E}"/>
    <hyperlink ref="E573" r:id="rId572" xr:uid="{0A95512B-74F8-473C-97CE-AD096C1A4D1F}"/>
    <hyperlink ref="E574" r:id="rId573" xr:uid="{24CC63AF-438A-472F-9190-5880BEC31F49}"/>
    <hyperlink ref="E575" r:id="rId574" xr:uid="{E7B32F58-4C46-4AF1-B667-7F7DD12FC709}"/>
    <hyperlink ref="E576" r:id="rId575" xr:uid="{0B6D6D7C-5EA8-45FE-A700-1A32401DA463}"/>
    <hyperlink ref="E577" r:id="rId576" xr:uid="{B835DC7A-B66A-41AB-AE1B-C0869C9F8509}"/>
    <hyperlink ref="E578" r:id="rId577" xr:uid="{CD30D624-2581-49B9-89A5-C5824F2D859C}"/>
    <hyperlink ref="E579" r:id="rId578" xr:uid="{D48F482D-C4AF-4334-9341-B218A2E065A1}"/>
    <hyperlink ref="E580" r:id="rId579" xr:uid="{B49F10F7-9F13-4F0E-A559-2D0DE335554D}"/>
    <hyperlink ref="E581" r:id="rId580" xr:uid="{2F22ACB9-9B13-47B2-A574-FED8116FA5C3}"/>
    <hyperlink ref="E582" r:id="rId581" xr:uid="{771E4FC7-8C7D-47FC-B4AC-C674B61A1F73}"/>
    <hyperlink ref="E583" r:id="rId582" xr:uid="{F98C728E-F803-4AD6-8207-326FFB89B16C}"/>
    <hyperlink ref="E584" r:id="rId583" xr:uid="{174B0EC5-9F54-4E1E-8170-BB635337D233}"/>
    <hyperlink ref="E585" r:id="rId584" xr:uid="{D35449D7-EE7A-4ACD-A446-DF75D03C938F}"/>
    <hyperlink ref="E586" r:id="rId585" xr:uid="{D6A6D93C-04DF-47C9-A223-67627FBE17F2}"/>
    <hyperlink ref="E587" r:id="rId586" xr:uid="{0F7D11CC-48E2-49C3-A946-99B34B0F3CA3}"/>
    <hyperlink ref="E588" r:id="rId587" xr:uid="{B1F01578-F889-4925-B627-31E75CBD1479}"/>
    <hyperlink ref="E589" r:id="rId588" xr:uid="{D996B770-3DF6-47B3-AC9F-DBE70FCDAB39}"/>
    <hyperlink ref="E590" r:id="rId589" xr:uid="{EF56EFAF-183F-4F1E-B58B-D3404E9E285B}"/>
    <hyperlink ref="E591" r:id="rId590" xr:uid="{CF13E3C2-D4F2-4108-8ACA-7C936FBD9609}"/>
    <hyperlink ref="E592" r:id="rId591" xr:uid="{7F7110B5-3194-443E-8496-FF9875A5D1E0}"/>
    <hyperlink ref="E593" r:id="rId592" xr:uid="{6090D7BC-0CFC-4CC7-94A7-DA3257615A2E}"/>
    <hyperlink ref="E594" r:id="rId593" xr:uid="{EDC97297-FFF2-42E7-9502-E6025F79556C}"/>
    <hyperlink ref="E595" r:id="rId594" xr:uid="{E9C0A5F1-5DEF-4314-BC3D-E400ED888BDD}"/>
    <hyperlink ref="E596" r:id="rId595" xr:uid="{A6B9310B-E9E6-4920-AC43-2095432AB196}"/>
    <hyperlink ref="E597" r:id="rId596" xr:uid="{696BA5D0-0F29-40DE-A2E6-F29508DE647D}"/>
    <hyperlink ref="E598" r:id="rId597" xr:uid="{245F537A-AE1D-4899-8ACD-7E1AB38E4F17}"/>
    <hyperlink ref="E599" r:id="rId598" xr:uid="{449C1A4E-9D84-4803-A288-6A3F7102D504}"/>
    <hyperlink ref="E600" r:id="rId599" xr:uid="{0A8EA60C-04BF-4DF4-84DC-72AA274529EC}"/>
    <hyperlink ref="E601" r:id="rId600" xr:uid="{972C4FA3-9B23-4ACD-91A5-5DB6CF428BAE}"/>
    <hyperlink ref="E602" r:id="rId601" xr:uid="{51A63260-5E66-40C0-97BE-A6DBBFADA3EC}"/>
    <hyperlink ref="E603" r:id="rId602" xr:uid="{E54ABC2A-96D1-477A-87A5-BBDD7CCAE897}"/>
    <hyperlink ref="E604" r:id="rId603" xr:uid="{AA38DCC4-38BF-4DE1-97E9-FAF0E967051B}"/>
    <hyperlink ref="E605" r:id="rId604" xr:uid="{294C733A-CE71-4126-B015-81C54E407D1A}"/>
    <hyperlink ref="E606" r:id="rId605" xr:uid="{2359D928-3888-4290-9260-F5526B48799D}"/>
    <hyperlink ref="E607" r:id="rId606" xr:uid="{E8D21224-8085-4897-9915-F856A4F30696}"/>
    <hyperlink ref="E608" r:id="rId607" xr:uid="{5AF6BDCB-B71F-4F7C-B758-42F759D40E3F}"/>
    <hyperlink ref="E609" r:id="rId608" xr:uid="{4F0EB455-961E-466E-9306-9FCA209A1EE9}"/>
    <hyperlink ref="E610" r:id="rId609" xr:uid="{44537039-D8C8-4D4F-81CC-5A82C72071A9}"/>
    <hyperlink ref="E611" r:id="rId610" xr:uid="{A824D8A5-A13F-49C6-9CEF-E4E25B3D5CB7}"/>
    <hyperlink ref="E612" r:id="rId611" xr:uid="{979DAA3B-C3F1-4C03-B718-8DD86C4F79BA}"/>
    <hyperlink ref="E613" r:id="rId612" xr:uid="{F546C53E-7BD4-4C13-9D22-2F01D95299A4}"/>
    <hyperlink ref="E614" r:id="rId613" xr:uid="{83964E6A-49DF-4722-9FFA-514C87F3FF38}"/>
    <hyperlink ref="E615" r:id="rId614" xr:uid="{F94C02B7-0E6D-4963-83C9-0C089D87E646}"/>
    <hyperlink ref="E616" r:id="rId615" xr:uid="{45FB290F-1EAC-4972-9029-AF675E0E5519}"/>
    <hyperlink ref="E617" r:id="rId616" xr:uid="{1FC7D7BE-F47F-4D1D-88E4-2EBCDB3E73A4}"/>
    <hyperlink ref="E618" r:id="rId617" xr:uid="{74AC070F-1A64-4392-A668-8D644200448B}"/>
    <hyperlink ref="E619" r:id="rId618" xr:uid="{8C915E11-C214-487E-9054-75F8E719B1ED}"/>
    <hyperlink ref="E620" r:id="rId619" xr:uid="{16285FF0-8D83-4B09-B3C5-4C0B2EB27206}"/>
    <hyperlink ref="E621" r:id="rId620" xr:uid="{E1FF64C5-20AE-499B-9571-354EBC279B7E}"/>
    <hyperlink ref="E622" r:id="rId621" xr:uid="{999A763F-CA2C-4DD0-B9EE-1C7ABBAF24E6}"/>
    <hyperlink ref="E623" r:id="rId622" xr:uid="{692DEFA1-0FA1-4C94-B97D-6FCEF10FF2E1}"/>
    <hyperlink ref="E624" r:id="rId623" xr:uid="{8A5900BC-F611-4886-935B-4BA9A5DAC5E5}"/>
    <hyperlink ref="E625" r:id="rId624" xr:uid="{2B14175B-857D-4B93-8CED-ED181EFEE1CF}"/>
    <hyperlink ref="E626" r:id="rId625" xr:uid="{17F0BE2D-2491-447B-A24F-26542BEB3329}"/>
    <hyperlink ref="E627" r:id="rId626" xr:uid="{15B1C74E-AABC-47DB-A09D-E93B272340B8}"/>
    <hyperlink ref="E628" r:id="rId627" xr:uid="{28D0F163-43AB-41CA-A020-12087F97843D}"/>
    <hyperlink ref="E629" r:id="rId628" xr:uid="{C3BF8D6E-6D5A-432E-A2E5-7A8F4C447636}"/>
    <hyperlink ref="E630" r:id="rId629" xr:uid="{A45EB1FB-97C7-491B-9B73-7138D03AED0C}"/>
    <hyperlink ref="E631" r:id="rId630" xr:uid="{B1E5F078-8011-44AB-9C38-89BB45CA9193}"/>
    <hyperlink ref="E632" r:id="rId631" xr:uid="{B3460EEC-F27D-4066-84CC-2BE476E38459}"/>
    <hyperlink ref="E633" r:id="rId632" xr:uid="{D02ECA10-FE3B-4CBF-AC1E-9A8BF9FA695F}"/>
    <hyperlink ref="E634" r:id="rId633" xr:uid="{BC2E5416-585A-4028-B6FD-9398EAD69F29}"/>
    <hyperlink ref="E635" r:id="rId634" xr:uid="{9C122C56-65BC-45F6-9E6F-92D5C62E99BC}"/>
    <hyperlink ref="E636" r:id="rId635" xr:uid="{33A8CA82-7B56-4A2C-9770-2C294FB28FF8}"/>
    <hyperlink ref="E637" r:id="rId636" xr:uid="{BFB4A778-B941-42F5-809C-620AF1132326}"/>
    <hyperlink ref="E638" r:id="rId637" xr:uid="{0E2207C6-6318-4A86-AD72-E04486281DEC}"/>
    <hyperlink ref="E639" r:id="rId638" xr:uid="{3364DA16-40FE-491B-BC79-8A3F574D3245}"/>
    <hyperlink ref="E640" r:id="rId639" xr:uid="{CA767066-D486-4503-B1D6-80F3191603A3}"/>
    <hyperlink ref="E641" r:id="rId640" xr:uid="{29CB3C2A-F95B-413F-BC1C-93800957C9B3}"/>
    <hyperlink ref="E642" r:id="rId641" xr:uid="{7DAC6D38-FE78-4D10-A429-DCBB84B7CED5}"/>
    <hyperlink ref="E643" r:id="rId642" xr:uid="{0ADE9BE9-A578-43B1-8D94-8096121518F1}"/>
    <hyperlink ref="E644" r:id="rId643" xr:uid="{88F86861-35A9-4171-8EB1-055354A973F2}"/>
    <hyperlink ref="E645" r:id="rId644" xr:uid="{0B79108E-2B38-4933-BDB4-D791C37DDCEE}"/>
    <hyperlink ref="E646" r:id="rId645" xr:uid="{BC770317-E902-488C-A19B-3D5264826EAC}"/>
    <hyperlink ref="E647" r:id="rId646" xr:uid="{C70AF030-C380-4C12-A355-EFA673DB2950}"/>
    <hyperlink ref="E648" r:id="rId647" xr:uid="{107AF64C-136A-4503-A151-C481D16EA704}"/>
    <hyperlink ref="E649" r:id="rId648" xr:uid="{35C46C1D-8EE7-4AE9-9AAA-A2B2D9CD5087}"/>
    <hyperlink ref="E650" r:id="rId649" xr:uid="{93756E30-1397-426F-BF4C-814277F1EF12}"/>
    <hyperlink ref="E651" r:id="rId650" xr:uid="{293D83F2-4C89-47F6-97D2-8C21F084D06B}"/>
    <hyperlink ref="E652" r:id="rId651" xr:uid="{DEF3FE6C-F4FA-430B-A0A4-DA54775001A5}"/>
    <hyperlink ref="E653" r:id="rId652" xr:uid="{002FC36B-2E0D-426C-B8A5-C4A0724B8029}"/>
    <hyperlink ref="E654" r:id="rId653" xr:uid="{F9F7A3C6-C79B-459B-BB78-BC279532BDCB}"/>
    <hyperlink ref="E655" r:id="rId654" xr:uid="{2B3A8D6C-96A3-447D-9EF2-E6E200E61A8B}"/>
    <hyperlink ref="E656" r:id="rId655" xr:uid="{8B5A7B16-4F68-431F-8178-E8AAF4457E5C}"/>
    <hyperlink ref="E657" r:id="rId656" xr:uid="{9F4478FA-27BD-45FB-A8A6-4F1A964C0BDE}"/>
    <hyperlink ref="E658" r:id="rId657" xr:uid="{4DAE50AB-EE2D-41A3-8B02-AD2198271B32}"/>
    <hyperlink ref="E659" r:id="rId658" xr:uid="{35F2B1E4-B2DE-4735-ADD9-2F7EBC993F95}"/>
    <hyperlink ref="E660" r:id="rId659" xr:uid="{83DD7B05-C19C-464D-AEBD-A8E9EE80CDA8}"/>
    <hyperlink ref="E661" r:id="rId660" xr:uid="{BFEDA76C-BFC6-49F2-9D10-997DCFF9049E}"/>
    <hyperlink ref="E662" r:id="rId661" xr:uid="{376D12CE-CFDD-4C41-9AF1-63E689F884EB}"/>
    <hyperlink ref="E663" r:id="rId662" xr:uid="{55C501B5-D932-4CD1-A400-1C34A35313FE}"/>
    <hyperlink ref="E664" r:id="rId663" xr:uid="{9B5C6CF5-C925-41AF-96FB-D4FCF75E9C96}"/>
    <hyperlink ref="E665" r:id="rId664" xr:uid="{D5F288EB-C612-4A89-ACC3-E213D6B42510}"/>
    <hyperlink ref="E666" r:id="rId665" xr:uid="{81C9ADE4-4D52-417F-B3A4-5C01BA8EEE88}"/>
    <hyperlink ref="E667" r:id="rId666" xr:uid="{EED2C5BA-0E05-4A84-AD6B-699F1033623A}"/>
    <hyperlink ref="E668" r:id="rId667" xr:uid="{0EA9E638-E516-48FE-8900-C1656654C1AF}"/>
    <hyperlink ref="E669" r:id="rId668" xr:uid="{4CCBE6B4-89FE-4A03-9FC6-5DEA794D70E4}"/>
    <hyperlink ref="E670" r:id="rId669" xr:uid="{0E08A0F0-F527-4E6C-B2BE-430B50251B97}"/>
    <hyperlink ref="E671" r:id="rId670" xr:uid="{3FD8A530-6D4D-4397-986D-19D445147DD7}"/>
    <hyperlink ref="E672" r:id="rId671" xr:uid="{7D596B1A-5D0B-43B1-8D7A-9C27FE3BC1BD}"/>
    <hyperlink ref="E673" r:id="rId672" xr:uid="{5B5CFAF1-586C-48C4-B6CA-F8E1D499C0FA}"/>
    <hyperlink ref="E674" r:id="rId673" xr:uid="{0B0BCBA5-384E-43AC-8CF3-6448FF43996D}"/>
    <hyperlink ref="E675" r:id="rId674" xr:uid="{1A358675-4906-4F73-8BC5-AE0853416FCD}"/>
    <hyperlink ref="E676" r:id="rId675" xr:uid="{B6774342-14C5-49B7-8C18-E4E11BC53FFE}"/>
    <hyperlink ref="E677" r:id="rId676" xr:uid="{2105FA55-C1A6-408D-8AF5-CE088DB14DEC}"/>
    <hyperlink ref="E678" r:id="rId677" xr:uid="{16311B3C-CB8C-499D-815F-2C43D8F4EACA}"/>
    <hyperlink ref="E679" r:id="rId678" xr:uid="{1E57B811-5E22-4481-940A-3487D2B7703F}"/>
    <hyperlink ref="E680" r:id="rId679" xr:uid="{349E3BC9-3BC8-4439-923D-F36442491664}"/>
    <hyperlink ref="E681" r:id="rId680" xr:uid="{49BBB016-9C85-4DCA-A2D0-5E47E22AC478}"/>
    <hyperlink ref="E682" r:id="rId681" xr:uid="{6FF7ACCB-DD49-402E-8AF9-FFD2F72F7AF0}"/>
    <hyperlink ref="E683" r:id="rId682" xr:uid="{2A46D81F-76CE-41CD-B47E-EE52C43C34B6}"/>
    <hyperlink ref="E684" r:id="rId683" xr:uid="{DCE21897-2A77-49AA-93F7-FD25436F2CCB}"/>
    <hyperlink ref="E685" r:id="rId684" xr:uid="{350E6A91-4EBE-4C5F-8DD1-7EF3D5B0331E}"/>
    <hyperlink ref="E686" r:id="rId685" xr:uid="{D73BBEC6-FC99-4905-B29F-658C717EF0BB}"/>
    <hyperlink ref="E687" r:id="rId686" xr:uid="{1C3C5DB4-3372-40CD-815E-0FF2BADFDA63}"/>
    <hyperlink ref="E688" r:id="rId687" xr:uid="{77936171-A413-415B-B5C6-5E2BF30051AB}"/>
    <hyperlink ref="E689" r:id="rId688" xr:uid="{B1B18548-CFC1-44C5-93E3-8982B466FD5D}"/>
    <hyperlink ref="E690" r:id="rId689" xr:uid="{4C71D686-611C-455D-91F5-11531478EB8E}"/>
    <hyperlink ref="E691" r:id="rId690" xr:uid="{15C3464D-236B-4F1F-ACD3-72D1C53D539C}"/>
    <hyperlink ref="E692" r:id="rId691" xr:uid="{27469D0C-F646-417C-A2F6-BFB876923B6D}"/>
    <hyperlink ref="E693" r:id="rId692" xr:uid="{A3F67FF5-54E5-44D2-983C-3D2B1A6D1574}"/>
    <hyperlink ref="E694" r:id="rId693" xr:uid="{DECF245D-AFDD-4B1A-B374-61F7AB002700}"/>
    <hyperlink ref="E695" r:id="rId694" xr:uid="{A5501D2C-328E-4A7B-AB8A-8BE91D5C5AA9}"/>
    <hyperlink ref="E696" r:id="rId695" xr:uid="{E447ECB9-B909-493F-85D6-BE101AE5CFD0}"/>
    <hyperlink ref="E697" r:id="rId696" xr:uid="{9055AD9E-C896-499E-ABE4-B3050766C7F7}"/>
    <hyperlink ref="E698" r:id="rId697" xr:uid="{F1521023-03C1-41E0-B85F-12C0ED11EDB0}"/>
    <hyperlink ref="E699" r:id="rId698" xr:uid="{A2108B9C-70AF-4D0F-A4DA-446364446583}"/>
    <hyperlink ref="E700" r:id="rId699" xr:uid="{229310C1-1C37-4700-B3F2-ECD0EE6E0999}"/>
    <hyperlink ref="E701" r:id="rId700" xr:uid="{FB5DBB97-2955-4315-8E0F-B40090BE2A89}"/>
    <hyperlink ref="E702" r:id="rId701" xr:uid="{CD7BA18C-6019-4942-80DB-C02272D04E6E}"/>
    <hyperlink ref="E703" r:id="rId702" xr:uid="{8A7C2D68-33BD-418A-93EF-4D70C0BB11C7}"/>
    <hyperlink ref="E704" r:id="rId703" xr:uid="{76BAFED9-18E0-465F-9D17-E5550E054DCE}"/>
    <hyperlink ref="E705" r:id="rId704" xr:uid="{862A1B5E-3297-41CD-AABA-262E3646A650}"/>
    <hyperlink ref="E706" r:id="rId705" xr:uid="{36E7D413-D4DC-4994-8DE5-491019957BA7}"/>
    <hyperlink ref="E707" r:id="rId706" xr:uid="{A8DD3649-65EC-4543-B875-1A4729F537D4}"/>
    <hyperlink ref="E708" r:id="rId707" xr:uid="{1737436C-CF41-40E5-A1BB-5B1ADC3752E7}"/>
    <hyperlink ref="E709" r:id="rId708" xr:uid="{4D81E405-0075-4A4A-889E-34A97D76BB8B}"/>
    <hyperlink ref="E710" r:id="rId709" xr:uid="{58849D8C-6ED1-49D9-B5FA-A191B25BAE58}"/>
    <hyperlink ref="E711" r:id="rId710" xr:uid="{54AB0CC8-1847-4030-941F-8965EE3A94DC}"/>
    <hyperlink ref="E712" r:id="rId711" xr:uid="{7BD206C3-9D6A-4827-8308-D8D58B040536}"/>
    <hyperlink ref="E713" r:id="rId712" xr:uid="{71B50EF9-4D8E-467D-AC2F-96BA1D7442E7}"/>
    <hyperlink ref="E714" r:id="rId713" xr:uid="{5D26F9ED-E488-4CBE-9EDB-53E000B5ADC2}"/>
    <hyperlink ref="E715" r:id="rId714" xr:uid="{5094DA76-0029-4B8E-B88D-169188ABFCFB}"/>
    <hyperlink ref="E716" r:id="rId715" xr:uid="{CDC62411-CD6B-467E-96F7-02CEEFA4C8C0}"/>
    <hyperlink ref="E717" r:id="rId716" xr:uid="{CFB420FB-2837-4B0A-9455-C8159DD1DFB4}"/>
    <hyperlink ref="E718" r:id="rId717" xr:uid="{00CBCD80-277C-42CB-AB9F-C79F042746DB}"/>
    <hyperlink ref="E719" r:id="rId718" xr:uid="{855BDA21-306C-44BE-8800-C2FE248B26D9}"/>
    <hyperlink ref="E720" r:id="rId719" xr:uid="{E6325C50-831D-4531-8BDD-09261078655E}"/>
    <hyperlink ref="E721" r:id="rId720" xr:uid="{2E312B00-0F63-43F5-B21F-CABA9F3D5212}"/>
    <hyperlink ref="E722" r:id="rId721" xr:uid="{8AFAFFBA-0CD3-4850-90C8-D9B4A921DEB5}"/>
    <hyperlink ref="E723" r:id="rId722" xr:uid="{B9E97A37-DAEE-4040-A5C0-6CE6E401F318}"/>
    <hyperlink ref="E724" r:id="rId723" xr:uid="{E615432C-E62A-4149-80F8-37671B71E484}"/>
    <hyperlink ref="E725" r:id="rId724" xr:uid="{520C561E-B603-4ECE-BEE3-D988952F42C1}"/>
    <hyperlink ref="E726" r:id="rId725" xr:uid="{84BD69F9-C3B0-4F80-B92E-5525ED318B0E}"/>
    <hyperlink ref="E727" r:id="rId726" xr:uid="{FE8D45E2-D73C-4784-A080-E448480AE826}"/>
    <hyperlink ref="E728" r:id="rId727" xr:uid="{745A6AF6-3C56-4E4E-917B-01861960A8A6}"/>
    <hyperlink ref="E729" r:id="rId728" xr:uid="{38AE6363-AC46-4530-A33A-40C84A575234}"/>
    <hyperlink ref="E730" r:id="rId729" xr:uid="{8AAB3F49-5F9E-4974-93EB-805842FD4E1E}"/>
    <hyperlink ref="E731" r:id="rId730" xr:uid="{1663D8C1-0E6E-4A9C-8540-89978E4CE5D5}"/>
    <hyperlink ref="E732" r:id="rId731" xr:uid="{896D9A70-0B1C-4932-AC71-E476B61C614B}"/>
    <hyperlink ref="E733" r:id="rId732" xr:uid="{3679E792-BE7E-4317-AC33-EDF67653C5C1}"/>
    <hyperlink ref="E734" r:id="rId733" xr:uid="{FAFF4CA6-A457-4F50-B411-72A4E31C6B78}"/>
    <hyperlink ref="E735" r:id="rId734" xr:uid="{1028EB46-0D55-4724-B05A-9D1CFF5C0780}"/>
    <hyperlink ref="E736" r:id="rId735" xr:uid="{AAEF768A-D7A6-42F7-A878-0BDC2C44B346}"/>
    <hyperlink ref="E737" r:id="rId736" xr:uid="{D1230011-28D9-4261-98FC-5EC18EAB94F8}"/>
    <hyperlink ref="E738" r:id="rId737" xr:uid="{1897A7B1-8ADE-4B20-9691-34675FF63DDF}"/>
    <hyperlink ref="E739" r:id="rId738" xr:uid="{8DCE3492-57B8-4330-9E80-3057AA3FAA45}"/>
    <hyperlink ref="E740" r:id="rId739" xr:uid="{1C3A6B92-D3B6-48B8-B376-946301C94C9C}"/>
    <hyperlink ref="E741" r:id="rId740" xr:uid="{145F1AE8-AFAF-46E3-9933-6FEEE01BE195}"/>
    <hyperlink ref="E742" r:id="rId741" xr:uid="{38B8E3C8-1BD3-4C3D-91EF-FC3754FCB26F}"/>
    <hyperlink ref="E743" r:id="rId742" xr:uid="{1A4B2EC9-B18E-41A3-9AD3-DD7FA236857D}"/>
    <hyperlink ref="E744" r:id="rId743" xr:uid="{B7AD36BB-4052-4ABD-9F66-00E075FA864D}"/>
    <hyperlink ref="E745" r:id="rId744" xr:uid="{F4587FDD-F792-40DD-AA4D-EE0E73CAF473}"/>
    <hyperlink ref="E746" r:id="rId745" xr:uid="{3BBCFC5F-F916-4231-A40C-C13724BE482E}"/>
    <hyperlink ref="E747" r:id="rId746" xr:uid="{682AA20D-4D7E-4690-B7DE-8A7602F86776}"/>
    <hyperlink ref="E748" r:id="rId747" xr:uid="{BCCBB6E4-F90F-4F37-AF67-B529AE239996}"/>
    <hyperlink ref="E749" r:id="rId748" xr:uid="{26BB24BB-546B-4004-B4C1-FF77D643682E}"/>
    <hyperlink ref="E750" r:id="rId749" xr:uid="{C81627B8-436B-41A5-A422-36E379358E4B}"/>
    <hyperlink ref="E751" r:id="rId750" xr:uid="{75E1B5E9-8CBE-42A4-A82F-CD5F600B05CA}"/>
    <hyperlink ref="E752" r:id="rId751" xr:uid="{CBFCDA1D-C474-4E95-A215-72925E10B8B5}"/>
    <hyperlink ref="E753" r:id="rId752" xr:uid="{83A900A0-F8D9-4456-BEF2-EB9AAD41D18F}"/>
    <hyperlink ref="E754" r:id="rId753" xr:uid="{D29BD1CC-978B-4582-BB65-10434456B80E}"/>
    <hyperlink ref="E755" r:id="rId754" xr:uid="{042A050A-1958-493F-A23D-C4F2112E2B1E}"/>
    <hyperlink ref="E756" r:id="rId755" xr:uid="{105E447E-1DEB-4E17-BF6F-8110F6BC0BDF}"/>
    <hyperlink ref="E757" r:id="rId756" xr:uid="{AEF3342D-382B-449D-8760-CFC03450A950}"/>
    <hyperlink ref="E758" r:id="rId757" xr:uid="{032D2306-B9ED-4A48-9B13-5D65B1ADBADD}"/>
    <hyperlink ref="E759" r:id="rId758" xr:uid="{2F77882E-1E6A-48C4-A8CB-C94562ADC43C}"/>
    <hyperlink ref="E760" r:id="rId759" xr:uid="{309A76E4-B54C-4E61-B368-6C6397029619}"/>
    <hyperlink ref="E761" r:id="rId760" xr:uid="{2CE869B3-DB34-4237-A4F4-B7B1BFFC2813}"/>
    <hyperlink ref="E762" r:id="rId761" xr:uid="{759B85D5-F3CE-47DC-9DAA-7798FB9BC0AF}"/>
    <hyperlink ref="E763" r:id="rId762" xr:uid="{6203A719-6F58-4BDB-9ED8-3EB78ED8A1F7}"/>
    <hyperlink ref="E764" r:id="rId763" xr:uid="{E168D0BA-85B3-411F-9779-116CB0789809}"/>
    <hyperlink ref="E765" r:id="rId764" xr:uid="{00E5C380-BF4D-428F-8CBC-A6460A023B22}"/>
    <hyperlink ref="E766" r:id="rId765" xr:uid="{7FD00618-4422-464C-AFA7-B6447F30E140}"/>
    <hyperlink ref="E767" r:id="rId766" xr:uid="{4C6E38D8-1C1B-441A-94B1-12E728A80357}"/>
    <hyperlink ref="E768" r:id="rId767" xr:uid="{6A3F3F71-F6F5-43B3-810F-4C65F032F7D2}"/>
    <hyperlink ref="E769" r:id="rId768" xr:uid="{A700A204-CF2B-4962-A57C-7DB57291B647}"/>
    <hyperlink ref="E770" r:id="rId769" xr:uid="{00D6260E-0FFB-4797-861F-4E3BDAE0A954}"/>
    <hyperlink ref="E771" r:id="rId770" xr:uid="{51B9FE56-D024-4737-851C-C59650FBA182}"/>
    <hyperlink ref="E772" r:id="rId771" xr:uid="{E6E9EBCE-007F-4DA1-B5B4-7F9680E8191A}"/>
    <hyperlink ref="E773" r:id="rId772" xr:uid="{5F5768A6-648A-425B-9DB9-4F3997765B0A}"/>
    <hyperlink ref="E774" r:id="rId773" xr:uid="{95B370A0-042D-4D04-89A3-382D8A537C68}"/>
    <hyperlink ref="E775" r:id="rId774" xr:uid="{CE3E35A2-ABE8-4B4C-BAAE-F7B64C7DB35B}"/>
    <hyperlink ref="E776" r:id="rId775" xr:uid="{7E7782B9-1B04-463A-89E2-2D950FB7B1F4}"/>
    <hyperlink ref="E777" r:id="rId776" xr:uid="{D9185B39-A217-41ED-A7D1-23D173C98C71}"/>
    <hyperlink ref="E778" r:id="rId777" xr:uid="{A1F5AC2E-4811-4716-B17D-96CC534BD51D}"/>
    <hyperlink ref="E779" r:id="rId778" xr:uid="{96E3FB79-2C4E-427A-BBCE-042E046A66C6}"/>
    <hyperlink ref="E780" r:id="rId779" xr:uid="{BA71231A-E5E1-4692-8DC2-E023EA95A4CE}"/>
    <hyperlink ref="E781" r:id="rId780" xr:uid="{C9E0F59C-4B6D-4BBB-B73F-50188D11E036}"/>
    <hyperlink ref="E782" r:id="rId781" xr:uid="{548E7415-B30F-4BBD-BEA2-FAB96ED925BD}"/>
    <hyperlink ref="E783" r:id="rId782" xr:uid="{6A1CD29E-7BD7-458D-8975-25305DB17F27}"/>
    <hyperlink ref="E784" r:id="rId783" xr:uid="{5B0B356A-80F1-446C-AA11-E8996F38A176}"/>
    <hyperlink ref="E785" r:id="rId784" xr:uid="{858424EE-AE81-484F-8C85-F380E0F3D8C7}"/>
    <hyperlink ref="E786" r:id="rId785" xr:uid="{E2D82AB2-7D93-4F90-917F-0C7E167F59B6}"/>
    <hyperlink ref="E787" r:id="rId786" xr:uid="{A2171239-4D64-4641-9689-C549178DEF71}"/>
    <hyperlink ref="E788" r:id="rId787" xr:uid="{9A4629D3-AE37-4BD0-8990-C06E11E8ACA5}"/>
    <hyperlink ref="E789" r:id="rId788" xr:uid="{ED65FB53-E3C3-42FF-9C9C-EDA0DA276A6D}"/>
    <hyperlink ref="E790" r:id="rId789" xr:uid="{E21916A0-B836-4EEB-BD4F-C1D02201B579}"/>
    <hyperlink ref="E791" r:id="rId790" xr:uid="{C940BE10-4118-4B45-A680-5A83FB4A7E99}"/>
    <hyperlink ref="E792" r:id="rId791" xr:uid="{26C5932F-B9BD-4903-A851-C3AEDC6CBC25}"/>
    <hyperlink ref="E793" r:id="rId792" xr:uid="{E290A043-35B7-4149-9215-ABDD73180D94}"/>
    <hyperlink ref="E794" r:id="rId793" xr:uid="{4F438BA8-DB22-44F2-B873-B617C111C514}"/>
    <hyperlink ref="E795" r:id="rId794" xr:uid="{7B915ED9-3E36-48EB-A234-B58E57DF25CE}"/>
    <hyperlink ref="E796" r:id="rId795" xr:uid="{AE983374-12C6-4119-A28C-079257AB0F4D}"/>
    <hyperlink ref="E797" r:id="rId796" xr:uid="{E12AF303-9306-4196-91D9-8351DA3CBE01}"/>
    <hyperlink ref="E798" r:id="rId797" xr:uid="{B86D0C49-1263-43D3-A5BA-01F1D163A384}"/>
    <hyperlink ref="E799" r:id="rId798" xr:uid="{CE35F87D-D3C4-4E42-94BB-68B46E5E7C49}"/>
    <hyperlink ref="E800" r:id="rId799" xr:uid="{67F132E8-D96F-408A-9C90-68B655CE5E9F}"/>
    <hyperlink ref="E801" r:id="rId800" xr:uid="{58F258D2-7867-43FB-8FB4-2E4FE7A79BA1}"/>
    <hyperlink ref="E802" r:id="rId801" xr:uid="{0A9A992A-8895-47E1-8855-827539FD1A5C}"/>
    <hyperlink ref="E200" r:id="rId802" xr:uid="{0BDA4AF8-DBBB-4C04-ABB0-8B78C60AAF2E}"/>
    <hyperlink ref="L680" r:id="rId803" xr:uid="{8A9DFB88-E234-43F2-BC4A-BD7EB2A46B79}"/>
  </hyperlinks>
  <pageMargins left="0.7" right="0.7" top="0.75" bottom="0.75" header="0.3" footer="0.3"/>
  <pageSetup paperSize="9" orientation="portrait" r:id="rId80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B5CDE-DCA1-4C3C-8EB7-667E75C76454}">
  <dimension ref="A3:B62"/>
  <sheetViews>
    <sheetView workbookViewId="0">
      <selection activeCell="A6" sqref="A6"/>
    </sheetView>
  </sheetViews>
  <sheetFormatPr defaultRowHeight="15.6" x14ac:dyDescent="0.3"/>
  <cols>
    <col min="1" max="1" width="104.69921875" bestFit="1" customWidth="1"/>
    <col min="2" max="2" width="23.796875" bestFit="1" customWidth="1"/>
    <col min="3" max="3" width="23.296875" bestFit="1" customWidth="1"/>
  </cols>
  <sheetData>
    <row r="3" spans="1:2" x14ac:dyDescent="0.3">
      <c r="A3" s="54" t="s">
        <v>4524</v>
      </c>
      <c r="B3" t="s">
        <v>4534</v>
      </c>
    </row>
    <row r="4" spans="1:2" x14ac:dyDescent="0.3">
      <c r="A4" s="55" t="s">
        <v>4535</v>
      </c>
      <c r="B4">
        <v>523</v>
      </c>
    </row>
    <row r="5" spans="1:2" x14ac:dyDescent="0.3">
      <c r="A5" s="56"/>
      <c r="B5">
        <v>521</v>
      </c>
    </row>
    <row r="6" spans="1:2" x14ac:dyDescent="0.3">
      <c r="A6" s="56" t="e" vm="2">
        <v>#VALUE!</v>
      </c>
      <c r="B6">
        <v>2</v>
      </c>
    </row>
    <row r="7" spans="1:2" x14ac:dyDescent="0.3">
      <c r="A7" s="55" t="s">
        <v>4526</v>
      </c>
      <c r="B7">
        <v>136</v>
      </c>
    </row>
    <row r="8" spans="1:2" x14ac:dyDescent="0.3">
      <c r="A8" s="56" t="s">
        <v>4</v>
      </c>
      <c r="B8">
        <v>3</v>
      </c>
    </row>
    <row r="9" spans="1:2" x14ac:dyDescent="0.3">
      <c r="A9" s="56" t="s">
        <v>5</v>
      </c>
      <c r="B9">
        <v>90</v>
      </c>
    </row>
    <row r="10" spans="1:2" x14ac:dyDescent="0.3">
      <c r="A10" s="56" t="s">
        <v>58</v>
      </c>
      <c r="B10">
        <v>2</v>
      </c>
    </row>
    <row r="11" spans="1:2" x14ac:dyDescent="0.3">
      <c r="A11" s="56" t="s">
        <v>1</v>
      </c>
      <c r="B11">
        <v>18</v>
      </c>
    </row>
    <row r="12" spans="1:2" x14ac:dyDescent="0.3">
      <c r="A12" s="56" t="s">
        <v>4536</v>
      </c>
      <c r="B12">
        <v>1</v>
      </c>
    </row>
    <row r="13" spans="1:2" x14ac:dyDescent="0.3">
      <c r="A13" s="56" t="s">
        <v>4537</v>
      </c>
      <c r="B13">
        <v>20</v>
      </c>
    </row>
    <row r="14" spans="1:2" x14ac:dyDescent="0.3">
      <c r="A14" s="56" t="s">
        <v>6</v>
      </c>
      <c r="B14">
        <v>2</v>
      </c>
    </row>
    <row r="15" spans="1:2" x14ac:dyDescent="0.3">
      <c r="A15" s="55" t="s">
        <v>4528</v>
      </c>
      <c r="B15">
        <v>70</v>
      </c>
    </row>
    <row r="16" spans="1:2" x14ac:dyDescent="0.3">
      <c r="A16" s="56" t="s">
        <v>4538</v>
      </c>
      <c r="B16">
        <v>1</v>
      </c>
    </row>
    <row r="17" spans="1:2" x14ac:dyDescent="0.3">
      <c r="A17" s="56" t="s">
        <v>4539</v>
      </c>
      <c r="B17">
        <v>17</v>
      </c>
    </row>
    <row r="18" spans="1:2" x14ac:dyDescent="0.3">
      <c r="A18" s="56" t="s">
        <v>4540</v>
      </c>
      <c r="B18">
        <v>4</v>
      </c>
    </row>
    <row r="19" spans="1:2" x14ac:dyDescent="0.3">
      <c r="A19" s="56" t="s">
        <v>4541</v>
      </c>
      <c r="B19">
        <v>17</v>
      </c>
    </row>
    <row r="20" spans="1:2" x14ac:dyDescent="0.3">
      <c r="A20" s="56" t="s">
        <v>4542</v>
      </c>
      <c r="B20">
        <v>6</v>
      </c>
    </row>
    <row r="21" spans="1:2" x14ac:dyDescent="0.3">
      <c r="A21" s="56" t="s">
        <v>4543</v>
      </c>
      <c r="B21">
        <v>2</v>
      </c>
    </row>
    <row r="22" spans="1:2" x14ac:dyDescent="0.3">
      <c r="A22" s="56" t="s">
        <v>4544</v>
      </c>
      <c r="B22">
        <v>2</v>
      </c>
    </row>
    <row r="23" spans="1:2" x14ac:dyDescent="0.3">
      <c r="A23" s="56" t="s">
        <v>4545</v>
      </c>
      <c r="B23">
        <v>4</v>
      </c>
    </row>
    <row r="24" spans="1:2" x14ac:dyDescent="0.3">
      <c r="A24" s="56" t="s">
        <v>4546</v>
      </c>
      <c r="B24">
        <v>1</v>
      </c>
    </row>
    <row r="25" spans="1:2" x14ac:dyDescent="0.3">
      <c r="A25" s="56" t="s">
        <v>4547</v>
      </c>
      <c r="B25">
        <v>3</v>
      </c>
    </row>
    <row r="26" spans="1:2" x14ac:dyDescent="0.3">
      <c r="A26" s="56" t="s">
        <v>4548</v>
      </c>
      <c r="B26">
        <v>3</v>
      </c>
    </row>
    <row r="27" spans="1:2" x14ac:dyDescent="0.3">
      <c r="A27" s="56" t="s">
        <v>4549</v>
      </c>
      <c r="B27">
        <v>1</v>
      </c>
    </row>
    <row r="28" spans="1:2" x14ac:dyDescent="0.3">
      <c r="A28" s="56" t="s">
        <v>4550</v>
      </c>
      <c r="B28">
        <v>1</v>
      </c>
    </row>
    <row r="29" spans="1:2" x14ac:dyDescent="0.3">
      <c r="A29" s="56" t="s">
        <v>4551</v>
      </c>
      <c r="B29">
        <v>2</v>
      </c>
    </row>
    <row r="30" spans="1:2" x14ac:dyDescent="0.3">
      <c r="A30" s="56" t="s">
        <v>4552</v>
      </c>
      <c r="B30">
        <v>1</v>
      </c>
    </row>
    <row r="31" spans="1:2" x14ac:dyDescent="0.3">
      <c r="A31" s="56" t="s">
        <v>4553</v>
      </c>
      <c r="B31">
        <v>2</v>
      </c>
    </row>
    <row r="32" spans="1:2" x14ac:dyDescent="0.3">
      <c r="A32" s="56" t="s">
        <v>4554</v>
      </c>
      <c r="B32">
        <v>2</v>
      </c>
    </row>
    <row r="33" spans="1:2" x14ac:dyDescent="0.3">
      <c r="A33" s="56" t="s">
        <v>4555</v>
      </c>
      <c r="B33">
        <v>1</v>
      </c>
    </row>
    <row r="34" spans="1:2" x14ac:dyDescent="0.3">
      <c r="A34" s="55" t="s">
        <v>4530</v>
      </c>
      <c r="B34">
        <v>42</v>
      </c>
    </row>
    <row r="35" spans="1:2" x14ac:dyDescent="0.3">
      <c r="A35" s="56" t="s">
        <v>11</v>
      </c>
      <c r="B35">
        <v>5</v>
      </c>
    </row>
    <row r="36" spans="1:2" x14ac:dyDescent="0.3">
      <c r="A36" s="56" t="s">
        <v>52</v>
      </c>
      <c r="B36">
        <v>23</v>
      </c>
    </row>
    <row r="37" spans="1:2" x14ac:dyDescent="0.3">
      <c r="A37" s="56" t="s">
        <v>130</v>
      </c>
      <c r="B37">
        <v>2</v>
      </c>
    </row>
    <row r="38" spans="1:2" x14ac:dyDescent="0.3">
      <c r="A38" s="56" t="s">
        <v>51</v>
      </c>
      <c r="B38">
        <v>6</v>
      </c>
    </row>
    <row r="39" spans="1:2" x14ac:dyDescent="0.3">
      <c r="A39" s="56" t="s">
        <v>4556</v>
      </c>
      <c r="B39">
        <v>1</v>
      </c>
    </row>
    <row r="40" spans="1:2" x14ac:dyDescent="0.3">
      <c r="A40" s="56" t="s">
        <v>10</v>
      </c>
      <c r="B40">
        <v>1</v>
      </c>
    </row>
    <row r="41" spans="1:2" x14ac:dyDescent="0.3">
      <c r="A41" s="56" t="s">
        <v>9</v>
      </c>
      <c r="B41">
        <v>4</v>
      </c>
    </row>
    <row r="42" spans="1:2" x14ac:dyDescent="0.3">
      <c r="A42" s="55" t="s">
        <v>4527</v>
      </c>
      <c r="B42">
        <v>15</v>
      </c>
    </row>
    <row r="43" spans="1:2" x14ac:dyDescent="0.3">
      <c r="A43" s="56" t="s">
        <v>4557</v>
      </c>
      <c r="B43">
        <v>1</v>
      </c>
    </row>
    <row r="44" spans="1:2" x14ac:dyDescent="0.3">
      <c r="A44" s="56" t="s">
        <v>4558</v>
      </c>
      <c r="B44">
        <v>1</v>
      </c>
    </row>
    <row r="45" spans="1:2" x14ac:dyDescent="0.3">
      <c r="A45" s="56" t="s">
        <v>4559</v>
      </c>
      <c r="B45">
        <v>3</v>
      </c>
    </row>
    <row r="46" spans="1:2" x14ac:dyDescent="0.3">
      <c r="A46" s="56" t="s">
        <v>4560</v>
      </c>
      <c r="B46">
        <v>1</v>
      </c>
    </row>
    <row r="47" spans="1:2" x14ac:dyDescent="0.3">
      <c r="A47" s="56" t="s">
        <v>4561</v>
      </c>
      <c r="B47">
        <v>7</v>
      </c>
    </row>
    <row r="48" spans="1:2" x14ac:dyDescent="0.3">
      <c r="A48" s="56" t="s">
        <v>4562</v>
      </c>
      <c r="B48">
        <v>1</v>
      </c>
    </row>
    <row r="49" spans="1:2" x14ac:dyDescent="0.3">
      <c r="A49" s="56" t="s">
        <v>4563</v>
      </c>
      <c r="B49">
        <v>1</v>
      </c>
    </row>
    <row r="50" spans="1:2" x14ac:dyDescent="0.3">
      <c r="A50" s="55" t="s">
        <v>4525</v>
      </c>
      <c r="B50">
        <v>10</v>
      </c>
    </row>
    <row r="51" spans="1:2" x14ac:dyDescent="0.3">
      <c r="A51" s="56" t="s">
        <v>53</v>
      </c>
      <c r="B51">
        <v>3</v>
      </c>
    </row>
    <row r="52" spans="1:2" x14ac:dyDescent="0.3">
      <c r="A52" s="56" t="s">
        <v>12</v>
      </c>
      <c r="B52">
        <v>1</v>
      </c>
    </row>
    <row r="53" spans="1:2" x14ac:dyDescent="0.3">
      <c r="A53" s="56" t="s">
        <v>13</v>
      </c>
      <c r="B53">
        <v>6</v>
      </c>
    </row>
    <row r="54" spans="1:2" x14ac:dyDescent="0.3">
      <c r="A54" s="55" t="s">
        <v>4531</v>
      </c>
      <c r="B54">
        <v>2</v>
      </c>
    </row>
    <row r="55" spans="1:2" x14ac:dyDescent="0.3">
      <c r="A55" s="56" t="s">
        <v>4564</v>
      </c>
      <c r="B55">
        <v>1</v>
      </c>
    </row>
    <row r="56" spans="1:2" x14ac:dyDescent="0.3">
      <c r="A56" s="56" t="s">
        <v>4565</v>
      </c>
      <c r="B56">
        <v>1</v>
      </c>
    </row>
    <row r="57" spans="1:2" x14ac:dyDescent="0.3">
      <c r="A57" s="55" t="s">
        <v>4529</v>
      </c>
      <c r="B57">
        <v>2</v>
      </c>
    </row>
    <row r="58" spans="1:2" x14ac:dyDescent="0.3">
      <c r="A58" s="56" t="s">
        <v>4566</v>
      </c>
      <c r="B58">
        <v>1</v>
      </c>
    </row>
    <row r="59" spans="1:2" x14ac:dyDescent="0.3">
      <c r="A59" s="56" t="s">
        <v>4567</v>
      </c>
      <c r="B59">
        <v>1</v>
      </c>
    </row>
    <row r="60" spans="1:2" x14ac:dyDescent="0.3">
      <c r="A60" s="55" t="s">
        <v>4532</v>
      </c>
    </row>
    <row r="61" spans="1:2" x14ac:dyDescent="0.3">
      <c r="A61" s="56" t="s">
        <v>4532</v>
      </c>
    </row>
    <row r="62" spans="1:2" x14ac:dyDescent="0.3">
      <c r="A62" s="55" t="s">
        <v>4533</v>
      </c>
      <c r="B62">
        <v>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48171-6AE4-EA40-91B7-B7E9EB2F531D}">
  <dimension ref="A1:D25"/>
  <sheetViews>
    <sheetView topLeftCell="A10" workbookViewId="0">
      <selection activeCell="B9" sqref="B9"/>
    </sheetView>
  </sheetViews>
  <sheetFormatPr defaultColWidth="10.796875" defaultRowHeight="15" x14ac:dyDescent="0.25"/>
  <cols>
    <col min="1" max="1" width="49.296875" style="30" customWidth="1"/>
    <col min="2" max="2" width="100.796875" style="30" customWidth="1"/>
    <col min="3" max="3" width="30.8984375" style="30" customWidth="1"/>
    <col min="4" max="16384" width="10.796875" style="30"/>
  </cols>
  <sheetData>
    <row r="1" spans="1:4" ht="15.6" x14ac:dyDescent="0.3">
      <c r="A1" s="34" t="s">
        <v>55</v>
      </c>
      <c r="B1" s="34" t="s">
        <v>59</v>
      </c>
      <c r="C1" s="34" t="s">
        <v>68</v>
      </c>
      <c r="D1" s="30" t="s">
        <v>106</v>
      </c>
    </row>
    <row r="2" spans="1:4" x14ac:dyDescent="0.25">
      <c r="A2" s="31" t="s">
        <v>56</v>
      </c>
      <c r="B2" s="31" t="s">
        <v>60</v>
      </c>
      <c r="C2" s="31" t="s">
        <v>67</v>
      </c>
      <c r="D2" s="30" t="s">
        <v>107</v>
      </c>
    </row>
    <row r="3" spans="1:4" ht="15.6" x14ac:dyDescent="0.3">
      <c r="A3" s="25" t="s">
        <v>58</v>
      </c>
      <c r="B3" s="32" t="s">
        <v>61</v>
      </c>
      <c r="C3" s="32" t="s">
        <v>69</v>
      </c>
      <c r="D3" s="30" t="s">
        <v>108</v>
      </c>
    </row>
    <row r="4" spans="1:4" ht="15.6" x14ac:dyDescent="0.3">
      <c r="A4" s="24" t="s">
        <v>1</v>
      </c>
      <c r="B4" s="33" t="s">
        <v>62</v>
      </c>
      <c r="C4" s="33" t="s">
        <v>70</v>
      </c>
      <c r="D4" s="30" t="s">
        <v>109</v>
      </c>
    </row>
    <row r="5" spans="1:4" ht="15.6" x14ac:dyDescent="0.3">
      <c r="A5" s="25" t="s">
        <v>49</v>
      </c>
      <c r="B5" s="32" t="s">
        <v>63</v>
      </c>
      <c r="C5" s="32" t="s">
        <v>72</v>
      </c>
      <c r="D5" s="30" t="s">
        <v>110</v>
      </c>
    </row>
    <row r="6" spans="1:4" ht="15.6" x14ac:dyDescent="0.3">
      <c r="A6" s="24" t="s">
        <v>2</v>
      </c>
      <c r="B6" s="33" t="s">
        <v>64</v>
      </c>
      <c r="C6" s="33" t="s">
        <v>71</v>
      </c>
      <c r="D6" s="30" t="s">
        <v>111</v>
      </c>
    </row>
    <row r="7" spans="1:4" ht="15.6" x14ac:dyDescent="0.3">
      <c r="A7" s="25" t="s">
        <v>3</v>
      </c>
      <c r="B7" s="32" t="s">
        <v>65</v>
      </c>
      <c r="C7" s="32" t="s">
        <v>73</v>
      </c>
      <c r="D7" s="30" t="s">
        <v>112</v>
      </c>
    </row>
    <row r="8" spans="1:4" ht="15.6" x14ac:dyDescent="0.3">
      <c r="A8" s="24" t="s">
        <v>4</v>
      </c>
      <c r="B8" s="33" t="s">
        <v>66</v>
      </c>
      <c r="C8" s="33" t="s">
        <v>74</v>
      </c>
      <c r="D8" s="30" t="s">
        <v>113</v>
      </c>
    </row>
    <row r="9" spans="1:4" ht="15.6" x14ac:dyDescent="0.3">
      <c r="A9" s="25" t="s">
        <v>5</v>
      </c>
      <c r="B9" s="32" t="s">
        <v>75</v>
      </c>
      <c r="C9" s="32" t="s">
        <v>76</v>
      </c>
      <c r="D9" s="30" t="s">
        <v>114</v>
      </c>
    </row>
    <row r="10" spans="1:4" ht="15.6" x14ac:dyDescent="0.3">
      <c r="A10" s="24" t="s">
        <v>6</v>
      </c>
      <c r="B10" s="33" t="s">
        <v>77</v>
      </c>
      <c r="C10" s="33" t="s">
        <v>78</v>
      </c>
      <c r="D10" s="30" t="s">
        <v>115</v>
      </c>
    </row>
    <row r="11" spans="1:4" ht="15.6" x14ac:dyDescent="0.3">
      <c r="A11" s="25" t="s">
        <v>7</v>
      </c>
      <c r="B11" s="32" t="s">
        <v>79</v>
      </c>
      <c r="C11" s="32" t="s">
        <v>80</v>
      </c>
      <c r="D11" s="30" t="s">
        <v>116</v>
      </c>
    </row>
    <row r="12" spans="1:4" ht="15.6" x14ac:dyDescent="0.3">
      <c r="A12" s="26" t="s">
        <v>51</v>
      </c>
      <c r="B12" s="36" t="s">
        <v>81</v>
      </c>
      <c r="C12" s="36" t="s">
        <v>82</v>
      </c>
      <c r="D12" s="30" t="s">
        <v>117</v>
      </c>
    </row>
    <row r="13" spans="1:4" ht="15.6" x14ac:dyDescent="0.3">
      <c r="A13" s="27" t="s">
        <v>8</v>
      </c>
      <c r="B13" s="35" t="s">
        <v>83</v>
      </c>
      <c r="C13" s="35" t="s">
        <v>84</v>
      </c>
      <c r="D13" s="30" t="s">
        <v>118</v>
      </c>
    </row>
    <row r="14" spans="1:4" ht="15.6" x14ac:dyDescent="0.3">
      <c r="A14" s="26" t="s">
        <v>57</v>
      </c>
      <c r="B14" s="36" t="s">
        <v>85</v>
      </c>
      <c r="C14" s="36" t="s">
        <v>86</v>
      </c>
      <c r="D14" s="30" t="s">
        <v>119</v>
      </c>
    </row>
    <row r="15" spans="1:4" ht="15.6" x14ac:dyDescent="0.3">
      <c r="A15" s="27" t="s">
        <v>9</v>
      </c>
      <c r="B15" s="35" t="s">
        <v>87</v>
      </c>
      <c r="C15" s="35" t="s">
        <v>88</v>
      </c>
      <c r="D15" s="30" t="s">
        <v>120</v>
      </c>
    </row>
    <row r="16" spans="1:4" ht="15.6" x14ac:dyDescent="0.3">
      <c r="A16" s="26" t="s">
        <v>10</v>
      </c>
      <c r="B16" s="36" t="s">
        <v>89</v>
      </c>
      <c r="C16" s="36" t="s">
        <v>90</v>
      </c>
      <c r="D16" s="30" t="s">
        <v>121</v>
      </c>
    </row>
    <row r="17" spans="1:4" ht="15.6" x14ac:dyDescent="0.3">
      <c r="A17" s="27" t="s">
        <v>11</v>
      </c>
      <c r="B17" s="35" t="s">
        <v>91</v>
      </c>
      <c r="C17" s="35" t="s">
        <v>92</v>
      </c>
      <c r="D17" s="30" t="s">
        <v>122</v>
      </c>
    </row>
    <row r="18" spans="1:4" s="36" customFormat="1" ht="15.6" x14ac:dyDescent="0.3">
      <c r="A18" s="40" t="s">
        <v>52</v>
      </c>
      <c r="B18" s="36" t="s">
        <v>129</v>
      </c>
      <c r="C18" s="36" t="s">
        <v>95</v>
      </c>
      <c r="D18" s="30" t="s">
        <v>123</v>
      </c>
    </row>
    <row r="19" spans="1:4" ht="15.6" x14ac:dyDescent="0.3">
      <c r="A19" s="20" t="s">
        <v>130</v>
      </c>
      <c r="B19" s="35" t="s">
        <v>131</v>
      </c>
      <c r="C19" s="35" t="s">
        <v>132</v>
      </c>
      <c r="D19" s="30" t="s">
        <v>124</v>
      </c>
    </row>
    <row r="20" spans="1:4" ht="15.6" x14ac:dyDescent="0.3">
      <c r="A20" s="28" t="s">
        <v>12</v>
      </c>
      <c r="B20" s="37" t="s">
        <v>93</v>
      </c>
      <c r="C20" s="37" t="s">
        <v>94</v>
      </c>
      <c r="D20" s="30" t="s">
        <v>125</v>
      </c>
    </row>
    <row r="21" spans="1:4" ht="15.6" x14ac:dyDescent="0.3">
      <c r="A21" s="28" t="s">
        <v>13</v>
      </c>
      <c r="B21" s="37" t="s">
        <v>96</v>
      </c>
      <c r="C21" s="37" t="s">
        <v>97</v>
      </c>
      <c r="D21" s="30" t="s">
        <v>126</v>
      </c>
    </row>
    <row r="22" spans="1:4" ht="15.6" x14ac:dyDescent="0.3">
      <c r="A22" s="29" t="s">
        <v>53</v>
      </c>
      <c r="B22" s="38" t="s">
        <v>98</v>
      </c>
      <c r="C22" s="38" t="s">
        <v>99</v>
      </c>
      <c r="D22" s="30" t="s">
        <v>127</v>
      </c>
    </row>
    <row r="23" spans="1:4" ht="15.6" x14ac:dyDescent="0.3">
      <c r="A23" s="28" t="s">
        <v>54</v>
      </c>
      <c r="B23" s="37" t="s">
        <v>100</v>
      </c>
      <c r="C23" s="37" t="s">
        <v>101</v>
      </c>
      <c r="D23" s="30" t="s">
        <v>128</v>
      </c>
    </row>
    <row r="24" spans="1:4" ht="15.6" x14ac:dyDescent="0.3">
      <c r="A24" s="29" t="s">
        <v>48</v>
      </c>
      <c r="B24" s="38" t="s">
        <v>102</v>
      </c>
      <c r="C24" s="38" t="s">
        <v>103</v>
      </c>
      <c r="D24" s="30" t="s">
        <v>133</v>
      </c>
    </row>
    <row r="25" spans="1:4" ht="15.6" x14ac:dyDescent="0.3">
      <c r="A25" s="28" t="s">
        <v>14</v>
      </c>
      <c r="B25" s="37" t="s">
        <v>104</v>
      </c>
      <c r="C25" s="37" t="s">
        <v>105</v>
      </c>
      <c r="D25" s="30" t="s">
        <v>134</v>
      </c>
    </row>
  </sheetData>
  <dataValidations count="1">
    <dataValidation type="custom" allowBlank="1" showDropDown="1" showInputMessage="1" showErrorMessage="1" sqref="A19" xr:uid="{85C4370D-AF47-134A-823D-0831521FB896}">
      <formula1>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Annotazione</vt:lpstr>
      <vt:lpstr>Conteggio Macro e Microfunzioni</vt:lpstr>
      <vt:lpstr>domande_legenda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Flavio Pisciotta - flavio.pisciotta@studio.unibo.it</cp:lastModifiedBy>
  <dcterms:created xsi:type="dcterms:W3CDTF">2025-03-28T16:58:43Z</dcterms:created>
  <dcterms:modified xsi:type="dcterms:W3CDTF">2026-04-22T19:11:43Z</dcterms:modified>
</cp:coreProperties>
</file>